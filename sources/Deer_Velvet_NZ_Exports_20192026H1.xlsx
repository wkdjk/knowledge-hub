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lat Data" sheetId="2" state="visible" r:id="rId4"/>
    <sheet name="Annual Summary" sheetId="3" state="visible" r:id="rId5"/>
    <sheet name="Monthly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<sst xmlns="http://schemas.openxmlformats.org/spreadsheetml/2006/main" count="4055" uniqueCount="79">
  <si>
    <t xml:space="preserve">New Zealand Deer Velvet — Export Statistics (2019–2026 H1)</t>
  </si>
  <si>
    <t xml:space="preserve">뉴질랜드 녹용 수출 통계 · 정리본 / Cleaned dataset</t>
  </si>
  <si>
    <t xml:space="preserve">Source</t>
  </si>
  <si>
    <t xml:space="preserve">Statistics New Zealand (Stats NZ) — Infoshare, Harmonised Trade Exports (Monthly), table TEX001F. Downloaded 21 Jul 2026.</t>
  </si>
  <si>
    <t xml:space="preserve">출처</t>
  </si>
  <si>
    <t xml:space="preserve">뉴질랜드 통계청(Stats NZ) Infoshare 수출 월별 통계(TEX001F). 2026-07-21 내려받음.</t>
  </si>
  <si>
    <r>
      <rPr>
        <b val="true"/>
        <sz val="10"/>
        <rFont val="Arial"/>
        <family val="0"/>
        <charset val="1"/>
      </rPr>
      <t xml:space="preserve">Basis / </t>
    </r>
    <r>
      <rPr>
        <b val="true"/>
        <sz val="10"/>
        <rFont val="Noto Sans CJK SC"/>
        <family val="2"/>
      </rPr>
      <t xml:space="preserve">집계기준</t>
    </r>
  </si>
  <si>
    <r>
      <rPr>
        <sz val="10"/>
        <rFont val="Arial"/>
        <family val="0"/>
        <charset val="1"/>
      </rPr>
      <t xml:space="preserve">Export customs declarations (</t>
    </r>
    <r>
      <rPr>
        <sz val="10"/>
        <rFont val="Noto Sans CJK SC"/>
        <family val="2"/>
      </rPr>
      <t xml:space="preserve">수출 통관 신고 기준</t>
    </r>
    <r>
      <rPr>
        <sz val="10"/>
        <rFont val="Arial"/>
        <family val="0"/>
        <charset val="1"/>
      </rPr>
      <t xml:space="preserve">). NOT quarantine. Do not sum or directly compare with the Korean QIA quarantine dataset — different definition.</t>
    </r>
  </si>
  <si>
    <r>
      <rPr>
        <b val="true"/>
        <sz val="10"/>
        <rFont val="Arial"/>
        <family val="0"/>
        <charset val="1"/>
      </rPr>
      <t xml:space="preserve">Coverage / </t>
    </r>
    <r>
      <rPr>
        <b val="true"/>
        <sz val="10"/>
        <rFont val="Noto Sans CJK SC"/>
        <family val="2"/>
      </rPr>
      <t xml:space="preserve">기간</t>
    </r>
  </si>
  <si>
    <t xml:space="preserve">2019-01 to 2026-06, monthly. 2026 is Jan–Jun only (partial year).</t>
  </si>
  <si>
    <r>
      <rPr>
        <b val="true"/>
        <sz val="10"/>
        <rFont val="Arial"/>
        <family val="0"/>
        <charset val="1"/>
      </rPr>
      <t xml:space="preserve">Values / </t>
    </r>
    <r>
      <rPr>
        <b val="true"/>
        <sz val="10"/>
        <rFont val="Noto Sans CJK SC"/>
        <family val="2"/>
      </rPr>
      <t xml:space="preserve">값</t>
    </r>
  </si>
  <si>
    <r>
      <rPr>
        <sz val="10"/>
        <rFont val="Arial"/>
        <family val="0"/>
        <charset val="1"/>
      </rPr>
      <t xml:space="preserve">Quantity in kilograms (kg). Value = F.O.B. in New Zealand Dollars (NZD). FOB = </t>
    </r>
    <r>
      <rPr>
        <sz val="10"/>
        <rFont val="Noto Sans CJK SC"/>
        <family val="2"/>
      </rPr>
      <t xml:space="preserve">본선인도가격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수출국 항구 기준</t>
    </r>
    <r>
      <rPr>
        <sz val="10"/>
        <rFont val="Arial"/>
        <family val="0"/>
        <charset val="1"/>
      </rPr>
      <t xml:space="preserve">).</t>
    </r>
  </si>
  <si>
    <r>
      <rPr>
        <b val="true"/>
        <sz val="10"/>
        <rFont val="Arial"/>
        <family val="0"/>
        <charset val="1"/>
      </rPr>
      <t xml:space="preserve">Provisional / </t>
    </r>
    <r>
      <rPr>
        <b val="true"/>
        <sz val="10"/>
        <rFont val="Noto Sans CJK SC"/>
        <family val="2"/>
      </rPr>
      <t xml:space="preserve">잠정치</t>
    </r>
  </si>
  <si>
    <t xml:space="preserve">Stats NZ marks the 3 most recent months provisional; figures (esp. FOB) may be revised later. → 2026-04·05·06 are provisional.</t>
  </si>
  <si>
    <r>
      <rPr>
        <b val="true"/>
        <sz val="10"/>
        <rFont val="Arial"/>
        <family val="0"/>
        <charset val="1"/>
      </rPr>
      <t xml:space="preserve">Countries / </t>
    </r>
    <r>
      <rPr>
        <b val="true"/>
        <sz val="10"/>
        <rFont val="Noto Sans CJK SC"/>
        <family val="2"/>
      </rPr>
      <t xml:space="preserve">국가</t>
    </r>
  </si>
  <si>
    <t xml:space="preserve">11 destinations: China, South Korea, Australia, Taiwan, Hong Kong, USA, Japan, Canada, Singapore, Jordan, Israel. 'Country' = destination of export.</t>
  </si>
  <si>
    <r>
      <rPr>
        <b val="true"/>
        <sz val="10"/>
        <rFont val="Arial"/>
        <family val="0"/>
        <charset val="1"/>
      </rPr>
      <t xml:space="preserve">HS code → product mapping (HS </t>
    </r>
    <r>
      <rPr>
        <b val="true"/>
        <sz val="10"/>
        <rFont val="Noto Sans CJK SC"/>
        <family val="2"/>
      </rPr>
      <t xml:space="preserve">코드 ↔ 품명</t>
    </r>
    <r>
      <rPr>
        <b val="true"/>
        <sz val="10"/>
        <rFont val="Arial"/>
        <family val="0"/>
        <charset val="1"/>
      </rPr>
      <t xml:space="preserve">)</t>
    </r>
  </si>
  <si>
    <t xml:space="preserve">HS Code</t>
  </si>
  <si>
    <t xml:space="preserve">English</t>
  </si>
  <si>
    <t xml:space="preserve">한글 / Korean</t>
  </si>
  <si>
    <t xml:space="preserve">0507900002</t>
  </si>
  <si>
    <t xml:space="preserve">Antler/velvet, unworked (excl. powder)</t>
  </si>
  <si>
    <t xml:space="preserve">녹각·미가공 녹용</t>
  </si>
  <si>
    <t xml:space="preserve">0507900011</t>
  </si>
  <si>
    <t xml:space="preserve">Velvet, unworked, frozen</t>
  </si>
  <si>
    <t xml:space="preserve">생녹용(냉동)</t>
  </si>
  <si>
    <r>
      <rPr>
        <sz val="10"/>
        <rFont val="Arial"/>
        <family val="0"/>
        <charset val="1"/>
      </rPr>
      <t xml:space="preserve">→ Korean </t>
    </r>
    <r>
      <rPr>
        <sz val="10"/>
        <rFont val="Noto Sans CJK SC"/>
        <family val="2"/>
      </rPr>
      <t xml:space="preserve">생녹용 </t>
    </r>
    <r>
      <rPr>
        <sz val="10"/>
        <rFont val="Arial"/>
        <family val="0"/>
        <charset val="1"/>
      </rPr>
      <t xml:space="preserve">(Frozen deer velvet)</t>
    </r>
  </si>
  <si>
    <t xml:space="preserve">0507900012</t>
  </si>
  <si>
    <t xml:space="preserve">Velvet, unworked, dried</t>
  </si>
  <si>
    <t xml:space="preserve">녹용(건조)</t>
  </si>
  <si>
    <r>
      <rPr>
        <sz val="10"/>
        <rFont val="Arial"/>
        <family val="0"/>
        <charset val="1"/>
      </rPr>
      <t xml:space="preserve">→ Korean </t>
    </r>
    <r>
      <rPr>
        <sz val="10"/>
        <rFont val="Noto Sans CJK SC"/>
        <family val="2"/>
      </rPr>
      <t xml:space="preserve">녹용 </t>
    </r>
    <r>
      <rPr>
        <sz val="10"/>
        <rFont val="Arial"/>
        <family val="0"/>
        <charset val="1"/>
      </rPr>
      <t xml:space="preserve">(Dried deer velvet)</t>
    </r>
  </si>
  <si>
    <t xml:space="preserve">0507900015</t>
  </si>
  <si>
    <t xml:space="preserve">Velvet, unworked, other than frozen/dried</t>
  </si>
  <si>
    <t xml:space="preserve">기타 녹용</t>
  </si>
  <si>
    <t xml:space="preserve">0507900038</t>
  </si>
  <si>
    <t xml:space="preserve">Powder of horns/velvet of deer</t>
  </si>
  <si>
    <t xml:space="preserve">녹용·녹각 분말</t>
  </si>
  <si>
    <r>
      <rPr>
        <b val="true"/>
        <sz val="10"/>
        <rFont val="Arial"/>
        <family val="0"/>
        <charset val="1"/>
      </rPr>
      <t xml:space="preserve">Verification / </t>
    </r>
    <r>
      <rPr>
        <b val="true"/>
        <sz val="10"/>
        <rFont val="Noto Sans CJK SC"/>
        <family val="2"/>
      </rPr>
      <t xml:space="preserve">검증</t>
    </r>
  </si>
  <si>
    <r>
      <rPr>
        <sz val="10"/>
        <rFont val="Arial"/>
        <family val="0"/>
        <charset val="1"/>
      </rPr>
      <t xml:space="preserve">Cross-checked against an independent Stats NZ extract (colleague's 'Year Ended December 2025' detailed report): 2025 annual total matches to within NZ$10 (rounding). One line differed — China 'frozen' Dec-2025 FOB by ~NZ$85k — offset by China 'antler' FOB, so totals unchanged; this is a normal Stats NZ revision (provisional→final). </t>
    </r>
    <r>
      <rPr>
        <sz val="10"/>
        <rFont val="Noto Sans CJK SC"/>
        <family val="2"/>
      </rPr>
      <t xml:space="preserve">동일 통계의 다른 추출본과 대조</t>
    </r>
    <r>
      <rPr>
        <sz val="10"/>
        <rFont val="Arial"/>
        <family val="0"/>
        <charset val="1"/>
      </rPr>
      <t xml:space="preserve">: 2025</t>
    </r>
    <r>
      <rPr>
        <sz val="10"/>
        <rFont val="Noto Sans CJK SC"/>
        <family val="2"/>
      </rPr>
      <t xml:space="preserve">년 합계 </t>
    </r>
    <r>
      <rPr>
        <sz val="10"/>
        <rFont val="Arial"/>
        <family val="0"/>
        <charset val="1"/>
      </rPr>
      <t xml:space="preserve">NZ$10 </t>
    </r>
    <r>
      <rPr>
        <sz val="10"/>
        <rFont val="Noto Sans CJK SC"/>
        <family val="2"/>
      </rPr>
      <t xml:space="preserve">이내 일치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중국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항목 개정 외 이상 없음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</si>
  <si>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Sheets / </t>
    </r>
    <r>
      <rPr>
        <b val="true"/>
        <sz val="10"/>
        <rFont val="Noto Sans CJK SC"/>
        <family val="2"/>
      </rPr>
      <t xml:space="preserve">시트</t>
    </r>
  </si>
  <si>
    <r>
      <rPr>
        <sz val="10"/>
        <rFont val="Arial"/>
        <family val="0"/>
        <charset val="1"/>
      </rPr>
      <t xml:space="preserve">Flat Data = 1 row per month·country·product (</t>
    </r>
    <r>
      <rPr>
        <sz val="10"/>
        <rFont val="Noto Sans CJK SC"/>
        <family val="2"/>
      </rPr>
      <t xml:space="preserve">실적 있는 행만</t>
    </r>
    <r>
      <rPr>
        <sz val="10"/>
        <rFont val="Arial"/>
        <family val="0"/>
        <charset val="1"/>
      </rPr>
      <t xml:space="preserve">, 659 rows). Annual Summary = year × product (kg &amp; NZD). Monthly Summary = month totals time series.</t>
    </r>
  </si>
  <si>
    <r>
      <rPr>
        <b val="true"/>
        <sz val="10"/>
        <rFont val="Arial"/>
        <family val="0"/>
        <charset val="1"/>
      </rPr>
      <t xml:space="preserve">Note / </t>
    </r>
    <r>
      <rPr>
        <b val="true"/>
        <sz val="10"/>
        <rFont val="Noto Sans CJK SC"/>
        <family val="2"/>
      </rPr>
      <t xml:space="preserve">참고</t>
    </r>
  </si>
  <si>
    <r>
      <rPr>
        <sz val="10"/>
        <rFont val="Arial"/>
        <family val="0"/>
        <charset val="1"/>
      </rPr>
      <t xml:space="preserve">Only </t>
    </r>
    <r>
      <rPr>
        <sz val="10"/>
        <rFont val="Noto Sans CJK SC"/>
        <family val="2"/>
      </rPr>
      <t xml:space="preserve">생녹용</t>
    </r>
    <r>
      <rPr>
        <sz val="10"/>
        <rFont val="Arial"/>
        <family val="0"/>
        <charset val="1"/>
      </rPr>
      <t xml:space="preserve">(frozen) and </t>
    </r>
    <r>
      <rPr>
        <sz val="10"/>
        <rFont val="Noto Sans CJK SC"/>
        <family val="2"/>
      </rPr>
      <t xml:space="preserve">녹용</t>
    </r>
    <r>
      <rPr>
        <sz val="10"/>
        <rFont val="Arial"/>
        <family val="0"/>
        <charset val="1"/>
      </rPr>
      <t xml:space="preserve">(dried) correspond to the Korean quarantine product names. Antler-base, 'other', and powder are additional HS lines that exist on the NZ export side.</t>
    </r>
  </si>
  <si>
    <t xml:space="preserve">Year</t>
  </si>
  <si>
    <t xml:space="preserve">Month</t>
  </si>
  <si>
    <t xml:space="preserve">Trade</t>
  </si>
  <si>
    <t xml:space="preserve">Basis</t>
  </si>
  <si>
    <t xml:space="preserve">HS_Code</t>
  </si>
  <si>
    <t xml:space="preserve">Product_EN</t>
  </si>
  <si>
    <t xml:space="preserve">Product_KR</t>
  </si>
  <si>
    <t xml:space="preserve">Country</t>
  </si>
  <si>
    <t xml:space="preserve">Quantity_kg</t>
  </si>
  <si>
    <t xml:space="preserve">FOB_NZD</t>
  </si>
  <si>
    <t xml:space="preserve">Export</t>
  </si>
  <si>
    <t xml:space="preserve">Export customs (FOB, NZD)</t>
  </si>
  <si>
    <t xml:space="preserve">China</t>
  </si>
  <si>
    <t xml:space="preserve">South Korea</t>
  </si>
  <si>
    <t xml:space="preserve">Australia</t>
  </si>
  <si>
    <t xml:space="preserve">Taiwan</t>
  </si>
  <si>
    <t xml:space="preserve">Hong Kong</t>
  </si>
  <si>
    <t xml:space="preserve">USA</t>
  </si>
  <si>
    <t xml:space="preserve">Japan</t>
  </si>
  <si>
    <t xml:space="preserve">Singapore</t>
  </si>
  <si>
    <t xml:space="preserve">Canada</t>
  </si>
  <si>
    <t xml:space="preserve">Velvet, unworked, other</t>
  </si>
  <si>
    <t xml:space="preserve">Powder of horns/velvet</t>
  </si>
  <si>
    <t xml:space="preserve">Israel</t>
  </si>
  <si>
    <t xml:space="preserve">Jordan</t>
  </si>
  <si>
    <t xml:space="preserve">TOTAL</t>
  </si>
  <si>
    <t xml:space="preserve">Annual Summary — Quantity (kg) &amp; FOB value (NZD)</t>
  </si>
  <si>
    <t xml:space="preserve">연간 요약 · 수량(kg) 및 금액(NZD). 2026 = Jan–Jun only.</t>
  </si>
  <si>
    <r>
      <rPr>
        <b val="true"/>
        <sz val="10"/>
        <rFont val="Arial"/>
        <family val="0"/>
        <charset val="1"/>
      </rPr>
      <t xml:space="preserve">① Quantity (kg) </t>
    </r>
    <r>
      <rPr>
        <b val="true"/>
        <sz val="10"/>
        <rFont val="Noto Sans CJK SC"/>
        <family val="2"/>
      </rPr>
      <t xml:space="preserve">수량</t>
    </r>
  </si>
  <si>
    <t xml:space="preserve">Total</t>
  </si>
  <si>
    <r>
      <rPr>
        <b val="true"/>
        <sz val="10"/>
        <rFont val="Arial"/>
        <family val="0"/>
        <charset val="1"/>
      </rPr>
      <t xml:space="preserve">② FOB value (NZD) </t>
    </r>
    <r>
      <rPr>
        <b val="true"/>
        <sz val="10"/>
        <rFont val="Noto Sans CJK SC"/>
        <family val="2"/>
      </rPr>
      <t xml:space="preserve">금액</t>
    </r>
  </si>
  <si>
    <r>
      <rPr>
        <b val="true"/>
        <sz val="10"/>
        <rFont val="Arial"/>
        <family val="0"/>
        <charset val="1"/>
      </rPr>
      <t xml:space="preserve">③ Quantity (kg) by destination country </t>
    </r>
    <r>
      <rPr>
        <b val="true"/>
        <sz val="10"/>
        <rFont val="Noto Sans CJK SC"/>
        <family val="2"/>
      </rPr>
      <t xml:space="preserve">국가별 수량</t>
    </r>
  </si>
  <si>
    <t xml:space="preserve">Monthly Summary — totals by month (time series)</t>
  </si>
  <si>
    <t xml:space="preserve">월별 합계 시계열. 2026-04·05·06 provisional 잠정치.</t>
  </si>
  <si>
    <t xml:space="preserve">Total Qty (kg)</t>
  </si>
  <si>
    <t xml:space="preserve">Total FOB (NZD)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</si>
</sst>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10"/>
      <color rgb="FF555555"/>
      <name val="Noto Sans CJK SC"/>
      <family val="2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FEF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5"/>
    <col collapsed="false" customWidth="true" hidden="false" outlineLevel="0" max="3" min="3" style="1" width="40"/>
    <col collapsed="false" customWidth="true" hidden="false" outlineLevel="0" max="4" min="4" style="1" width="3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6" t="s">
        <v>4</v>
      </c>
      <c r="B5" s="7" t="s">
        <v>5</v>
      </c>
    </row>
    <row r="6" customFormat="false" ht="26.2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5" t="s">
        <v>11</v>
      </c>
    </row>
    <row r="9" customFormat="false" ht="23.25" hidden="false" customHeight="true" outlineLevel="0" collapsed="false">
      <c r="A9" s="4" t="s">
        <v>12</v>
      </c>
      <c r="B9" s="5" t="s">
        <v>13</v>
      </c>
    </row>
    <row r="10" customFormat="false" ht="23.25" hidden="false" customHeight="true" outlineLevel="0" collapsed="false">
      <c r="A10" s="4" t="s">
        <v>14</v>
      </c>
      <c r="B10" s="5" t="s">
        <v>15</v>
      </c>
    </row>
    <row r="12" customFormat="false" ht="15" hidden="false" customHeight="true" outlineLevel="0" collapsed="false">
      <c r="A12" s="8" t="s">
        <v>16</v>
      </c>
    </row>
    <row r="13" customFormat="false" ht="15" hidden="false" customHeight="true" outlineLevel="0" collapsed="false">
      <c r="A13" s="9" t="s">
        <v>17</v>
      </c>
      <c r="B13" s="9" t="s">
        <v>18</v>
      </c>
      <c r="C13" s="10" t="s">
        <v>19</v>
      </c>
      <c r="D13" s="9"/>
    </row>
    <row r="14" customFormat="false" ht="15" hidden="false" customHeight="true" outlineLevel="0" collapsed="false">
      <c r="A14" s="11" t="s">
        <v>20</v>
      </c>
      <c r="B14" s="11" t="s">
        <v>21</v>
      </c>
      <c r="C14" s="12" t="s">
        <v>22</v>
      </c>
      <c r="D14" s="11"/>
    </row>
    <row r="15" customFormat="false" ht="15" hidden="false" customHeight="true" outlineLevel="0" collapsed="false">
      <c r="A15" s="11" t="s">
        <v>23</v>
      </c>
      <c r="B15" s="11" t="s">
        <v>24</v>
      </c>
      <c r="C15" s="12" t="s">
        <v>25</v>
      </c>
      <c r="D15" s="11" t="s">
        <v>26</v>
      </c>
    </row>
    <row r="16" customFormat="false" ht="15" hidden="false" customHeight="true" outlineLevel="0" collapsed="false">
      <c r="A16" s="11" t="s">
        <v>27</v>
      </c>
      <c r="B16" s="11" t="s">
        <v>28</v>
      </c>
      <c r="C16" s="12" t="s">
        <v>29</v>
      </c>
      <c r="D16" s="11" t="s">
        <v>30</v>
      </c>
    </row>
    <row r="17" customFormat="false" ht="15" hidden="false" customHeight="true" outlineLevel="0" collapsed="false">
      <c r="A17" s="11" t="s">
        <v>31</v>
      </c>
      <c r="B17" s="11" t="s">
        <v>32</v>
      </c>
      <c r="C17" s="12" t="s">
        <v>33</v>
      </c>
      <c r="D17" s="11"/>
    </row>
    <row r="18" customFormat="false" ht="15" hidden="false" customHeight="true" outlineLevel="0" collapsed="false">
      <c r="A18" s="11" t="s">
        <v>34</v>
      </c>
      <c r="B18" s="11" t="s">
        <v>35</v>
      </c>
      <c r="C18" s="12" t="s">
        <v>36</v>
      </c>
      <c r="D18" s="11"/>
    </row>
    <row r="20" customFormat="false" ht="51.75" hidden="false" customHeight="true" outlineLevel="0" collapsed="false">
      <c r="A20" s="4" t="s">
        <v>37</v>
      </c>
      <c r="B20" s="5" t="s">
        <v>38</v>
      </c>
    </row>
    <row r="21" customFormat="false" ht="26.25" hidden="false" customHeight="true" outlineLevel="0" collapsed="false">
      <c r="A21" s="4" t="s">
        <v>39</v>
      </c>
      <c r="B21" s="5" t="s">
        <v>40</v>
      </c>
    </row>
    <row r="22" customFormat="false" ht="26.25" hidden="false" customHeight="true" outlineLevel="0" collapsed="false">
      <c r="A22" s="4" t="s">
        <v>41</v>
      </c>
      <c r="B22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1" width="9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1" width="34"/>
    <col collapsed="false" customWidth="true" hidden="false" outlineLevel="0" max="7" min="7" style="1" width="16"/>
    <col collapsed="false" customWidth="true" hidden="false" outlineLevel="0" max="9" min="8" style="1" width="13"/>
    <col collapsed="false" customWidth="true" hidden="false" outlineLevel="0" max="10" min="10" style="1" width="14"/>
  </cols>
  <sheetData>
    <row r="1" customFormat="false" ht="15" hidden="false" customHeight="true" outlineLevel="0" collapsed="false">
      <c r="A1" s="13" t="s">
        <v>43</v>
      </c>
      <c r="B1" s="13" t="s">
        <v>44</v>
      </c>
      <c r="C1" s="13" t="s">
        <v>45</v>
      </c>
      <c r="D1" s="13" t="s">
        <v>46</v>
      </c>
      <c r="E1" s="13" t="s">
        <v>47</v>
      </c>
      <c r="F1" s="13" t="s">
        <v>48</v>
      </c>
      <c r="G1" s="13" t="s">
        <v>49</v>
      </c>
      <c r="H1" s="13" t="s">
        <v>50</v>
      </c>
      <c r="I1" s="13" t="s">
        <v>51</v>
      </c>
      <c r="J1" s="13" t="s">
        <v>52</v>
      </c>
    </row>
    <row r="2" customFormat="false" ht="15" hidden="false" customHeight="true" outlineLevel="0" collapsed="false">
      <c r="A2" s="14" t="n">
        <v>2019</v>
      </c>
      <c r="B2" s="14" t="n">
        <v>1</v>
      </c>
      <c r="C2" s="11" t="s">
        <v>53</v>
      </c>
      <c r="D2" s="11" t="s">
        <v>54</v>
      </c>
      <c r="E2" s="15" t="s">
        <v>20</v>
      </c>
      <c r="F2" s="11" t="s">
        <v>21</v>
      </c>
      <c r="G2" s="12" t="s">
        <v>22</v>
      </c>
      <c r="H2" s="11" t="s">
        <v>55</v>
      </c>
      <c r="I2" s="16" t="n">
        <v>11317</v>
      </c>
      <c r="J2" s="16" t="n">
        <v>1129487</v>
      </c>
    </row>
    <row r="3" customFormat="false" ht="15" hidden="false" customHeight="true" outlineLevel="0" collapsed="false">
      <c r="A3" s="14" t="n">
        <v>2019</v>
      </c>
      <c r="B3" s="14" t="n">
        <v>1</v>
      </c>
      <c r="C3" s="11" t="s">
        <v>53</v>
      </c>
      <c r="D3" s="11" t="s">
        <v>54</v>
      </c>
      <c r="E3" s="15" t="s">
        <v>23</v>
      </c>
      <c r="F3" s="11" t="s">
        <v>24</v>
      </c>
      <c r="G3" s="12" t="s">
        <v>25</v>
      </c>
      <c r="H3" s="11" t="s">
        <v>55</v>
      </c>
      <c r="I3" s="16" t="n">
        <v>63036</v>
      </c>
      <c r="J3" s="16" t="n">
        <v>5843275</v>
      </c>
    </row>
    <row r="4" customFormat="false" ht="15" hidden="false" customHeight="true" outlineLevel="0" collapsed="false">
      <c r="A4" s="14" t="n">
        <v>2019</v>
      </c>
      <c r="B4" s="14" t="n">
        <v>1</v>
      </c>
      <c r="C4" s="11" t="s">
        <v>53</v>
      </c>
      <c r="D4" s="11" t="s">
        <v>54</v>
      </c>
      <c r="E4" s="15" t="s">
        <v>27</v>
      </c>
      <c r="F4" s="11" t="s">
        <v>28</v>
      </c>
      <c r="G4" s="12" t="s">
        <v>29</v>
      </c>
      <c r="H4" s="11" t="s">
        <v>55</v>
      </c>
      <c r="I4" s="16" t="n">
        <v>549</v>
      </c>
      <c r="J4" s="16" t="n">
        <v>43820</v>
      </c>
    </row>
    <row r="5" customFormat="false" ht="15" hidden="false" customHeight="true" outlineLevel="0" collapsed="false">
      <c r="A5" s="14" t="n">
        <v>2019</v>
      </c>
      <c r="B5" s="14" t="n">
        <v>1</v>
      </c>
      <c r="C5" s="11" t="s">
        <v>53</v>
      </c>
      <c r="D5" s="11" t="s">
        <v>54</v>
      </c>
      <c r="E5" s="15" t="s">
        <v>20</v>
      </c>
      <c r="F5" s="11" t="s">
        <v>21</v>
      </c>
      <c r="G5" s="12" t="s">
        <v>22</v>
      </c>
      <c r="H5" s="11" t="s">
        <v>56</v>
      </c>
      <c r="I5" s="16" t="n">
        <v>9500</v>
      </c>
      <c r="J5" s="16" t="n">
        <v>945511</v>
      </c>
    </row>
    <row r="6" customFormat="false" ht="15" hidden="false" customHeight="true" outlineLevel="0" collapsed="false">
      <c r="A6" s="14" t="n">
        <v>2019</v>
      </c>
      <c r="B6" s="14" t="n">
        <v>1</v>
      </c>
      <c r="C6" s="11" t="s">
        <v>53</v>
      </c>
      <c r="D6" s="11" t="s">
        <v>54</v>
      </c>
      <c r="E6" s="15" t="s">
        <v>23</v>
      </c>
      <c r="F6" s="11" t="s">
        <v>24</v>
      </c>
      <c r="G6" s="12" t="s">
        <v>25</v>
      </c>
      <c r="H6" s="11" t="s">
        <v>56</v>
      </c>
      <c r="I6" s="16" t="n">
        <v>7030</v>
      </c>
      <c r="J6" s="16" t="n">
        <v>689557</v>
      </c>
    </row>
    <row r="7" customFormat="false" ht="15" hidden="false" customHeight="true" outlineLevel="0" collapsed="false">
      <c r="A7" s="14" t="n">
        <v>2019</v>
      </c>
      <c r="B7" s="14" t="n">
        <v>1</v>
      </c>
      <c r="C7" s="11" t="s">
        <v>53</v>
      </c>
      <c r="D7" s="11" t="s">
        <v>54</v>
      </c>
      <c r="E7" s="15" t="s">
        <v>27</v>
      </c>
      <c r="F7" s="11" t="s">
        <v>28</v>
      </c>
      <c r="G7" s="12" t="s">
        <v>29</v>
      </c>
      <c r="H7" s="11" t="s">
        <v>56</v>
      </c>
      <c r="I7" s="16" t="n">
        <v>2957</v>
      </c>
      <c r="J7" s="16" t="n">
        <v>1334854</v>
      </c>
    </row>
    <row r="8" customFormat="false" ht="15" hidden="false" customHeight="true" outlineLevel="0" collapsed="false">
      <c r="A8" s="14" t="n">
        <v>2019</v>
      </c>
      <c r="B8" s="14" t="n">
        <v>1</v>
      </c>
      <c r="C8" s="11" t="s">
        <v>53</v>
      </c>
      <c r="D8" s="11" t="s">
        <v>54</v>
      </c>
      <c r="E8" s="15" t="s">
        <v>27</v>
      </c>
      <c r="F8" s="11" t="s">
        <v>28</v>
      </c>
      <c r="G8" s="12" t="s">
        <v>29</v>
      </c>
      <c r="H8" s="11" t="s">
        <v>57</v>
      </c>
      <c r="I8" s="16" t="n">
        <v>452</v>
      </c>
      <c r="J8" s="16" t="n">
        <v>38765</v>
      </c>
    </row>
    <row r="9" customFormat="false" ht="15" hidden="false" customHeight="true" outlineLevel="0" collapsed="false">
      <c r="A9" s="14" t="n">
        <v>2019</v>
      </c>
      <c r="B9" s="14" t="n">
        <v>1</v>
      </c>
      <c r="C9" s="11" t="s">
        <v>53</v>
      </c>
      <c r="D9" s="11" t="s">
        <v>54</v>
      </c>
      <c r="E9" s="15" t="s">
        <v>23</v>
      </c>
      <c r="F9" s="11" t="s">
        <v>24</v>
      </c>
      <c r="G9" s="12" t="s">
        <v>25</v>
      </c>
      <c r="H9" s="11" t="s">
        <v>58</v>
      </c>
      <c r="I9" s="16" t="n">
        <v>2805</v>
      </c>
      <c r="J9" s="16" t="n">
        <v>225844</v>
      </c>
    </row>
    <row r="10" customFormat="false" ht="15" hidden="false" customHeight="true" outlineLevel="0" collapsed="false">
      <c r="A10" s="14" t="n">
        <v>2019</v>
      </c>
      <c r="B10" s="14" t="n">
        <v>1</v>
      </c>
      <c r="C10" s="11" t="s">
        <v>53</v>
      </c>
      <c r="D10" s="11" t="s">
        <v>54</v>
      </c>
      <c r="E10" s="15" t="s">
        <v>27</v>
      </c>
      <c r="F10" s="11" t="s">
        <v>28</v>
      </c>
      <c r="G10" s="12" t="s">
        <v>29</v>
      </c>
      <c r="H10" s="11" t="s">
        <v>59</v>
      </c>
      <c r="I10" s="16" t="n">
        <v>66</v>
      </c>
      <c r="J10" s="16" t="n">
        <v>5329</v>
      </c>
    </row>
    <row r="11" customFormat="false" ht="15" hidden="false" customHeight="true" outlineLevel="0" collapsed="false">
      <c r="A11" s="14" t="n">
        <v>2019</v>
      </c>
      <c r="B11" s="14" t="n">
        <v>1</v>
      </c>
      <c r="C11" s="11" t="s">
        <v>53</v>
      </c>
      <c r="D11" s="11" t="s">
        <v>54</v>
      </c>
      <c r="E11" s="15" t="s">
        <v>27</v>
      </c>
      <c r="F11" s="11" t="s">
        <v>28</v>
      </c>
      <c r="G11" s="12" t="s">
        <v>29</v>
      </c>
      <c r="H11" s="11" t="s">
        <v>60</v>
      </c>
      <c r="I11" s="16" t="n">
        <v>180</v>
      </c>
      <c r="J11" s="16" t="n">
        <v>15625</v>
      </c>
    </row>
    <row r="12" customFormat="false" ht="15" hidden="false" customHeight="true" outlineLevel="0" collapsed="false">
      <c r="A12" s="14" t="n">
        <v>2019</v>
      </c>
      <c r="B12" s="14" t="n">
        <v>1</v>
      </c>
      <c r="C12" s="11" t="s">
        <v>53</v>
      </c>
      <c r="D12" s="11" t="s">
        <v>54</v>
      </c>
      <c r="E12" s="15" t="s">
        <v>27</v>
      </c>
      <c r="F12" s="11" t="s">
        <v>28</v>
      </c>
      <c r="G12" s="12" t="s">
        <v>29</v>
      </c>
      <c r="H12" s="11" t="s">
        <v>61</v>
      </c>
      <c r="I12" s="16" t="n">
        <v>284</v>
      </c>
      <c r="J12" s="16" t="n">
        <v>17289</v>
      </c>
    </row>
    <row r="13" customFormat="false" ht="15" hidden="false" customHeight="true" outlineLevel="0" collapsed="false">
      <c r="A13" s="14" t="n">
        <v>2019</v>
      </c>
      <c r="B13" s="14" t="n">
        <v>1</v>
      </c>
      <c r="C13" s="11" t="s">
        <v>53</v>
      </c>
      <c r="D13" s="11" t="s">
        <v>54</v>
      </c>
      <c r="E13" s="15" t="s">
        <v>27</v>
      </c>
      <c r="F13" s="11" t="s">
        <v>28</v>
      </c>
      <c r="G13" s="12" t="s">
        <v>29</v>
      </c>
      <c r="H13" s="11" t="s">
        <v>62</v>
      </c>
      <c r="I13" s="16" t="n">
        <v>107</v>
      </c>
      <c r="J13" s="16" t="n">
        <v>7621</v>
      </c>
    </row>
    <row r="14" customFormat="false" ht="15" hidden="false" customHeight="true" outlineLevel="0" collapsed="false">
      <c r="A14" s="14" t="n">
        <v>2019</v>
      </c>
      <c r="B14" s="14" t="n">
        <v>2</v>
      </c>
      <c r="C14" s="11" t="s">
        <v>53</v>
      </c>
      <c r="D14" s="11" t="s">
        <v>54</v>
      </c>
      <c r="E14" s="15" t="s">
        <v>20</v>
      </c>
      <c r="F14" s="11" t="s">
        <v>21</v>
      </c>
      <c r="G14" s="12" t="s">
        <v>22</v>
      </c>
      <c r="H14" s="11" t="s">
        <v>55</v>
      </c>
      <c r="I14" s="16" t="n">
        <v>10374</v>
      </c>
      <c r="J14" s="16" t="n">
        <v>1447728</v>
      </c>
    </row>
    <row r="15" customFormat="false" ht="15" hidden="false" customHeight="true" outlineLevel="0" collapsed="false">
      <c r="A15" s="14" t="n">
        <v>2019</v>
      </c>
      <c r="B15" s="14" t="n">
        <v>2</v>
      </c>
      <c r="C15" s="11" t="s">
        <v>53</v>
      </c>
      <c r="D15" s="11" t="s">
        <v>54</v>
      </c>
      <c r="E15" s="15" t="s">
        <v>23</v>
      </c>
      <c r="F15" s="11" t="s">
        <v>24</v>
      </c>
      <c r="G15" s="12" t="s">
        <v>25</v>
      </c>
      <c r="H15" s="11" t="s">
        <v>55</v>
      </c>
      <c r="I15" s="16" t="n">
        <v>61563</v>
      </c>
      <c r="J15" s="16" t="n">
        <v>5435164</v>
      </c>
    </row>
    <row r="16" customFormat="false" ht="15" hidden="false" customHeight="true" outlineLevel="0" collapsed="false">
      <c r="A16" s="14" t="n">
        <v>2019</v>
      </c>
      <c r="B16" s="14" t="n">
        <v>2</v>
      </c>
      <c r="C16" s="11" t="s">
        <v>53</v>
      </c>
      <c r="D16" s="11" t="s">
        <v>54</v>
      </c>
      <c r="E16" s="15" t="s">
        <v>27</v>
      </c>
      <c r="F16" s="11" t="s">
        <v>28</v>
      </c>
      <c r="G16" s="12" t="s">
        <v>29</v>
      </c>
      <c r="H16" s="11" t="s">
        <v>55</v>
      </c>
      <c r="I16" s="16" t="n">
        <v>19</v>
      </c>
      <c r="J16" s="16" t="n">
        <v>1486</v>
      </c>
    </row>
    <row r="17" customFormat="false" ht="15" hidden="false" customHeight="true" outlineLevel="0" collapsed="false">
      <c r="A17" s="14" t="n">
        <v>2019</v>
      </c>
      <c r="B17" s="14" t="n">
        <v>2</v>
      </c>
      <c r="C17" s="11" t="s">
        <v>53</v>
      </c>
      <c r="D17" s="11" t="s">
        <v>54</v>
      </c>
      <c r="E17" s="15" t="s">
        <v>20</v>
      </c>
      <c r="F17" s="11" t="s">
        <v>21</v>
      </c>
      <c r="G17" s="12" t="s">
        <v>22</v>
      </c>
      <c r="H17" s="11" t="s">
        <v>56</v>
      </c>
      <c r="I17" s="16" t="n">
        <v>7556</v>
      </c>
      <c r="J17" s="16" t="n">
        <v>732282</v>
      </c>
    </row>
    <row r="18" customFormat="false" ht="15" hidden="false" customHeight="true" outlineLevel="0" collapsed="false">
      <c r="A18" s="14" t="n">
        <v>2019</v>
      </c>
      <c r="B18" s="14" t="n">
        <v>2</v>
      </c>
      <c r="C18" s="11" t="s">
        <v>53</v>
      </c>
      <c r="D18" s="11" t="s">
        <v>54</v>
      </c>
      <c r="E18" s="15" t="s">
        <v>23</v>
      </c>
      <c r="F18" s="11" t="s">
        <v>24</v>
      </c>
      <c r="G18" s="12" t="s">
        <v>25</v>
      </c>
      <c r="H18" s="11" t="s">
        <v>56</v>
      </c>
      <c r="I18" s="16" t="n">
        <v>13325</v>
      </c>
      <c r="J18" s="16" t="n">
        <v>1315075</v>
      </c>
    </row>
    <row r="19" customFormat="false" ht="15" hidden="false" customHeight="true" outlineLevel="0" collapsed="false">
      <c r="A19" s="14" t="n">
        <v>2019</v>
      </c>
      <c r="B19" s="14" t="n">
        <v>2</v>
      </c>
      <c r="C19" s="11" t="s">
        <v>53</v>
      </c>
      <c r="D19" s="11" t="s">
        <v>54</v>
      </c>
      <c r="E19" s="15" t="s">
        <v>27</v>
      </c>
      <c r="F19" s="11" t="s">
        <v>28</v>
      </c>
      <c r="G19" s="12" t="s">
        <v>29</v>
      </c>
      <c r="H19" s="11" t="s">
        <v>56</v>
      </c>
      <c r="I19" s="16" t="n">
        <v>825</v>
      </c>
      <c r="J19" s="16" t="n">
        <v>153363</v>
      </c>
    </row>
    <row r="20" customFormat="false" ht="15" hidden="false" customHeight="true" outlineLevel="0" collapsed="false">
      <c r="A20" s="14" t="n">
        <v>2019</v>
      </c>
      <c r="B20" s="14" t="n">
        <v>2</v>
      </c>
      <c r="C20" s="11" t="s">
        <v>53</v>
      </c>
      <c r="D20" s="11" t="s">
        <v>54</v>
      </c>
      <c r="E20" s="15" t="s">
        <v>27</v>
      </c>
      <c r="F20" s="11" t="s">
        <v>28</v>
      </c>
      <c r="G20" s="12" t="s">
        <v>29</v>
      </c>
      <c r="H20" s="11" t="s">
        <v>57</v>
      </c>
      <c r="I20" s="16" t="n">
        <v>153</v>
      </c>
      <c r="J20" s="16" t="n">
        <v>7590</v>
      </c>
    </row>
    <row r="21" customFormat="false" ht="15" hidden="false" customHeight="true" outlineLevel="0" collapsed="false">
      <c r="A21" s="14" t="n">
        <v>2019</v>
      </c>
      <c r="B21" s="14" t="n">
        <v>2</v>
      </c>
      <c r="C21" s="11" t="s">
        <v>53</v>
      </c>
      <c r="D21" s="11" t="s">
        <v>54</v>
      </c>
      <c r="E21" s="15" t="s">
        <v>27</v>
      </c>
      <c r="F21" s="11" t="s">
        <v>28</v>
      </c>
      <c r="G21" s="12" t="s">
        <v>29</v>
      </c>
      <c r="H21" s="11" t="s">
        <v>58</v>
      </c>
      <c r="I21" s="16" t="n">
        <v>368</v>
      </c>
      <c r="J21" s="16" t="n">
        <v>24000</v>
      </c>
    </row>
    <row r="22" customFormat="false" ht="15" hidden="false" customHeight="true" outlineLevel="0" collapsed="false">
      <c r="A22" s="14" t="n">
        <v>2019</v>
      </c>
      <c r="B22" s="14" t="n">
        <v>2</v>
      </c>
      <c r="C22" s="11" t="s">
        <v>53</v>
      </c>
      <c r="D22" s="11" t="s">
        <v>54</v>
      </c>
      <c r="E22" s="15" t="s">
        <v>27</v>
      </c>
      <c r="F22" s="11" t="s">
        <v>28</v>
      </c>
      <c r="G22" s="12" t="s">
        <v>29</v>
      </c>
      <c r="H22" s="11" t="s">
        <v>59</v>
      </c>
      <c r="I22" s="16" t="n">
        <v>44</v>
      </c>
      <c r="J22" s="16" t="n">
        <v>3003</v>
      </c>
    </row>
    <row r="23" customFormat="false" ht="15" hidden="false" customHeight="true" outlineLevel="0" collapsed="false">
      <c r="A23" s="14" t="n">
        <v>2019</v>
      </c>
      <c r="B23" s="14" t="n">
        <v>2</v>
      </c>
      <c r="C23" s="11" t="s">
        <v>53</v>
      </c>
      <c r="D23" s="11" t="s">
        <v>54</v>
      </c>
      <c r="E23" s="15" t="s">
        <v>27</v>
      </c>
      <c r="F23" s="11" t="s">
        <v>28</v>
      </c>
      <c r="G23" s="12" t="s">
        <v>29</v>
      </c>
      <c r="H23" s="11" t="s">
        <v>60</v>
      </c>
      <c r="I23" s="16" t="n">
        <v>462</v>
      </c>
      <c r="J23" s="16" t="n">
        <v>32621</v>
      </c>
    </row>
    <row r="24" customFormat="false" ht="15" hidden="false" customHeight="true" outlineLevel="0" collapsed="false">
      <c r="A24" s="14" t="n">
        <v>2019</v>
      </c>
      <c r="B24" s="14" t="n">
        <v>2</v>
      </c>
      <c r="C24" s="11" t="s">
        <v>53</v>
      </c>
      <c r="D24" s="11" t="s">
        <v>54</v>
      </c>
      <c r="E24" s="15" t="s">
        <v>27</v>
      </c>
      <c r="F24" s="11" t="s">
        <v>28</v>
      </c>
      <c r="G24" s="12" t="s">
        <v>29</v>
      </c>
      <c r="H24" s="11" t="s">
        <v>63</v>
      </c>
      <c r="I24" s="16" t="n">
        <v>114</v>
      </c>
      <c r="J24" s="16" t="n">
        <v>5996</v>
      </c>
    </row>
    <row r="25" customFormat="false" ht="15" hidden="false" customHeight="true" outlineLevel="0" collapsed="false">
      <c r="A25" s="14" t="n">
        <v>2019</v>
      </c>
      <c r="B25" s="14" t="n">
        <v>3</v>
      </c>
      <c r="C25" s="11" t="s">
        <v>53</v>
      </c>
      <c r="D25" s="11" t="s">
        <v>54</v>
      </c>
      <c r="E25" s="15" t="s">
        <v>20</v>
      </c>
      <c r="F25" s="11" t="s">
        <v>21</v>
      </c>
      <c r="G25" s="12" t="s">
        <v>22</v>
      </c>
      <c r="H25" s="11" t="s">
        <v>55</v>
      </c>
      <c r="I25" s="16" t="n">
        <v>15917</v>
      </c>
      <c r="J25" s="16" t="n">
        <v>891764</v>
      </c>
    </row>
    <row r="26" customFormat="false" ht="15" hidden="false" customHeight="true" outlineLevel="0" collapsed="false">
      <c r="A26" s="14" t="n">
        <v>2019</v>
      </c>
      <c r="B26" s="14" t="n">
        <v>3</v>
      </c>
      <c r="C26" s="11" t="s">
        <v>53</v>
      </c>
      <c r="D26" s="11" t="s">
        <v>54</v>
      </c>
      <c r="E26" s="15" t="s">
        <v>23</v>
      </c>
      <c r="F26" s="11" t="s">
        <v>24</v>
      </c>
      <c r="G26" s="12" t="s">
        <v>25</v>
      </c>
      <c r="H26" s="11" t="s">
        <v>55</v>
      </c>
      <c r="I26" s="16" t="n">
        <v>66203</v>
      </c>
      <c r="J26" s="16" t="n">
        <v>3844601</v>
      </c>
    </row>
    <row r="27" customFormat="false" ht="15" hidden="false" customHeight="true" outlineLevel="0" collapsed="false">
      <c r="A27" s="14" t="n">
        <v>2019</v>
      </c>
      <c r="B27" s="14" t="n">
        <v>3</v>
      </c>
      <c r="C27" s="11" t="s">
        <v>53</v>
      </c>
      <c r="D27" s="11" t="s">
        <v>54</v>
      </c>
      <c r="E27" s="15" t="s">
        <v>20</v>
      </c>
      <c r="F27" s="11" t="s">
        <v>21</v>
      </c>
      <c r="G27" s="12" t="s">
        <v>22</v>
      </c>
      <c r="H27" s="11" t="s">
        <v>56</v>
      </c>
      <c r="I27" s="16" t="n">
        <v>6500</v>
      </c>
      <c r="J27" s="16" t="n">
        <v>650000</v>
      </c>
    </row>
    <row r="28" customFormat="false" ht="15" hidden="false" customHeight="true" outlineLevel="0" collapsed="false">
      <c r="A28" s="14" t="n">
        <v>2019</v>
      </c>
      <c r="B28" s="14" t="n">
        <v>3</v>
      </c>
      <c r="C28" s="11" t="s">
        <v>53</v>
      </c>
      <c r="D28" s="11" t="s">
        <v>54</v>
      </c>
      <c r="E28" s="15" t="s">
        <v>23</v>
      </c>
      <c r="F28" s="11" t="s">
        <v>24</v>
      </c>
      <c r="G28" s="12" t="s">
        <v>25</v>
      </c>
      <c r="H28" s="11" t="s">
        <v>56</v>
      </c>
      <c r="I28" s="16" t="n">
        <v>2000</v>
      </c>
      <c r="J28" s="16" t="n">
        <v>180000</v>
      </c>
    </row>
    <row r="29" customFormat="false" ht="15" hidden="false" customHeight="true" outlineLevel="0" collapsed="false">
      <c r="A29" s="14" t="n">
        <v>2019</v>
      </c>
      <c r="B29" s="14" t="n">
        <v>3</v>
      </c>
      <c r="C29" s="11" t="s">
        <v>53</v>
      </c>
      <c r="D29" s="11" t="s">
        <v>54</v>
      </c>
      <c r="E29" s="15" t="s">
        <v>27</v>
      </c>
      <c r="F29" s="11" t="s">
        <v>28</v>
      </c>
      <c r="G29" s="12" t="s">
        <v>29</v>
      </c>
      <c r="H29" s="11" t="s">
        <v>56</v>
      </c>
      <c r="I29" s="16" t="n">
        <v>1893</v>
      </c>
      <c r="J29" s="16" t="n">
        <v>908373</v>
      </c>
    </row>
    <row r="30" customFormat="false" ht="15" hidden="false" customHeight="true" outlineLevel="0" collapsed="false">
      <c r="A30" s="14" t="n">
        <v>2019</v>
      </c>
      <c r="B30" s="14" t="n">
        <v>3</v>
      </c>
      <c r="C30" s="11" t="s">
        <v>53</v>
      </c>
      <c r="D30" s="11" t="s">
        <v>54</v>
      </c>
      <c r="E30" s="15" t="s">
        <v>27</v>
      </c>
      <c r="F30" s="11" t="s">
        <v>28</v>
      </c>
      <c r="G30" s="12" t="s">
        <v>29</v>
      </c>
      <c r="H30" s="11" t="s">
        <v>57</v>
      </c>
      <c r="I30" s="16" t="n">
        <v>11</v>
      </c>
      <c r="J30" s="16" t="n">
        <v>9922</v>
      </c>
    </row>
    <row r="31" customFormat="false" ht="15" hidden="false" customHeight="true" outlineLevel="0" collapsed="false">
      <c r="A31" s="14" t="n">
        <v>2019</v>
      </c>
      <c r="B31" s="14" t="n">
        <v>3</v>
      </c>
      <c r="C31" s="11" t="s">
        <v>53</v>
      </c>
      <c r="D31" s="11" t="s">
        <v>54</v>
      </c>
      <c r="E31" s="15" t="s">
        <v>23</v>
      </c>
      <c r="F31" s="11" t="s">
        <v>24</v>
      </c>
      <c r="G31" s="12" t="s">
        <v>25</v>
      </c>
      <c r="H31" s="11" t="s">
        <v>58</v>
      </c>
      <c r="I31" s="16" t="n">
        <v>1028</v>
      </c>
      <c r="J31" s="16" t="n">
        <v>105777</v>
      </c>
    </row>
    <row r="32" customFormat="false" ht="15" hidden="false" customHeight="true" outlineLevel="0" collapsed="false">
      <c r="A32" s="14" t="n">
        <v>2019</v>
      </c>
      <c r="B32" s="14" t="n">
        <v>3</v>
      </c>
      <c r="C32" s="11" t="s">
        <v>53</v>
      </c>
      <c r="D32" s="11" t="s">
        <v>54</v>
      </c>
      <c r="E32" s="15" t="s">
        <v>27</v>
      </c>
      <c r="F32" s="11" t="s">
        <v>28</v>
      </c>
      <c r="G32" s="12" t="s">
        <v>29</v>
      </c>
      <c r="H32" s="11" t="s">
        <v>58</v>
      </c>
      <c r="I32" s="16" t="n">
        <v>150</v>
      </c>
      <c r="J32" s="16" t="n">
        <v>59461</v>
      </c>
    </row>
    <row r="33" customFormat="false" ht="15" hidden="false" customHeight="true" outlineLevel="0" collapsed="false">
      <c r="A33" s="14" t="n">
        <v>2019</v>
      </c>
      <c r="B33" s="14" t="n">
        <v>3</v>
      </c>
      <c r="C33" s="11" t="s">
        <v>53</v>
      </c>
      <c r="D33" s="11" t="s">
        <v>54</v>
      </c>
      <c r="E33" s="15" t="s">
        <v>27</v>
      </c>
      <c r="F33" s="11" t="s">
        <v>28</v>
      </c>
      <c r="G33" s="12" t="s">
        <v>29</v>
      </c>
      <c r="H33" s="11" t="s">
        <v>59</v>
      </c>
      <c r="I33" s="16" t="n">
        <v>100</v>
      </c>
      <c r="J33" s="16" t="n">
        <v>645</v>
      </c>
    </row>
    <row r="34" customFormat="false" ht="15" hidden="false" customHeight="true" outlineLevel="0" collapsed="false">
      <c r="A34" s="14" t="n">
        <v>2019</v>
      </c>
      <c r="B34" s="14" t="n">
        <v>3</v>
      </c>
      <c r="C34" s="11" t="s">
        <v>53</v>
      </c>
      <c r="D34" s="11" t="s">
        <v>54</v>
      </c>
      <c r="E34" s="15" t="s">
        <v>27</v>
      </c>
      <c r="F34" s="11" t="s">
        <v>28</v>
      </c>
      <c r="G34" s="12" t="s">
        <v>29</v>
      </c>
      <c r="H34" s="11" t="s">
        <v>60</v>
      </c>
      <c r="I34" s="16" t="n">
        <v>668</v>
      </c>
      <c r="J34" s="16" t="n">
        <v>33773</v>
      </c>
    </row>
    <row r="35" customFormat="false" ht="15" hidden="false" customHeight="true" outlineLevel="0" collapsed="false">
      <c r="A35" s="14" t="n">
        <v>2019</v>
      </c>
      <c r="B35" s="14" t="n">
        <v>3</v>
      </c>
      <c r="C35" s="11" t="s">
        <v>53</v>
      </c>
      <c r="D35" s="11" t="s">
        <v>54</v>
      </c>
      <c r="E35" s="15" t="s">
        <v>27</v>
      </c>
      <c r="F35" s="11" t="s">
        <v>28</v>
      </c>
      <c r="G35" s="12" t="s">
        <v>29</v>
      </c>
      <c r="H35" s="11" t="s">
        <v>61</v>
      </c>
      <c r="I35" s="16" t="n">
        <v>175</v>
      </c>
      <c r="J35" s="16" t="n">
        <v>11732</v>
      </c>
    </row>
    <row r="36" customFormat="false" ht="15" hidden="false" customHeight="true" outlineLevel="0" collapsed="false">
      <c r="A36" s="14" t="n">
        <v>2019</v>
      </c>
      <c r="B36" s="14" t="n">
        <v>4</v>
      </c>
      <c r="C36" s="11" t="s">
        <v>53</v>
      </c>
      <c r="D36" s="11" t="s">
        <v>54</v>
      </c>
      <c r="E36" s="15" t="s">
        <v>20</v>
      </c>
      <c r="F36" s="11" t="s">
        <v>21</v>
      </c>
      <c r="G36" s="12" t="s">
        <v>22</v>
      </c>
      <c r="H36" s="11" t="s">
        <v>55</v>
      </c>
      <c r="I36" s="16" t="n">
        <v>13082</v>
      </c>
      <c r="J36" s="16" t="n">
        <v>795662</v>
      </c>
    </row>
    <row r="37" customFormat="false" ht="15" hidden="false" customHeight="true" outlineLevel="0" collapsed="false">
      <c r="A37" s="14" t="n">
        <v>2019</v>
      </c>
      <c r="B37" s="14" t="n">
        <v>4</v>
      </c>
      <c r="C37" s="11" t="s">
        <v>53</v>
      </c>
      <c r="D37" s="11" t="s">
        <v>54</v>
      </c>
      <c r="E37" s="15" t="s">
        <v>23</v>
      </c>
      <c r="F37" s="11" t="s">
        <v>24</v>
      </c>
      <c r="G37" s="12" t="s">
        <v>25</v>
      </c>
      <c r="H37" s="11" t="s">
        <v>55</v>
      </c>
      <c r="I37" s="16" t="n">
        <v>31622</v>
      </c>
      <c r="J37" s="16" t="n">
        <v>3630733</v>
      </c>
    </row>
    <row r="38" customFormat="false" ht="15" hidden="false" customHeight="true" outlineLevel="0" collapsed="false">
      <c r="A38" s="14" t="n">
        <v>2019</v>
      </c>
      <c r="B38" s="14" t="n">
        <v>4</v>
      </c>
      <c r="C38" s="11" t="s">
        <v>53</v>
      </c>
      <c r="D38" s="11" t="s">
        <v>54</v>
      </c>
      <c r="E38" s="15" t="s">
        <v>20</v>
      </c>
      <c r="F38" s="11" t="s">
        <v>21</v>
      </c>
      <c r="G38" s="12" t="s">
        <v>22</v>
      </c>
      <c r="H38" s="11" t="s">
        <v>56</v>
      </c>
      <c r="I38" s="16" t="n">
        <v>3992</v>
      </c>
      <c r="J38" s="16" t="n">
        <v>479021</v>
      </c>
    </row>
    <row r="39" customFormat="false" ht="15" hidden="false" customHeight="true" outlineLevel="0" collapsed="false">
      <c r="A39" s="14" t="n">
        <v>2019</v>
      </c>
      <c r="B39" s="14" t="n">
        <v>4</v>
      </c>
      <c r="C39" s="11" t="s">
        <v>53</v>
      </c>
      <c r="D39" s="11" t="s">
        <v>54</v>
      </c>
      <c r="E39" s="15" t="s">
        <v>23</v>
      </c>
      <c r="F39" s="11" t="s">
        <v>24</v>
      </c>
      <c r="G39" s="12" t="s">
        <v>25</v>
      </c>
      <c r="H39" s="11" t="s">
        <v>56</v>
      </c>
      <c r="I39" s="16" t="n">
        <v>3097</v>
      </c>
      <c r="J39" s="16" t="n">
        <v>269207</v>
      </c>
    </row>
    <row r="40" customFormat="false" ht="15" hidden="false" customHeight="true" outlineLevel="0" collapsed="false">
      <c r="A40" s="14" t="n">
        <v>2019</v>
      </c>
      <c r="B40" s="14" t="n">
        <v>4</v>
      </c>
      <c r="C40" s="11" t="s">
        <v>53</v>
      </c>
      <c r="D40" s="11" t="s">
        <v>54</v>
      </c>
      <c r="E40" s="15" t="s">
        <v>27</v>
      </c>
      <c r="F40" s="11" t="s">
        <v>28</v>
      </c>
      <c r="G40" s="12" t="s">
        <v>29</v>
      </c>
      <c r="H40" s="11" t="s">
        <v>56</v>
      </c>
      <c r="I40" s="16" t="n">
        <v>3418</v>
      </c>
      <c r="J40" s="16" t="n">
        <v>1134694</v>
      </c>
    </row>
    <row r="41" customFormat="false" ht="15" hidden="false" customHeight="true" outlineLevel="0" collapsed="false">
      <c r="A41" s="14" t="n">
        <v>2019</v>
      </c>
      <c r="B41" s="14" t="n">
        <v>4</v>
      </c>
      <c r="C41" s="11" t="s">
        <v>53</v>
      </c>
      <c r="D41" s="11" t="s">
        <v>54</v>
      </c>
      <c r="E41" s="15" t="s">
        <v>20</v>
      </c>
      <c r="F41" s="11" t="s">
        <v>21</v>
      </c>
      <c r="G41" s="12" t="s">
        <v>22</v>
      </c>
      <c r="H41" s="11" t="s">
        <v>57</v>
      </c>
      <c r="I41" s="16" t="n">
        <v>450</v>
      </c>
      <c r="J41" s="16" t="n">
        <v>28065</v>
      </c>
    </row>
    <row r="42" customFormat="false" ht="15" hidden="false" customHeight="true" outlineLevel="0" collapsed="false">
      <c r="A42" s="14" t="n">
        <v>2019</v>
      </c>
      <c r="B42" s="14" t="n">
        <v>4</v>
      </c>
      <c r="C42" s="11" t="s">
        <v>53</v>
      </c>
      <c r="D42" s="11" t="s">
        <v>54</v>
      </c>
      <c r="E42" s="15" t="s">
        <v>27</v>
      </c>
      <c r="F42" s="11" t="s">
        <v>28</v>
      </c>
      <c r="G42" s="12" t="s">
        <v>29</v>
      </c>
      <c r="H42" s="11" t="s">
        <v>57</v>
      </c>
      <c r="I42" s="16" t="n">
        <v>142</v>
      </c>
      <c r="J42" s="16" t="n">
        <v>39392</v>
      </c>
    </row>
    <row r="43" customFormat="false" ht="15" hidden="false" customHeight="true" outlineLevel="0" collapsed="false">
      <c r="A43" s="14" t="n">
        <v>2019</v>
      </c>
      <c r="B43" s="14" t="n">
        <v>4</v>
      </c>
      <c r="C43" s="11" t="s">
        <v>53</v>
      </c>
      <c r="D43" s="11" t="s">
        <v>54</v>
      </c>
      <c r="E43" s="15" t="s">
        <v>27</v>
      </c>
      <c r="F43" s="11" t="s">
        <v>28</v>
      </c>
      <c r="G43" s="12" t="s">
        <v>29</v>
      </c>
      <c r="H43" s="11" t="s">
        <v>59</v>
      </c>
      <c r="I43" s="16" t="n">
        <v>33</v>
      </c>
      <c r="J43" s="16" t="n">
        <v>2460</v>
      </c>
    </row>
    <row r="44" customFormat="false" ht="15" hidden="false" customHeight="true" outlineLevel="0" collapsed="false">
      <c r="A44" s="14" t="n">
        <v>2019</v>
      </c>
      <c r="B44" s="14" t="n">
        <v>4</v>
      </c>
      <c r="C44" s="11" t="s">
        <v>53</v>
      </c>
      <c r="D44" s="11" t="s">
        <v>54</v>
      </c>
      <c r="E44" s="15" t="s">
        <v>27</v>
      </c>
      <c r="F44" s="11" t="s">
        <v>28</v>
      </c>
      <c r="G44" s="12" t="s">
        <v>29</v>
      </c>
      <c r="H44" s="11" t="s">
        <v>60</v>
      </c>
      <c r="I44" s="16" t="n">
        <v>1632</v>
      </c>
      <c r="J44" s="16" t="n">
        <v>89391</v>
      </c>
    </row>
    <row r="45" customFormat="false" ht="15" hidden="false" customHeight="true" outlineLevel="0" collapsed="false">
      <c r="A45" s="14" t="n">
        <v>2019</v>
      </c>
      <c r="B45" s="14" t="n">
        <v>4</v>
      </c>
      <c r="C45" s="11" t="s">
        <v>53</v>
      </c>
      <c r="D45" s="11" t="s">
        <v>54</v>
      </c>
      <c r="E45" s="15" t="s">
        <v>27</v>
      </c>
      <c r="F45" s="11" t="s">
        <v>28</v>
      </c>
      <c r="G45" s="12" t="s">
        <v>29</v>
      </c>
      <c r="H45" s="11" t="s">
        <v>61</v>
      </c>
      <c r="I45" s="16" t="n">
        <v>488</v>
      </c>
      <c r="J45" s="16" t="n">
        <v>28059</v>
      </c>
    </row>
    <row r="46" customFormat="false" ht="15" hidden="false" customHeight="true" outlineLevel="0" collapsed="false">
      <c r="A46" s="14" t="n">
        <v>2019</v>
      </c>
      <c r="B46" s="14" t="n">
        <v>5</v>
      </c>
      <c r="C46" s="11" t="s">
        <v>53</v>
      </c>
      <c r="D46" s="11" t="s">
        <v>54</v>
      </c>
      <c r="E46" s="15" t="s">
        <v>20</v>
      </c>
      <c r="F46" s="11" t="s">
        <v>21</v>
      </c>
      <c r="G46" s="12" t="s">
        <v>22</v>
      </c>
      <c r="H46" s="11" t="s">
        <v>55</v>
      </c>
      <c r="I46" s="16" t="n">
        <v>7807</v>
      </c>
      <c r="J46" s="16" t="n">
        <v>549901</v>
      </c>
    </row>
    <row r="47" customFormat="false" ht="15" hidden="false" customHeight="true" outlineLevel="0" collapsed="false">
      <c r="A47" s="14" t="n">
        <v>2019</v>
      </c>
      <c r="B47" s="14" t="n">
        <v>5</v>
      </c>
      <c r="C47" s="11" t="s">
        <v>53</v>
      </c>
      <c r="D47" s="11" t="s">
        <v>54</v>
      </c>
      <c r="E47" s="15" t="s">
        <v>23</v>
      </c>
      <c r="F47" s="11" t="s">
        <v>24</v>
      </c>
      <c r="G47" s="12" t="s">
        <v>25</v>
      </c>
      <c r="H47" s="11" t="s">
        <v>55</v>
      </c>
      <c r="I47" s="16" t="n">
        <v>48129</v>
      </c>
      <c r="J47" s="16" t="n">
        <v>2877477</v>
      </c>
    </row>
    <row r="48" customFormat="false" ht="15" hidden="false" customHeight="true" outlineLevel="0" collapsed="false">
      <c r="A48" s="14" t="n">
        <v>2019</v>
      </c>
      <c r="B48" s="14" t="n">
        <v>5</v>
      </c>
      <c r="C48" s="11" t="s">
        <v>53</v>
      </c>
      <c r="D48" s="11" t="s">
        <v>54</v>
      </c>
      <c r="E48" s="15" t="s">
        <v>27</v>
      </c>
      <c r="F48" s="11" t="s">
        <v>28</v>
      </c>
      <c r="G48" s="12" t="s">
        <v>29</v>
      </c>
      <c r="H48" s="11" t="s">
        <v>55</v>
      </c>
      <c r="I48" s="16" t="n">
        <v>737</v>
      </c>
      <c r="J48" s="16" t="n">
        <v>58971</v>
      </c>
    </row>
    <row r="49" customFormat="false" ht="15" hidden="false" customHeight="true" outlineLevel="0" collapsed="false">
      <c r="A49" s="14" t="n">
        <v>2019</v>
      </c>
      <c r="B49" s="14" t="n">
        <v>5</v>
      </c>
      <c r="C49" s="11" t="s">
        <v>53</v>
      </c>
      <c r="D49" s="11" t="s">
        <v>54</v>
      </c>
      <c r="E49" s="15" t="s">
        <v>23</v>
      </c>
      <c r="F49" s="11" t="s">
        <v>24</v>
      </c>
      <c r="G49" s="12" t="s">
        <v>25</v>
      </c>
      <c r="H49" s="11" t="s">
        <v>56</v>
      </c>
      <c r="I49" s="16" t="n">
        <v>768</v>
      </c>
      <c r="J49" s="16" t="n">
        <v>69098</v>
      </c>
    </row>
    <row r="50" customFormat="false" ht="15" hidden="false" customHeight="true" outlineLevel="0" collapsed="false">
      <c r="A50" s="14" t="n">
        <v>2019</v>
      </c>
      <c r="B50" s="14" t="n">
        <v>5</v>
      </c>
      <c r="C50" s="11" t="s">
        <v>53</v>
      </c>
      <c r="D50" s="11" t="s">
        <v>54</v>
      </c>
      <c r="E50" s="15" t="s">
        <v>27</v>
      </c>
      <c r="F50" s="11" t="s">
        <v>28</v>
      </c>
      <c r="G50" s="12" t="s">
        <v>29</v>
      </c>
      <c r="H50" s="11" t="s">
        <v>56</v>
      </c>
      <c r="I50" s="16" t="n">
        <v>1492</v>
      </c>
      <c r="J50" s="16" t="n">
        <v>787309</v>
      </c>
    </row>
    <row r="51" customFormat="false" ht="15" hidden="false" customHeight="true" outlineLevel="0" collapsed="false">
      <c r="A51" s="14" t="n">
        <v>2019</v>
      </c>
      <c r="B51" s="14" t="n">
        <v>5</v>
      </c>
      <c r="C51" s="11" t="s">
        <v>53</v>
      </c>
      <c r="D51" s="11" t="s">
        <v>54</v>
      </c>
      <c r="E51" s="15" t="s">
        <v>20</v>
      </c>
      <c r="F51" s="11" t="s">
        <v>21</v>
      </c>
      <c r="G51" s="12" t="s">
        <v>22</v>
      </c>
      <c r="H51" s="11" t="s">
        <v>57</v>
      </c>
      <c r="I51" s="16" t="n">
        <v>1947</v>
      </c>
      <c r="J51" s="16" t="n">
        <v>107706</v>
      </c>
    </row>
    <row r="52" customFormat="false" ht="15" hidden="false" customHeight="true" outlineLevel="0" collapsed="false">
      <c r="A52" s="14" t="n">
        <v>2019</v>
      </c>
      <c r="B52" s="14" t="n">
        <v>5</v>
      </c>
      <c r="C52" s="11" t="s">
        <v>53</v>
      </c>
      <c r="D52" s="11" t="s">
        <v>54</v>
      </c>
      <c r="E52" s="15" t="s">
        <v>27</v>
      </c>
      <c r="F52" s="11" t="s">
        <v>28</v>
      </c>
      <c r="G52" s="12" t="s">
        <v>29</v>
      </c>
      <c r="H52" s="11" t="s">
        <v>57</v>
      </c>
      <c r="I52" s="16" t="n">
        <v>188</v>
      </c>
      <c r="J52" s="16" t="n">
        <v>9141</v>
      </c>
    </row>
    <row r="53" customFormat="false" ht="15" hidden="false" customHeight="true" outlineLevel="0" collapsed="false">
      <c r="A53" s="14" t="n">
        <v>2019</v>
      </c>
      <c r="B53" s="14" t="n">
        <v>5</v>
      </c>
      <c r="C53" s="11" t="s">
        <v>53</v>
      </c>
      <c r="D53" s="11" t="s">
        <v>54</v>
      </c>
      <c r="E53" s="15" t="s">
        <v>27</v>
      </c>
      <c r="F53" s="11" t="s">
        <v>28</v>
      </c>
      <c r="G53" s="12" t="s">
        <v>29</v>
      </c>
      <c r="H53" s="11" t="s">
        <v>58</v>
      </c>
      <c r="I53" s="16" t="n">
        <v>24</v>
      </c>
      <c r="J53" s="16" t="n">
        <v>1743</v>
      </c>
    </row>
    <row r="54" customFormat="false" ht="15" hidden="false" customHeight="true" outlineLevel="0" collapsed="false">
      <c r="A54" s="14" t="n">
        <v>2019</v>
      </c>
      <c r="B54" s="14" t="n">
        <v>5</v>
      </c>
      <c r="C54" s="11" t="s">
        <v>53</v>
      </c>
      <c r="D54" s="11" t="s">
        <v>54</v>
      </c>
      <c r="E54" s="15" t="s">
        <v>27</v>
      </c>
      <c r="F54" s="11" t="s">
        <v>28</v>
      </c>
      <c r="G54" s="12" t="s">
        <v>29</v>
      </c>
      <c r="H54" s="11" t="s">
        <v>59</v>
      </c>
      <c r="I54" s="16" t="n">
        <v>1645</v>
      </c>
      <c r="J54" s="16" t="n">
        <v>74829</v>
      </c>
    </row>
    <row r="55" customFormat="false" ht="15" hidden="false" customHeight="true" outlineLevel="0" collapsed="false">
      <c r="A55" s="14" t="n">
        <v>2019</v>
      </c>
      <c r="B55" s="14" t="n">
        <v>5</v>
      </c>
      <c r="C55" s="11" t="s">
        <v>53</v>
      </c>
      <c r="D55" s="11" t="s">
        <v>54</v>
      </c>
      <c r="E55" s="15" t="s">
        <v>27</v>
      </c>
      <c r="F55" s="11" t="s">
        <v>28</v>
      </c>
      <c r="G55" s="12" t="s">
        <v>29</v>
      </c>
      <c r="H55" s="11" t="s">
        <v>60</v>
      </c>
      <c r="I55" s="16" t="n">
        <v>498</v>
      </c>
      <c r="J55" s="16" t="n">
        <v>25431</v>
      </c>
    </row>
    <row r="56" customFormat="false" ht="15" hidden="false" customHeight="true" outlineLevel="0" collapsed="false">
      <c r="A56" s="14" t="n">
        <v>2019</v>
      </c>
      <c r="B56" s="14" t="n">
        <v>5</v>
      </c>
      <c r="C56" s="11" t="s">
        <v>53</v>
      </c>
      <c r="D56" s="11" t="s">
        <v>54</v>
      </c>
      <c r="E56" s="15" t="s">
        <v>31</v>
      </c>
      <c r="F56" s="11" t="s">
        <v>64</v>
      </c>
      <c r="G56" s="12" t="s">
        <v>33</v>
      </c>
      <c r="H56" s="11" t="s">
        <v>60</v>
      </c>
      <c r="I56" s="16" t="n">
        <v>86</v>
      </c>
      <c r="J56" s="16" t="n">
        <v>63644</v>
      </c>
    </row>
    <row r="57" customFormat="false" ht="15" hidden="false" customHeight="true" outlineLevel="0" collapsed="false">
      <c r="A57" s="14" t="n">
        <v>2019</v>
      </c>
      <c r="B57" s="14" t="n">
        <v>5</v>
      </c>
      <c r="C57" s="11" t="s">
        <v>53</v>
      </c>
      <c r="D57" s="11" t="s">
        <v>54</v>
      </c>
      <c r="E57" s="15" t="s">
        <v>27</v>
      </c>
      <c r="F57" s="11" t="s">
        <v>28</v>
      </c>
      <c r="G57" s="12" t="s">
        <v>29</v>
      </c>
      <c r="H57" s="11" t="s">
        <v>61</v>
      </c>
      <c r="I57" s="16" t="n">
        <v>50</v>
      </c>
      <c r="J57" s="16" t="n">
        <v>20000</v>
      </c>
    </row>
    <row r="58" customFormat="false" ht="15" hidden="false" customHeight="true" outlineLevel="0" collapsed="false">
      <c r="A58" s="14" t="n">
        <v>2019</v>
      </c>
      <c r="B58" s="14" t="n">
        <v>5</v>
      </c>
      <c r="C58" s="11" t="s">
        <v>53</v>
      </c>
      <c r="D58" s="11" t="s">
        <v>54</v>
      </c>
      <c r="E58" s="15" t="s">
        <v>27</v>
      </c>
      <c r="F58" s="11" t="s">
        <v>28</v>
      </c>
      <c r="G58" s="12" t="s">
        <v>29</v>
      </c>
      <c r="H58" s="11" t="s">
        <v>63</v>
      </c>
      <c r="I58" s="16" t="n">
        <v>128</v>
      </c>
      <c r="J58" s="16" t="n">
        <v>7454</v>
      </c>
    </row>
    <row r="59" customFormat="false" ht="15" hidden="false" customHeight="true" outlineLevel="0" collapsed="false">
      <c r="A59" s="14" t="n">
        <v>2019</v>
      </c>
      <c r="B59" s="14" t="n">
        <v>5</v>
      </c>
      <c r="C59" s="11" t="s">
        <v>53</v>
      </c>
      <c r="D59" s="11" t="s">
        <v>54</v>
      </c>
      <c r="E59" s="15" t="s">
        <v>27</v>
      </c>
      <c r="F59" s="11" t="s">
        <v>28</v>
      </c>
      <c r="G59" s="12" t="s">
        <v>29</v>
      </c>
      <c r="H59" s="11" t="s">
        <v>62</v>
      </c>
      <c r="I59" s="16" t="n">
        <v>17</v>
      </c>
      <c r="J59" s="16" t="n">
        <v>1070</v>
      </c>
    </row>
    <row r="60" customFormat="false" ht="15" hidden="false" customHeight="true" outlineLevel="0" collapsed="false">
      <c r="A60" s="14" t="n">
        <v>2019</v>
      </c>
      <c r="B60" s="14" t="n">
        <v>6</v>
      </c>
      <c r="C60" s="11" t="s">
        <v>53</v>
      </c>
      <c r="D60" s="11" t="s">
        <v>54</v>
      </c>
      <c r="E60" s="15" t="s">
        <v>20</v>
      </c>
      <c r="F60" s="11" t="s">
        <v>21</v>
      </c>
      <c r="G60" s="12" t="s">
        <v>22</v>
      </c>
      <c r="H60" s="11" t="s">
        <v>55</v>
      </c>
      <c r="I60" s="16" t="n">
        <v>5768</v>
      </c>
      <c r="J60" s="16" t="n">
        <v>86525</v>
      </c>
    </row>
    <row r="61" customFormat="false" ht="15" hidden="false" customHeight="true" outlineLevel="0" collapsed="false">
      <c r="A61" s="14" t="n">
        <v>2019</v>
      </c>
      <c r="B61" s="14" t="n">
        <v>6</v>
      </c>
      <c r="C61" s="11" t="s">
        <v>53</v>
      </c>
      <c r="D61" s="11" t="s">
        <v>54</v>
      </c>
      <c r="E61" s="15" t="s">
        <v>27</v>
      </c>
      <c r="F61" s="11" t="s">
        <v>28</v>
      </c>
      <c r="G61" s="12" t="s">
        <v>29</v>
      </c>
      <c r="H61" s="11" t="s">
        <v>55</v>
      </c>
      <c r="I61" s="16" t="n">
        <v>29</v>
      </c>
      <c r="J61" s="16" t="n">
        <v>2276</v>
      </c>
    </row>
    <row r="62" customFormat="false" ht="15" hidden="false" customHeight="true" outlineLevel="0" collapsed="false">
      <c r="A62" s="14" t="n">
        <v>2019</v>
      </c>
      <c r="B62" s="14" t="n">
        <v>6</v>
      </c>
      <c r="C62" s="11" t="s">
        <v>53</v>
      </c>
      <c r="D62" s="11" t="s">
        <v>54</v>
      </c>
      <c r="E62" s="15" t="s">
        <v>20</v>
      </c>
      <c r="F62" s="11" t="s">
        <v>21</v>
      </c>
      <c r="G62" s="12" t="s">
        <v>22</v>
      </c>
      <c r="H62" s="11" t="s">
        <v>56</v>
      </c>
      <c r="I62" s="16" t="n">
        <v>1200</v>
      </c>
      <c r="J62" s="16" t="n">
        <v>108000</v>
      </c>
    </row>
    <row r="63" customFormat="false" ht="15" hidden="false" customHeight="true" outlineLevel="0" collapsed="false">
      <c r="A63" s="14" t="n">
        <v>2019</v>
      </c>
      <c r="B63" s="14" t="n">
        <v>6</v>
      </c>
      <c r="C63" s="11" t="s">
        <v>53</v>
      </c>
      <c r="D63" s="11" t="s">
        <v>54</v>
      </c>
      <c r="E63" s="15" t="s">
        <v>27</v>
      </c>
      <c r="F63" s="11" t="s">
        <v>28</v>
      </c>
      <c r="G63" s="12" t="s">
        <v>29</v>
      </c>
      <c r="H63" s="11" t="s">
        <v>56</v>
      </c>
      <c r="I63" s="16" t="n">
        <v>2111</v>
      </c>
      <c r="J63" s="16" t="n">
        <v>470005</v>
      </c>
    </row>
    <row r="64" customFormat="false" ht="15" hidden="false" customHeight="true" outlineLevel="0" collapsed="false">
      <c r="A64" s="14" t="n">
        <v>2019</v>
      </c>
      <c r="B64" s="14" t="n">
        <v>6</v>
      </c>
      <c r="C64" s="11" t="s">
        <v>53</v>
      </c>
      <c r="D64" s="11" t="s">
        <v>54</v>
      </c>
      <c r="E64" s="15" t="s">
        <v>20</v>
      </c>
      <c r="F64" s="11" t="s">
        <v>21</v>
      </c>
      <c r="G64" s="12" t="s">
        <v>22</v>
      </c>
      <c r="H64" s="11" t="s">
        <v>57</v>
      </c>
      <c r="I64" s="16" t="n">
        <v>2061</v>
      </c>
      <c r="J64" s="16" t="n">
        <v>112217</v>
      </c>
    </row>
    <row r="65" customFormat="false" ht="15" hidden="false" customHeight="true" outlineLevel="0" collapsed="false">
      <c r="A65" s="14" t="n">
        <v>2019</v>
      </c>
      <c r="B65" s="14" t="n">
        <v>6</v>
      </c>
      <c r="C65" s="11" t="s">
        <v>53</v>
      </c>
      <c r="D65" s="11" t="s">
        <v>54</v>
      </c>
      <c r="E65" s="15" t="s">
        <v>27</v>
      </c>
      <c r="F65" s="11" t="s">
        <v>28</v>
      </c>
      <c r="G65" s="12" t="s">
        <v>29</v>
      </c>
      <c r="H65" s="11" t="s">
        <v>57</v>
      </c>
      <c r="I65" s="16" t="n">
        <v>751</v>
      </c>
      <c r="J65" s="16" t="n">
        <v>52012</v>
      </c>
    </row>
    <row r="66" customFormat="false" ht="15" hidden="false" customHeight="true" outlineLevel="0" collapsed="false">
      <c r="A66" s="14" t="n">
        <v>2019</v>
      </c>
      <c r="B66" s="14" t="n">
        <v>6</v>
      </c>
      <c r="C66" s="11" t="s">
        <v>53</v>
      </c>
      <c r="D66" s="11" t="s">
        <v>54</v>
      </c>
      <c r="E66" s="15" t="s">
        <v>20</v>
      </c>
      <c r="F66" s="11" t="s">
        <v>21</v>
      </c>
      <c r="G66" s="12" t="s">
        <v>22</v>
      </c>
      <c r="H66" s="11" t="s">
        <v>58</v>
      </c>
      <c r="I66" s="16" t="n">
        <v>2841</v>
      </c>
      <c r="J66" s="16" t="n">
        <v>54472</v>
      </c>
    </row>
    <row r="67" customFormat="false" ht="15" hidden="false" customHeight="true" outlineLevel="0" collapsed="false">
      <c r="A67" s="14" t="n">
        <v>2019</v>
      </c>
      <c r="B67" s="14" t="n">
        <v>6</v>
      </c>
      <c r="C67" s="11" t="s">
        <v>53</v>
      </c>
      <c r="D67" s="11" t="s">
        <v>54</v>
      </c>
      <c r="E67" s="15" t="s">
        <v>27</v>
      </c>
      <c r="F67" s="11" t="s">
        <v>28</v>
      </c>
      <c r="G67" s="12" t="s">
        <v>29</v>
      </c>
      <c r="H67" s="11" t="s">
        <v>58</v>
      </c>
      <c r="I67" s="16" t="n">
        <v>17</v>
      </c>
      <c r="J67" s="16" t="n">
        <v>1411</v>
      </c>
    </row>
    <row r="68" customFormat="false" ht="15" hidden="false" customHeight="true" outlineLevel="0" collapsed="false">
      <c r="A68" s="14" t="n">
        <v>2019</v>
      </c>
      <c r="B68" s="14" t="n">
        <v>6</v>
      </c>
      <c r="C68" s="11" t="s">
        <v>53</v>
      </c>
      <c r="D68" s="11" t="s">
        <v>54</v>
      </c>
      <c r="E68" s="15" t="s">
        <v>27</v>
      </c>
      <c r="F68" s="11" t="s">
        <v>28</v>
      </c>
      <c r="G68" s="12" t="s">
        <v>29</v>
      </c>
      <c r="H68" s="11" t="s">
        <v>59</v>
      </c>
      <c r="I68" s="16" t="n">
        <v>40</v>
      </c>
      <c r="J68" s="16" t="n">
        <v>3341</v>
      </c>
    </row>
    <row r="69" customFormat="false" ht="15" hidden="false" customHeight="true" outlineLevel="0" collapsed="false">
      <c r="A69" s="14" t="n">
        <v>2019</v>
      </c>
      <c r="B69" s="14" t="n">
        <v>6</v>
      </c>
      <c r="C69" s="11" t="s">
        <v>53</v>
      </c>
      <c r="D69" s="11" t="s">
        <v>54</v>
      </c>
      <c r="E69" s="15" t="s">
        <v>23</v>
      </c>
      <c r="F69" s="11" t="s">
        <v>24</v>
      </c>
      <c r="G69" s="12" t="s">
        <v>25</v>
      </c>
      <c r="H69" s="11" t="s">
        <v>60</v>
      </c>
      <c r="I69" s="16" t="n">
        <v>100</v>
      </c>
      <c r="J69" s="16" t="n">
        <v>52529</v>
      </c>
    </row>
    <row r="70" customFormat="false" ht="15" hidden="false" customHeight="true" outlineLevel="0" collapsed="false">
      <c r="A70" s="14" t="n">
        <v>2019</v>
      </c>
      <c r="B70" s="14" t="n">
        <v>6</v>
      </c>
      <c r="C70" s="11" t="s">
        <v>53</v>
      </c>
      <c r="D70" s="11" t="s">
        <v>54</v>
      </c>
      <c r="E70" s="15" t="s">
        <v>27</v>
      </c>
      <c r="F70" s="11" t="s">
        <v>28</v>
      </c>
      <c r="G70" s="12" t="s">
        <v>29</v>
      </c>
      <c r="H70" s="11" t="s">
        <v>60</v>
      </c>
      <c r="I70" s="16" t="n">
        <v>897</v>
      </c>
      <c r="J70" s="16" t="n">
        <v>49530</v>
      </c>
    </row>
    <row r="71" customFormat="false" ht="15" hidden="false" customHeight="true" outlineLevel="0" collapsed="false">
      <c r="A71" s="14" t="n">
        <v>2019</v>
      </c>
      <c r="B71" s="14" t="n">
        <v>6</v>
      </c>
      <c r="C71" s="11" t="s">
        <v>53</v>
      </c>
      <c r="D71" s="11" t="s">
        <v>54</v>
      </c>
      <c r="E71" s="15" t="s">
        <v>27</v>
      </c>
      <c r="F71" s="11" t="s">
        <v>28</v>
      </c>
      <c r="G71" s="12" t="s">
        <v>29</v>
      </c>
      <c r="H71" s="11" t="s">
        <v>61</v>
      </c>
      <c r="I71" s="16" t="n">
        <v>868</v>
      </c>
      <c r="J71" s="16" t="n">
        <v>36936</v>
      </c>
    </row>
    <row r="72" customFormat="false" ht="15" hidden="false" customHeight="true" outlineLevel="0" collapsed="false">
      <c r="A72" s="14" t="n">
        <v>2019</v>
      </c>
      <c r="B72" s="14" t="n">
        <v>7</v>
      </c>
      <c r="C72" s="11" t="s">
        <v>53</v>
      </c>
      <c r="D72" s="11" t="s">
        <v>54</v>
      </c>
      <c r="E72" s="15" t="s">
        <v>27</v>
      </c>
      <c r="F72" s="11" t="s">
        <v>28</v>
      </c>
      <c r="G72" s="12" t="s">
        <v>29</v>
      </c>
      <c r="H72" s="11" t="s">
        <v>55</v>
      </c>
      <c r="I72" s="16" t="n">
        <v>139</v>
      </c>
      <c r="J72" s="16" t="n">
        <v>10969</v>
      </c>
    </row>
    <row r="73" customFormat="false" ht="15" hidden="false" customHeight="true" outlineLevel="0" collapsed="false">
      <c r="A73" s="14" t="n">
        <v>2019</v>
      </c>
      <c r="B73" s="14" t="n">
        <v>7</v>
      </c>
      <c r="C73" s="11" t="s">
        <v>53</v>
      </c>
      <c r="D73" s="11" t="s">
        <v>54</v>
      </c>
      <c r="E73" s="15" t="s">
        <v>20</v>
      </c>
      <c r="F73" s="11" t="s">
        <v>21</v>
      </c>
      <c r="G73" s="12" t="s">
        <v>22</v>
      </c>
      <c r="H73" s="11" t="s">
        <v>56</v>
      </c>
      <c r="I73" s="16" t="n">
        <v>21166</v>
      </c>
      <c r="J73" s="16" t="n">
        <v>1956118</v>
      </c>
    </row>
    <row r="74" customFormat="false" ht="15" hidden="false" customHeight="true" outlineLevel="0" collapsed="false">
      <c r="A74" s="14" t="n">
        <v>2019</v>
      </c>
      <c r="B74" s="14" t="n">
        <v>7</v>
      </c>
      <c r="C74" s="11" t="s">
        <v>53</v>
      </c>
      <c r="D74" s="11" t="s">
        <v>54</v>
      </c>
      <c r="E74" s="15" t="s">
        <v>23</v>
      </c>
      <c r="F74" s="11" t="s">
        <v>24</v>
      </c>
      <c r="G74" s="12" t="s">
        <v>25</v>
      </c>
      <c r="H74" s="11" t="s">
        <v>56</v>
      </c>
      <c r="I74" s="16" t="n">
        <v>1000</v>
      </c>
      <c r="J74" s="16" t="n">
        <v>90000</v>
      </c>
    </row>
    <row r="75" customFormat="false" ht="15" hidden="false" customHeight="true" outlineLevel="0" collapsed="false">
      <c r="A75" s="14" t="n">
        <v>2019</v>
      </c>
      <c r="B75" s="14" t="n">
        <v>7</v>
      </c>
      <c r="C75" s="11" t="s">
        <v>53</v>
      </c>
      <c r="D75" s="11" t="s">
        <v>54</v>
      </c>
      <c r="E75" s="15" t="s">
        <v>27</v>
      </c>
      <c r="F75" s="11" t="s">
        <v>28</v>
      </c>
      <c r="G75" s="12" t="s">
        <v>29</v>
      </c>
      <c r="H75" s="11" t="s">
        <v>56</v>
      </c>
      <c r="I75" s="16" t="n">
        <v>716</v>
      </c>
      <c r="J75" s="16" t="n">
        <v>45993</v>
      </c>
    </row>
    <row r="76" customFormat="false" ht="15" hidden="false" customHeight="true" outlineLevel="0" collapsed="false">
      <c r="A76" s="14" t="n">
        <v>2019</v>
      </c>
      <c r="B76" s="14" t="n">
        <v>7</v>
      </c>
      <c r="C76" s="11" t="s">
        <v>53</v>
      </c>
      <c r="D76" s="11" t="s">
        <v>54</v>
      </c>
      <c r="E76" s="15" t="s">
        <v>20</v>
      </c>
      <c r="F76" s="11" t="s">
        <v>21</v>
      </c>
      <c r="G76" s="12" t="s">
        <v>22</v>
      </c>
      <c r="H76" s="11" t="s">
        <v>57</v>
      </c>
      <c r="I76" s="16" t="n">
        <v>509</v>
      </c>
      <c r="J76" s="16" t="n">
        <v>32031</v>
      </c>
    </row>
    <row r="77" customFormat="false" ht="15" hidden="false" customHeight="true" outlineLevel="0" collapsed="false">
      <c r="A77" s="14" t="n">
        <v>2019</v>
      </c>
      <c r="B77" s="14" t="n">
        <v>7</v>
      </c>
      <c r="C77" s="11" t="s">
        <v>53</v>
      </c>
      <c r="D77" s="11" t="s">
        <v>54</v>
      </c>
      <c r="E77" s="15" t="s">
        <v>27</v>
      </c>
      <c r="F77" s="11" t="s">
        <v>28</v>
      </c>
      <c r="G77" s="12" t="s">
        <v>29</v>
      </c>
      <c r="H77" s="11" t="s">
        <v>57</v>
      </c>
      <c r="I77" s="16" t="n">
        <v>67</v>
      </c>
      <c r="J77" s="16" t="n">
        <v>3984</v>
      </c>
    </row>
    <row r="78" customFormat="false" ht="15" hidden="false" customHeight="true" outlineLevel="0" collapsed="false">
      <c r="A78" s="14" t="n">
        <v>2019</v>
      </c>
      <c r="B78" s="14" t="n">
        <v>7</v>
      </c>
      <c r="C78" s="11" t="s">
        <v>53</v>
      </c>
      <c r="D78" s="11" t="s">
        <v>54</v>
      </c>
      <c r="E78" s="15" t="s">
        <v>34</v>
      </c>
      <c r="F78" s="11" t="s">
        <v>65</v>
      </c>
      <c r="G78" s="12" t="s">
        <v>36</v>
      </c>
      <c r="H78" s="11" t="s">
        <v>57</v>
      </c>
      <c r="I78" s="16" t="n">
        <v>42</v>
      </c>
      <c r="J78" s="16" t="n">
        <v>21022</v>
      </c>
    </row>
    <row r="79" customFormat="false" ht="15" hidden="false" customHeight="true" outlineLevel="0" collapsed="false">
      <c r="A79" s="14" t="n">
        <v>2019</v>
      </c>
      <c r="B79" s="14" t="n">
        <v>7</v>
      </c>
      <c r="C79" s="11" t="s">
        <v>53</v>
      </c>
      <c r="D79" s="11" t="s">
        <v>54</v>
      </c>
      <c r="E79" s="15" t="s">
        <v>27</v>
      </c>
      <c r="F79" s="11" t="s">
        <v>28</v>
      </c>
      <c r="G79" s="12" t="s">
        <v>29</v>
      </c>
      <c r="H79" s="11" t="s">
        <v>59</v>
      </c>
      <c r="I79" s="16" t="n">
        <v>17</v>
      </c>
      <c r="J79" s="16" t="n">
        <v>1183</v>
      </c>
    </row>
    <row r="80" customFormat="false" ht="15" hidden="false" customHeight="true" outlineLevel="0" collapsed="false">
      <c r="A80" s="14" t="n">
        <v>2019</v>
      </c>
      <c r="B80" s="14" t="n">
        <v>7</v>
      </c>
      <c r="C80" s="11" t="s">
        <v>53</v>
      </c>
      <c r="D80" s="11" t="s">
        <v>54</v>
      </c>
      <c r="E80" s="15" t="s">
        <v>27</v>
      </c>
      <c r="F80" s="11" t="s">
        <v>28</v>
      </c>
      <c r="G80" s="12" t="s">
        <v>29</v>
      </c>
      <c r="H80" s="11" t="s">
        <v>60</v>
      </c>
      <c r="I80" s="16" t="n">
        <v>1639</v>
      </c>
      <c r="J80" s="16" t="n">
        <v>86075</v>
      </c>
    </row>
    <row r="81" customFormat="false" ht="15" hidden="false" customHeight="true" outlineLevel="0" collapsed="false">
      <c r="A81" s="14" t="n">
        <v>2019</v>
      </c>
      <c r="B81" s="14" t="n">
        <v>7</v>
      </c>
      <c r="C81" s="11" t="s">
        <v>53</v>
      </c>
      <c r="D81" s="11" t="s">
        <v>54</v>
      </c>
      <c r="E81" s="15" t="s">
        <v>31</v>
      </c>
      <c r="F81" s="11" t="s">
        <v>64</v>
      </c>
      <c r="G81" s="12" t="s">
        <v>33</v>
      </c>
      <c r="H81" s="11" t="s">
        <v>60</v>
      </c>
      <c r="I81" s="16" t="n">
        <v>100</v>
      </c>
      <c r="J81" s="16" t="n">
        <v>71361</v>
      </c>
    </row>
    <row r="82" customFormat="false" ht="15" hidden="false" customHeight="true" outlineLevel="0" collapsed="false">
      <c r="A82" s="14" t="n">
        <v>2019</v>
      </c>
      <c r="B82" s="14" t="n">
        <v>7</v>
      </c>
      <c r="C82" s="11" t="s">
        <v>53</v>
      </c>
      <c r="D82" s="11" t="s">
        <v>54</v>
      </c>
      <c r="E82" s="15" t="s">
        <v>27</v>
      </c>
      <c r="F82" s="11" t="s">
        <v>28</v>
      </c>
      <c r="G82" s="12" t="s">
        <v>29</v>
      </c>
      <c r="H82" s="11" t="s">
        <v>61</v>
      </c>
      <c r="I82" s="16" t="n">
        <v>85</v>
      </c>
      <c r="J82" s="16" t="n">
        <v>4845</v>
      </c>
    </row>
    <row r="83" customFormat="false" ht="15" hidden="false" customHeight="true" outlineLevel="0" collapsed="false">
      <c r="A83" s="14" t="n">
        <v>2019</v>
      </c>
      <c r="B83" s="14" t="n">
        <v>7</v>
      </c>
      <c r="C83" s="11" t="s">
        <v>53</v>
      </c>
      <c r="D83" s="11" t="s">
        <v>54</v>
      </c>
      <c r="E83" s="15" t="s">
        <v>27</v>
      </c>
      <c r="F83" s="11" t="s">
        <v>28</v>
      </c>
      <c r="G83" s="12" t="s">
        <v>29</v>
      </c>
      <c r="H83" s="11" t="s">
        <v>63</v>
      </c>
      <c r="I83" s="16" t="n">
        <v>134</v>
      </c>
      <c r="J83" s="16" t="n">
        <v>2318</v>
      </c>
    </row>
    <row r="84" customFormat="false" ht="15" hidden="false" customHeight="true" outlineLevel="0" collapsed="false">
      <c r="A84" s="14" t="n">
        <v>2019</v>
      </c>
      <c r="B84" s="14" t="n">
        <v>7</v>
      </c>
      <c r="C84" s="11" t="s">
        <v>53</v>
      </c>
      <c r="D84" s="11" t="s">
        <v>54</v>
      </c>
      <c r="E84" s="15" t="s">
        <v>27</v>
      </c>
      <c r="F84" s="11" t="s">
        <v>28</v>
      </c>
      <c r="G84" s="12" t="s">
        <v>29</v>
      </c>
      <c r="H84" s="11" t="s">
        <v>62</v>
      </c>
      <c r="I84" s="16" t="n">
        <v>14</v>
      </c>
      <c r="J84" s="16" t="n">
        <v>911</v>
      </c>
    </row>
    <row r="85" customFormat="false" ht="15" hidden="false" customHeight="true" outlineLevel="0" collapsed="false">
      <c r="A85" s="14" t="n">
        <v>2019</v>
      </c>
      <c r="B85" s="14" t="n">
        <v>8</v>
      </c>
      <c r="C85" s="11" t="s">
        <v>53</v>
      </c>
      <c r="D85" s="11" t="s">
        <v>54</v>
      </c>
      <c r="E85" s="15" t="s">
        <v>27</v>
      </c>
      <c r="F85" s="11" t="s">
        <v>28</v>
      </c>
      <c r="G85" s="12" t="s">
        <v>29</v>
      </c>
      <c r="H85" s="11" t="s">
        <v>55</v>
      </c>
      <c r="I85" s="16" t="n">
        <v>229</v>
      </c>
      <c r="J85" s="16" t="n">
        <v>15992</v>
      </c>
    </row>
    <row r="86" customFormat="false" ht="15" hidden="false" customHeight="true" outlineLevel="0" collapsed="false">
      <c r="A86" s="14" t="n">
        <v>2019</v>
      </c>
      <c r="B86" s="14" t="n">
        <v>8</v>
      </c>
      <c r="C86" s="11" t="s">
        <v>53</v>
      </c>
      <c r="D86" s="11" t="s">
        <v>54</v>
      </c>
      <c r="E86" s="15" t="s">
        <v>27</v>
      </c>
      <c r="F86" s="11" t="s">
        <v>28</v>
      </c>
      <c r="G86" s="12" t="s">
        <v>29</v>
      </c>
      <c r="H86" s="11" t="s">
        <v>56</v>
      </c>
      <c r="I86" s="16" t="n">
        <v>2748</v>
      </c>
      <c r="J86" s="16" t="n">
        <v>688952</v>
      </c>
    </row>
    <row r="87" customFormat="false" ht="15" hidden="false" customHeight="true" outlineLevel="0" collapsed="false">
      <c r="A87" s="14" t="n">
        <v>2019</v>
      </c>
      <c r="B87" s="14" t="n">
        <v>8</v>
      </c>
      <c r="C87" s="11" t="s">
        <v>53</v>
      </c>
      <c r="D87" s="11" t="s">
        <v>54</v>
      </c>
      <c r="E87" s="15" t="s">
        <v>20</v>
      </c>
      <c r="F87" s="11" t="s">
        <v>21</v>
      </c>
      <c r="G87" s="12" t="s">
        <v>22</v>
      </c>
      <c r="H87" s="11" t="s">
        <v>57</v>
      </c>
      <c r="I87" s="16" t="n">
        <v>2739</v>
      </c>
      <c r="J87" s="16" t="n">
        <v>154836</v>
      </c>
    </row>
    <row r="88" customFormat="false" ht="15" hidden="false" customHeight="true" outlineLevel="0" collapsed="false">
      <c r="A88" s="14" t="n">
        <v>2019</v>
      </c>
      <c r="B88" s="14" t="n">
        <v>8</v>
      </c>
      <c r="C88" s="11" t="s">
        <v>53</v>
      </c>
      <c r="D88" s="11" t="s">
        <v>54</v>
      </c>
      <c r="E88" s="15" t="s">
        <v>27</v>
      </c>
      <c r="F88" s="11" t="s">
        <v>28</v>
      </c>
      <c r="G88" s="12" t="s">
        <v>29</v>
      </c>
      <c r="H88" s="11" t="s">
        <v>57</v>
      </c>
      <c r="I88" s="16" t="n">
        <v>231</v>
      </c>
      <c r="J88" s="16" t="n">
        <v>12553</v>
      </c>
    </row>
    <row r="89" customFormat="false" ht="15" hidden="false" customHeight="true" outlineLevel="0" collapsed="false">
      <c r="A89" s="14" t="n">
        <v>2019</v>
      </c>
      <c r="B89" s="14" t="n">
        <v>8</v>
      </c>
      <c r="C89" s="11" t="s">
        <v>53</v>
      </c>
      <c r="D89" s="11" t="s">
        <v>54</v>
      </c>
      <c r="E89" s="15" t="s">
        <v>27</v>
      </c>
      <c r="F89" s="11" t="s">
        <v>28</v>
      </c>
      <c r="G89" s="12" t="s">
        <v>29</v>
      </c>
      <c r="H89" s="11" t="s">
        <v>58</v>
      </c>
      <c r="I89" s="16" t="n">
        <v>37</v>
      </c>
      <c r="J89" s="16" t="n">
        <v>2596</v>
      </c>
    </row>
    <row r="90" customFormat="false" ht="15" hidden="false" customHeight="true" outlineLevel="0" collapsed="false">
      <c r="A90" s="14" t="n">
        <v>2019</v>
      </c>
      <c r="B90" s="14" t="n">
        <v>8</v>
      </c>
      <c r="C90" s="11" t="s">
        <v>53</v>
      </c>
      <c r="D90" s="11" t="s">
        <v>54</v>
      </c>
      <c r="E90" s="15" t="s">
        <v>27</v>
      </c>
      <c r="F90" s="11" t="s">
        <v>28</v>
      </c>
      <c r="G90" s="12" t="s">
        <v>29</v>
      </c>
      <c r="H90" s="11" t="s">
        <v>59</v>
      </c>
      <c r="I90" s="16" t="n">
        <v>8</v>
      </c>
      <c r="J90" s="16" t="n">
        <v>534</v>
      </c>
    </row>
    <row r="91" customFormat="false" ht="15" hidden="false" customHeight="true" outlineLevel="0" collapsed="false">
      <c r="A91" s="14" t="n">
        <v>2019</v>
      </c>
      <c r="B91" s="14" t="n">
        <v>8</v>
      </c>
      <c r="C91" s="11" t="s">
        <v>53</v>
      </c>
      <c r="D91" s="11" t="s">
        <v>54</v>
      </c>
      <c r="E91" s="15" t="s">
        <v>27</v>
      </c>
      <c r="F91" s="11" t="s">
        <v>28</v>
      </c>
      <c r="G91" s="12" t="s">
        <v>29</v>
      </c>
      <c r="H91" s="11" t="s">
        <v>60</v>
      </c>
      <c r="I91" s="16" t="n">
        <v>1159</v>
      </c>
      <c r="J91" s="16" t="n">
        <v>73575</v>
      </c>
    </row>
    <row r="92" customFormat="false" ht="15" hidden="false" customHeight="true" outlineLevel="0" collapsed="false">
      <c r="A92" s="14" t="n">
        <v>2019</v>
      </c>
      <c r="B92" s="14" t="n">
        <v>8</v>
      </c>
      <c r="C92" s="11" t="s">
        <v>53</v>
      </c>
      <c r="D92" s="11" t="s">
        <v>54</v>
      </c>
      <c r="E92" s="15" t="s">
        <v>27</v>
      </c>
      <c r="F92" s="11" t="s">
        <v>28</v>
      </c>
      <c r="G92" s="12" t="s">
        <v>29</v>
      </c>
      <c r="H92" s="11" t="s">
        <v>61</v>
      </c>
      <c r="I92" s="16" t="n">
        <v>85</v>
      </c>
      <c r="J92" s="16" t="n">
        <v>3537</v>
      </c>
    </row>
    <row r="93" customFormat="false" ht="15" hidden="false" customHeight="true" outlineLevel="0" collapsed="false">
      <c r="A93" s="14" t="n">
        <v>2019</v>
      </c>
      <c r="B93" s="14" t="n">
        <v>9</v>
      </c>
      <c r="C93" s="11" t="s">
        <v>53</v>
      </c>
      <c r="D93" s="11" t="s">
        <v>54</v>
      </c>
      <c r="E93" s="15" t="s">
        <v>27</v>
      </c>
      <c r="F93" s="11" t="s">
        <v>28</v>
      </c>
      <c r="G93" s="12" t="s">
        <v>29</v>
      </c>
      <c r="H93" s="11" t="s">
        <v>55</v>
      </c>
      <c r="I93" s="16" t="n">
        <v>305</v>
      </c>
      <c r="J93" s="16" t="n">
        <v>20917</v>
      </c>
    </row>
    <row r="94" customFormat="false" ht="15" hidden="false" customHeight="true" outlineLevel="0" collapsed="false">
      <c r="A94" s="14" t="n">
        <v>2019</v>
      </c>
      <c r="B94" s="14" t="n">
        <v>9</v>
      </c>
      <c r="C94" s="11" t="s">
        <v>53</v>
      </c>
      <c r="D94" s="11" t="s">
        <v>54</v>
      </c>
      <c r="E94" s="15" t="s">
        <v>27</v>
      </c>
      <c r="F94" s="11" t="s">
        <v>28</v>
      </c>
      <c r="G94" s="12" t="s">
        <v>29</v>
      </c>
      <c r="H94" s="11" t="s">
        <v>56</v>
      </c>
      <c r="I94" s="16" t="n">
        <v>350</v>
      </c>
      <c r="J94" s="16" t="n">
        <v>26112</v>
      </c>
    </row>
    <row r="95" customFormat="false" ht="15" hidden="false" customHeight="true" outlineLevel="0" collapsed="false">
      <c r="A95" s="14" t="n">
        <v>2019</v>
      </c>
      <c r="B95" s="14" t="n">
        <v>9</v>
      </c>
      <c r="C95" s="11" t="s">
        <v>53</v>
      </c>
      <c r="D95" s="11" t="s">
        <v>54</v>
      </c>
      <c r="E95" s="15" t="s">
        <v>20</v>
      </c>
      <c r="F95" s="11" t="s">
        <v>21</v>
      </c>
      <c r="G95" s="12" t="s">
        <v>22</v>
      </c>
      <c r="H95" s="11" t="s">
        <v>57</v>
      </c>
      <c r="I95" s="16" t="n">
        <v>636</v>
      </c>
      <c r="J95" s="16" t="n">
        <v>40284</v>
      </c>
    </row>
    <row r="96" customFormat="false" ht="15" hidden="false" customHeight="true" outlineLevel="0" collapsed="false">
      <c r="A96" s="14" t="n">
        <v>2019</v>
      </c>
      <c r="B96" s="14" t="n">
        <v>9</v>
      </c>
      <c r="C96" s="11" t="s">
        <v>53</v>
      </c>
      <c r="D96" s="11" t="s">
        <v>54</v>
      </c>
      <c r="E96" s="15" t="s">
        <v>27</v>
      </c>
      <c r="F96" s="11" t="s">
        <v>28</v>
      </c>
      <c r="G96" s="12" t="s">
        <v>29</v>
      </c>
      <c r="H96" s="11" t="s">
        <v>57</v>
      </c>
      <c r="I96" s="16" t="n">
        <v>470</v>
      </c>
      <c r="J96" s="16" t="n">
        <v>73467</v>
      </c>
    </row>
    <row r="97" customFormat="false" ht="15" hidden="false" customHeight="true" outlineLevel="0" collapsed="false">
      <c r="A97" s="14" t="n">
        <v>2019</v>
      </c>
      <c r="B97" s="14" t="n">
        <v>9</v>
      </c>
      <c r="C97" s="11" t="s">
        <v>53</v>
      </c>
      <c r="D97" s="11" t="s">
        <v>54</v>
      </c>
      <c r="E97" s="15" t="s">
        <v>27</v>
      </c>
      <c r="F97" s="11" t="s">
        <v>28</v>
      </c>
      <c r="G97" s="12" t="s">
        <v>29</v>
      </c>
      <c r="H97" s="11" t="s">
        <v>60</v>
      </c>
      <c r="I97" s="16" t="n">
        <v>297</v>
      </c>
      <c r="J97" s="16" t="n">
        <v>31148</v>
      </c>
    </row>
    <row r="98" customFormat="false" ht="15" hidden="false" customHeight="true" outlineLevel="0" collapsed="false">
      <c r="A98" s="14" t="n">
        <v>2019</v>
      </c>
      <c r="B98" s="14" t="n">
        <v>9</v>
      </c>
      <c r="C98" s="11" t="s">
        <v>53</v>
      </c>
      <c r="D98" s="11" t="s">
        <v>54</v>
      </c>
      <c r="E98" s="15" t="s">
        <v>27</v>
      </c>
      <c r="F98" s="11" t="s">
        <v>28</v>
      </c>
      <c r="G98" s="12" t="s">
        <v>29</v>
      </c>
      <c r="H98" s="11" t="s">
        <v>61</v>
      </c>
      <c r="I98" s="16" t="n">
        <v>428</v>
      </c>
      <c r="J98" s="16" t="n">
        <v>19355</v>
      </c>
    </row>
    <row r="99" customFormat="false" ht="15" hidden="false" customHeight="true" outlineLevel="0" collapsed="false">
      <c r="A99" s="14" t="n">
        <v>2019</v>
      </c>
      <c r="B99" s="14" t="n">
        <v>9</v>
      </c>
      <c r="C99" s="11" t="s">
        <v>53</v>
      </c>
      <c r="D99" s="11" t="s">
        <v>54</v>
      </c>
      <c r="E99" s="15" t="s">
        <v>27</v>
      </c>
      <c r="F99" s="11" t="s">
        <v>28</v>
      </c>
      <c r="G99" s="12" t="s">
        <v>29</v>
      </c>
      <c r="H99" s="11" t="s">
        <v>63</v>
      </c>
      <c r="I99" s="16" t="n">
        <v>549</v>
      </c>
      <c r="J99" s="16" t="n">
        <v>29893</v>
      </c>
    </row>
    <row r="100" customFormat="false" ht="15" hidden="false" customHeight="true" outlineLevel="0" collapsed="false">
      <c r="A100" s="14" t="n">
        <v>2019</v>
      </c>
      <c r="B100" s="14" t="n">
        <v>9</v>
      </c>
      <c r="C100" s="11" t="s">
        <v>53</v>
      </c>
      <c r="D100" s="11" t="s">
        <v>54</v>
      </c>
      <c r="E100" s="15" t="s">
        <v>27</v>
      </c>
      <c r="F100" s="11" t="s">
        <v>28</v>
      </c>
      <c r="G100" s="12" t="s">
        <v>29</v>
      </c>
      <c r="H100" s="11" t="s">
        <v>62</v>
      </c>
      <c r="I100" s="16" t="n">
        <v>63</v>
      </c>
      <c r="J100" s="16" t="n">
        <v>4912</v>
      </c>
    </row>
    <row r="101" customFormat="false" ht="15" hidden="false" customHeight="true" outlineLevel="0" collapsed="false">
      <c r="A101" s="14" t="n">
        <v>2019</v>
      </c>
      <c r="B101" s="14" t="n">
        <v>10</v>
      </c>
      <c r="C101" s="11" t="s">
        <v>53</v>
      </c>
      <c r="D101" s="11" t="s">
        <v>54</v>
      </c>
      <c r="E101" s="15" t="s">
        <v>23</v>
      </c>
      <c r="F101" s="11" t="s">
        <v>24</v>
      </c>
      <c r="G101" s="12" t="s">
        <v>25</v>
      </c>
      <c r="H101" s="11" t="s">
        <v>55</v>
      </c>
      <c r="I101" s="16" t="n">
        <v>3000</v>
      </c>
      <c r="J101" s="16" t="n">
        <v>47029</v>
      </c>
    </row>
    <row r="102" customFormat="false" ht="15" hidden="false" customHeight="true" outlineLevel="0" collapsed="false">
      <c r="A102" s="14" t="n">
        <v>2019</v>
      </c>
      <c r="B102" s="14" t="n">
        <v>10</v>
      </c>
      <c r="C102" s="11" t="s">
        <v>53</v>
      </c>
      <c r="D102" s="11" t="s">
        <v>54</v>
      </c>
      <c r="E102" s="15" t="s">
        <v>27</v>
      </c>
      <c r="F102" s="11" t="s">
        <v>28</v>
      </c>
      <c r="G102" s="12" t="s">
        <v>29</v>
      </c>
      <c r="H102" s="11" t="s">
        <v>55</v>
      </c>
      <c r="I102" s="16" t="n">
        <v>358</v>
      </c>
      <c r="J102" s="16" t="n">
        <v>39719</v>
      </c>
    </row>
    <row r="103" customFormat="false" ht="15" hidden="false" customHeight="true" outlineLevel="0" collapsed="false">
      <c r="A103" s="14" t="n">
        <v>2019</v>
      </c>
      <c r="B103" s="14" t="n">
        <v>10</v>
      </c>
      <c r="C103" s="11" t="s">
        <v>53</v>
      </c>
      <c r="D103" s="11" t="s">
        <v>54</v>
      </c>
      <c r="E103" s="15" t="s">
        <v>23</v>
      </c>
      <c r="F103" s="11" t="s">
        <v>24</v>
      </c>
      <c r="G103" s="12" t="s">
        <v>25</v>
      </c>
      <c r="H103" s="11" t="s">
        <v>56</v>
      </c>
      <c r="I103" s="16" t="n">
        <v>1000</v>
      </c>
      <c r="J103" s="16" t="n">
        <v>90000</v>
      </c>
    </row>
    <row r="104" customFormat="false" ht="15" hidden="false" customHeight="true" outlineLevel="0" collapsed="false">
      <c r="A104" s="14" t="n">
        <v>2019</v>
      </c>
      <c r="B104" s="14" t="n">
        <v>10</v>
      </c>
      <c r="C104" s="11" t="s">
        <v>53</v>
      </c>
      <c r="D104" s="11" t="s">
        <v>54</v>
      </c>
      <c r="E104" s="15" t="s">
        <v>27</v>
      </c>
      <c r="F104" s="11" t="s">
        <v>28</v>
      </c>
      <c r="G104" s="12" t="s">
        <v>29</v>
      </c>
      <c r="H104" s="11" t="s">
        <v>56</v>
      </c>
      <c r="I104" s="16" t="n">
        <v>684</v>
      </c>
      <c r="J104" s="16" t="n">
        <v>46352</v>
      </c>
    </row>
    <row r="105" customFormat="false" ht="15" hidden="false" customHeight="true" outlineLevel="0" collapsed="false">
      <c r="A105" s="14" t="n">
        <v>2019</v>
      </c>
      <c r="B105" s="14" t="n">
        <v>10</v>
      </c>
      <c r="C105" s="11" t="s">
        <v>53</v>
      </c>
      <c r="D105" s="11" t="s">
        <v>54</v>
      </c>
      <c r="E105" s="15" t="s">
        <v>20</v>
      </c>
      <c r="F105" s="11" t="s">
        <v>21</v>
      </c>
      <c r="G105" s="12" t="s">
        <v>22</v>
      </c>
      <c r="H105" s="11" t="s">
        <v>57</v>
      </c>
      <c r="I105" s="16" t="n">
        <v>1280</v>
      </c>
      <c r="J105" s="16" t="n">
        <v>83512</v>
      </c>
    </row>
    <row r="106" customFormat="false" ht="15" hidden="false" customHeight="true" outlineLevel="0" collapsed="false">
      <c r="A106" s="14" t="n">
        <v>2019</v>
      </c>
      <c r="B106" s="14" t="n">
        <v>10</v>
      </c>
      <c r="C106" s="11" t="s">
        <v>53</v>
      </c>
      <c r="D106" s="11" t="s">
        <v>54</v>
      </c>
      <c r="E106" s="15" t="s">
        <v>27</v>
      </c>
      <c r="F106" s="11" t="s">
        <v>28</v>
      </c>
      <c r="G106" s="12" t="s">
        <v>29</v>
      </c>
      <c r="H106" s="11" t="s">
        <v>57</v>
      </c>
      <c r="I106" s="16" t="n">
        <v>356</v>
      </c>
      <c r="J106" s="16" t="n">
        <v>30513</v>
      </c>
    </row>
    <row r="107" customFormat="false" ht="15" hidden="false" customHeight="true" outlineLevel="0" collapsed="false">
      <c r="A107" s="14" t="n">
        <v>2019</v>
      </c>
      <c r="B107" s="14" t="n">
        <v>10</v>
      </c>
      <c r="C107" s="11" t="s">
        <v>53</v>
      </c>
      <c r="D107" s="11" t="s">
        <v>54</v>
      </c>
      <c r="E107" s="15" t="s">
        <v>23</v>
      </c>
      <c r="F107" s="11" t="s">
        <v>24</v>
      </c>
      <c r="G107" s="12" t="s">
        <v>25</v>
      </c>
      <c r="H107" s="11" t="s">
        <v>58</v>
      </c>
      <c r="I107" s="16" t="n">
        <v>181</v>
      </c>
      <c r="J107" s="16" t="n">
        <v>18069</v>
      </c>
    </row>
    <row r="108" customFormat="false" ht="15" hidden="false" customHeight="true" outlineLevel="0" collapsed="false">
      <c r="A108" s="14" t="n">
        <v>2019</v>
      </c>
      <c r="B108" s="14" t="n">
        <v>10</v>
      </c>
      <c r="C108" s="11" t="s">
        <v>53</v>
      </c>
      <c r="D108" s="11" t="s">
        <v>54</v>
      </c>
      <c r="E108" s="15" t="s">
        <v>27</v>
      </c>
      <c r="F108" s="11" t="s">
        <v>28</v>
      </c>
      <c r="G108" s="12" t="s">
        <v>29</v>
      </c>
      <c r="H108" s="11" t="s">
        <v>58</v>
      </c>
      <c r="I108" s="16" t="n">
        <v>80</v>
      </c>
      <c r="J108" s="16" t="n">
        <v>7458</v>
      </c>
    </row>
    <row r="109" customFormat="false" ht="15" hidden="false" customHeight="true" outlineLevel="0" collapsed="false">
      <c r="A109" s="14" t="n">
        <v>2019</v>
      </c>
      <c r="B109" s="14" t="n">
        <v>10</v>
      </c>
      <c r="C109" s="11" t="s">
        <v>53</v>
      </c>
      <c r="D109" s="11" t="s">
        <v>54</v>
      </c>
      <c r="E109" s="15" t="s">
        <v>34</v>
      </c>
      <c r="F109" s="11" t="s">
        <v>65</v>
      </c>
      <c r="G109" s="12" t="s">
        <v>36</v>
      </c>
      <c r="H109" s="11" t="s">
        <v>58</v>
      </c>
      <c r="I109" s="16" t="n">
        <v>10</v>
      </c>
      <c r="J109" s="16" t="n">
        <v>5820</v>
      </c>
    </row>
    <row r="110" customFormat="false" ht="15" hidden="false" customHeight="true" outlineLevel="0" collapsed="false">
      <c r="A110" s="14" t="n">
        <v>2019</v>
      </c>
      <c r="B110" s="14" t="n">
        <v>10</v>
      </c>
      <c r="C110" s="11" t="s">
        <v>53</v>
      </c>
      <c r="D110" s="11" t="s">
        <v>54</v>
      </c>
      <c r="E110" s="15" t="s">
        <v>27</v>
      </c>
      <c r="F110" s="11" t="s">
        <v>28</v>
      </c>
      <c r="G110" s="12" t="s">
        <v>29</v>
      </c>
      <c r="H110" s="11" t="s">
        <v>59</v>
      </c>
      <c r="I110" s="16" t="n">
        <v>55</v>
      </c>
      <c r="J110" s="16" t="n">
        <v>4808</v>
      </c>
    </row>
    <row r="111" customFormat="false" ht="15" hidden="false" customHeight="true" outlineLevel="0" collapsed="false">
      <c r="A111" s="14" t="n">
        <v>2019</v>
      </c>
      <c r="B111" s="14" t="n">
        <v>10</v>
      </c>
      <c r="C111" s="11" t="s">
        <v>53</v>
      </c>
      <c r="D111" s="11" t="s">
        <v>54</v>
      </c>
      <c r="E111" s="15" t="s">
        <v>27</v>
      </c>
      <c r="F111" s="11" t="s">
        <v>28</v>
      </c>
      <c r="G111" s="12" t="s">
        <v>29</v>
      </c>
      <c r="H111" s="11" t="s">
        <v>60</v>
      </c>
      <c r="I111" s="16" t="n">
        <v>20</v>
      </c>
      <c r="J111" s="16" t="n">
        <v>4345</v>
      </c>
    </row>
    <row r="112" customFormat="false" ht="15" hidden="false" customHeight="true" outlineLevel="0" collapsed="false">
      <c r="A112" s="14" t="n">
        <v>2019</v>
      </c>
      <c r="B112" s="14" t="n">
        <v>10</v>
      </c>
      <c r="C112" s="11" t="s">
        <v>53</v>
      </c>
      <c r="D112" s="11" t="s">
        <v>54</v>
      </c>
      <c r="E112" s="15" t="s">
        <v>27</v>
      </c>
      <c r="F112" s="11" t="s">
        <v>28</v>
      </c>
      <c r="G112" s="12" t="s">
        <v>29</v>
      </c>
      <c r="H112" s="11" t="s">
        <v>61</v>
      </c>
      <c r="I112" s="16" t="n">
        <v>349</v>
      </c>
      <c r="J112" s="16" t="n">
        <v>26378</v>
      </c>
    </row>
    <row r="113" customFormat="false" ht="15" hidden="false" customHeight="true" outlineLevel="0" collapsed="false">
      <c r="A113" s="14" t="n">
        <v>2019</v>
      </c>
      <c r="B113" s="14" t="n">
        <v>10</v>
      </c>
      <c r="C113" s="11" t="s">
        <v>53</v>
      </c>
      <c r="D113" s="11" t="s">
        <v>54</v>
      </c>
      <c r="E113" s="15" t="s">
        <v>27</v>
      </c>
      <c r="F113" s="11" t="s">
        <v>28</v>
      </c>
      <c r="G113" s="12" t="s">
        <v>29</v>
      </c>
      <c r="H113" s="11" t="s">
        <v>63</v>
      </c>
      <c r="I113" s="16" t="n">
        <v>19</v>
      </c>
      <c r="J113" s="16" t="n">
        <v>1632</v>
      </c>
    </row>
    <row r="114" customFormat="false" ht="15" hidden="false" customHeight="true" outlineLevel="0" collapsed="false">
      <c r="A114" s="14" t="n">
        <v>2019</v>
      </c>
      <c r="B114" s="14" t="n">
        <v>11</v>
      </c>
      <c r="C114" s="11" t="s">
        <v>53</v>
      </c>
      <c r="D114" s="11" t="s">
        <v>54</v>
      </c>
      <c r="E114" s="15" t="s">
        <v>20</v>
      </c>
      <c r="F114" s="11" t="s">
        <v>21</v>
      </c>
      <c r="G114" s="12" t="s">
        <v>22</v>
      </c>
      <c r="H114" s="11" t="s">
        <v>55</v>
      </c>
      <c r="I114" s="16" t="n">
        <v>6592</v>
      </c>
      <c r="J114" s="16" t="n">
        <v>95677</v>
      </c>
    </row>
    <row r="115" customFormat="false" ht="15" hidden="false" customHeight="true" outlineLevel="0" collapsed="false">
      <c r="A115" s="14" t="n">
        <v>2019</v>
      </c>
      <c r="B115" s="14" t="n">
        <v>11</v>
      </c>
      <c r="C115" s="11" t="s">
        <v>53</v>
      </c>
      <c r="D115" s="11" t="s">
        <v>54</v>
      </c>
      <c r="E115" s="15" t="s">
        <v>23</v>
      </c>
      <c r="F115" s="11" t="s">
        <v>24</v>
      </c>
      <c r="G115" s="12" t="s">
        <v>25</v>
      </c>
      <c r="H115" s="11" t="s">
        <v>55</v>
      </c>
      <c r="I115" s="16" t="n">
        <v>53443</v>
      </c>
      <c r="J115" s="16" t="n">
        <v>2720621</v>
      </c>
    </row>
    <row r="116" customFormat="false" ht="15" hidden="false" customHeight="true" outlineLevel="0" collapsed="false">
      <c r="A116" s="14" t="n">
        <v>2019</v>
      </c>
      <c r="B116" s="14" t="n">
        <v>11</v>
      </c>
      <c r="C116" s="11" t="s">
        <v>53</v>
      </c>
      <c r="D116" s="11" t="s">
        <v>54</v>
      </c>
      <c r="E116" s="15" t="s">
        <v>27</v>
      </c>
      <c r="F116" s="11" t="s">
        <v>28</v>
      </c>
      <c r="G116" s="12" t="s">
        <v>29</v>
      </c>
      <c r="H116" s="11" t="s">
        <v>55</v>
      </c>
      <c r="I116" s="16" t="n">
        <v>6</v>
      </c>
      <c r="J116" s="16" t="n">
        <v>805</v>
      </c>
    </row>
    <row r="117" customFormat="false" ht="15" hidden="false" customHeight="true" outlineLevel="0" collapsed="false">
      <c r="A117" s="14" t="n">
        <v>2019</v>
      </c>
      <c r="B117" s="14" t="n">
        <v>11</v>
      </c>
      <c r="C117" s="11" t="s">
        <v>53</v>
      </c>
      <c r="D117" s="11" t="s">
        <v>54</v>
      </c>
      <c r="E117" s="15" t="s">
        <v>20</v>
      </c>
      <c r="F117" s="11" t="s">
        <v>21</v>
      </c>
      <c r="G117" s="12" t="s">
        <v>22</v>
      </c>
      <c r="H117" s="11" t="s">
        <v>56</v>
      </c>
      <c r="I117" s="16" t="n">
        <v>9300</v>
      </c>
      <c r="J117" s="16" t="n">
        <v>975588</v>
      </c>
    </row>
    <row r="118" customFormat="false" ht="15" hidden="false" customHeight="true" outlineLevel="0" collapsed="false">
      <c r="A118" s="14" t="n">
        <v>2019</v>
      </c>
      <c r="B118" s="14" t="n">
        <v>11</v>
      </c>
      <c r="C118" s="11" t="s">
        <v>53</v>
      </c>
      <c r="D118" s="11" t="s">
        <v>54</v>
      </c>
      <c r="E118" s="15" t="s">
        <v>23</v>
      </c>
      <c r="F118" s="11" t="s">
        <v>24</v>
      </c>
      <c r="G118" s="12" t="s">
        <v>25</v>
      </c>
      <c r="H118" s="11" t="s">
        <v>56</v>
      </c>
      <c r="I118" s="16" t="n">
        <v>6201</v>
      </c>
      <c r="J118" s="16" t="n">
        <v>547844</v>
      </c>
    </row>
    <row r="119" customFormat="false" ht="15" hidden="false" customHeight="true" outlineLevel="0" collapsed="false">
      <c r="A119" s="14" t="n">
        <v>2019</v>
      </c>
      <c r="B119" s="14" t="n">
        <v>11</v>
      </c>
      <c r="C119" s="11" t="s">
        <v>53</v>
      </c>
      <c r="D119" s="11" t="s">
        <v>54</v>
      </c>
      <c r="E119" s="15" t="s">
        <v>27</v>
      </c>
      <c r="F119" s="11" t="s">
        <v>28</v>
      </c>
      <c r="G119" s="12" t="s">
        <v>29</v>
      </c>
      <c r="H119" s="11" t="s">
        <v>56</v>
      </c>
      <c r="I119" s="16" t="n">
        <v>431</v>
      </c>
      <c r="J119" s="16" t="n">
        <v>28178</v>
      </c>
    </row>
    <row r="120" customFormat="false" ht="15" hidden="false" customHeight="true" outlineLevel="0" collapsed="false">
      <c r="A120" s="14" t="n">
        <v>2019</v>
      </c>
      <c r="B120" s="14" t="n">
        <v>11</v>
      </c>
      <c r="C120" s="11" t="s">
        <v>53</v>
      </c>
      <c r="D120" s="11" t="s">
        <v>54</v>
      </c>
      <c r="E120" s="15" t="s">
        <v>20</v>
      </c>
      <c r="F120" s="11" t="s">
        <v>21</v>
      </c>
      <c r="G120" s="12" t="s">
        <v>22</v>
      </c>
      <c r="H120" s="11" t="s">
        <v>57</v>
      </c>
      <c r="I120" s="16" t="n">
        <v>1274</v>
      </c>
      <c r="J120" s="16" t="n">
        <v>81424</v>
      </c>
    </row>
    <row r="121" customFormat="false" ht="15" hidden="false" customHeight="true" outlineLevel="0" collapsed="false">
      <c r="A121" s="14" t="n">
        <v>2019</v>
      </c>
      <c r="B121" s="14" t="n">
        <v>11</v>
      </c>
      <c r="C121" s="11" t="s">
        <v>53</v>
      </c>
      <c r="D121" s="11" t="s">
        <v>54</v>
      </c>
      <c r="E121" s="15" t="s">
        <v>27</v>
      </c>
      <c r="F121" s="11" t="s">
        <v>28</v>
      </c>
      <c r="G121" s="12" t="s">
        <v>29</v>
      </c>
      <c r="H121" s="11" t="s">
        <v>57</v>
      </c>
      <c r="I121" s="16" t="n">
        <v>295</v>
      </c>
      <c r="J121" s="16" t="n">
        <v>21493</v>
      </c>
    </row>
    <row r="122" customFormat="false" ht="15" hidden="false" customHeight="true" outlineLevel="0" collapsed="false">
      <c r="A122" s="14" t="n">
        <v>2019</v>
      </c>
      <c r="B122" s="14" t="n">
        <v>11</v>
      </c>
      <c r="C122" s="11" t="s">
        <v>53</v>
      </c>
      <c r="D122" s="11" t="s">
        <v>54</v>
      </c>
      <c r="E122" s="15" t="s">
        <v>23</v>
      </c>
      <c r="F122" s="11" t="s">
        <v>24</v>
      </c>
      <c r="G122" s="12" t="s">
        <v>25</v>
      </c>
      <c r="H122" s="11" t="s">
        <v>58</v>
      </c>
      <c r="I122" s="16" t="n">
        <v>356</v>
      </c>
      <c r="J122" s="16" t="n">
        <v>14258</v>
      </c>
    </row>
    <row r="123" customFormat="false" ht="15" hidden="false" customHeight="true" outlineLevel="0" collapsed="false">
      <c r="A123" s="14" t="n">
        <v>2019</v>
      </c>
      <c r="B123" s="14" t="n">
        <v>11</v>
      </c>
      <c r="C123" s="11" t="s">
        <v>53</v>
      </c>
      <c r="D123" s="11" t="s">
        <v>54</v>
      </c>
      <c r="E123" s="15" t="s">
        <v>27</v>
      </c>
      <c r="F123" s="11" t="s">
        <v>28</v>
      </c>
      <c r="G123" s="12" t="s">
        <v>29</v>
      </c>
      <c r="H123" s="11" t="s">
        <v>58</v>
      </c>
      <c r="I123" s="16" t="n">
        <v>10</v>
      </c>
      <c r="J123" s="16" t="n">
        <v>5600</v>
      </c>
    </row>
    <row r="124" customFormat="false" ht="15" hidden="false" customHeight="true" outlineLevel="0" collapsed="false">
      <c r="A124" s="14" t="n">
        <v>2019</v>
      </c>
      <c r="B124" s="14" t="n">
        <v>11</v>
      </c>
      <c r="C124" s="11" t="s">
        <v>53</v>
      </c>
      <c r="D124" s="11" t="s">
        <v>54</v>
      </c>
      <c r="E124" s="15" t="s">
        <v>27</v>
      </c>
      <c r="F124" s="11" t="s">
        <v>28</v>
      </c>
      <c r="G124" s="12" t="s">
        <v>29</v>
      </c>
      <c r="H124" s="11" t="s">
        <v>59</v>
      </c>
      <c r="I124" s="16" t="n">
        <v>40</v>
      </c>
      <c r="J124" s="16" t="n">
        <v>2503</v>
      </c>
    </row>
    <row r="125" customFormat="false" ht="15" hidden="false" customHeight="true" outlineLevel="0" collapsed="false">
      <c r="A125" s="14" t="n">
        <v>2019</v>
      </c>
      <c r="B125" s="14" t="n">
        <v>11</v>
      </c>
      <c r="C125" s="11" t="s">
        <v>53</v>
      </c>
      <c r="D125" s="11" t="s">
        <v>54</v>
      </c>
      <c r="E125" s="15" t="s">
        <v>34</v>
      </c>
      <c r="F125" s="11" t="s">
        <v>65</v>
      </c>
      <c r="G125" s="12" t="s">
        <v>36</v>
      </c>
      <c r="H125" s="11" t="s">
        <v>59</v>
      </c>
      <c r="I125" s="16" t="n">
        <v>45</v>
      </c>
      <c r="J125" s="16" t="n">
        <v>17982</v>
      </c>
    </row>
    <row r="126" customFormat="false" ht="15" hidden="false" customHeight="true" outlineLevel="0" collapsed="false">
      <c r="A126" s="14" t="n">
        <v>2019</v>
      </c>
      <c r="B126" s="14" t="n">
        <v>11</v>
      </c>
      <c r="C126" s="11" t="s">
        <v>53</v>
      </c>
      <c r="D126" s="11" t="s">
        <v>54</v>
      </c>
      <c r="E126" s="15" t="s">
        <v>27</v>
      </c>
      <c r="F126" s="11" t="s">
        <v>28</v>
      </c>
      <c r="G126" s="12" t="s">
        <v>29</v>
      </c>
      <c r="H126" s="11" t="s">
        <v>60</v>
      </c>
      <c r="I126" s="16" t="n">
        <v>503</v>
      </c>
      <c r="J126" s="16" t="n">
        <v>35770</v>
      </c>
    </row>
    <row r="127" customFormat="false" ht="15" hidden="false" customHeight="true" outlineLevel="0" collapsed="false">
      <c r="A127" s="14" t="n">
        <v>2019</v>
      </c>
      <c r="B127" s="14" t="n">
        <v>11</v>
      </c>
      <c r="C127" s="11" t="s">
        <v>53</v>
      </c>
      <c r="D127" s="11" t="s">
        <v>54</v>
      </c>
      <c r="E127" s="15" t="s">
        <v>27</v>
      </c>
      <c r="F127" s="11" t="s">
        <v>28</v>
      </c>
      <c r="G127" s="12" t="s">
        <v>29</v>
      </c>
      <c r="H127" s="11" t="s">
        <v>61</v>
      </c>
      <c r="I127" s="16" t="n">
        <v>1068</v>
      </c>
      <c r="J127" s="16" t="n">
        <v>152660</v>
      </c>
    </row>
    <row r="128" customFormat="false" ht="15" hidden="false" customHeight="true" outlineLevel="0" collapsed="false">
      <c r="A128" s="14" t="n">
        <v>2019</v>
      </c>
      <c r="B128" s="14" t="n">
        <v>11</v>
      </c>
      <c r="C128" s="11" t="s">
        <v>53</v>
      </c>
      <c r="D128" s="11" t="s">
        <v>54</v>
      </c>
      <c r="E128" s="15" t="s">
        <v>27</v>
      </c>
      <c r="F128" s="11" t="s">
        <v>28</v>
      </c>
      <c r="G128" s="12" t="s">
        <v>29</v>
      </c>
      <c r="H128" s="11" t="s">
        <v>63</v>
      </c>
      <c r="I128" s="16" t="n">
        <v>60</v>
      </c>
      <c r="J128" s="16" t="n">
        <v>4674</v>
      </c>
    </row>
    <row r="129" customFormat="false" ht="15" hidden="false" customHeight="true" outlineLevel="0" collapsed="false">
      <c r="A129" s="14" t="n">
        <v>2019</v>
      </c>
      <c r="B129" s="14" t="n">
        <v>11</v>
      </c>
      <c r="C129" s="11" t="s">
        <v>53</v>
      </c>
      <c r="D129" s="11" t="s">
        <v>54</v>
      </c>
      <c r="E129" s="15" t="s">
        <v>27</v>
      </c>
      <c r="F129" s="11" t="s">
        <v>28</v>
      </c>
      <c r="G129" s="12" t="s">
        <v>29</v>
      </c>
      <c r="H129" s="11" t="s">
        <v>62</v>
      </c>
      <c r="I129" s="16" t="n">
        <v>45</v>
      </c>
      <c r="J129" s="16" t="n">
        <v>3472</v>
      </c>
    </row>
    <row r="130" customFormat="false" ht="15" hidden="false" customHeight="true" outlineLevel="0" collapsed="false">
      <c r="A130" s="14" t="n">
        <v>2019</v>
      </c>
      <c r="B130" s="14" t="n">
        <v>12</v>
      </c>
      <c r="C130" s="11" t="s">
        <v>53</v>
      </c>
      <c r="D130" s="11" t="s">
        <v>54</v>
      </c>
      <c r="E130" s="15" t="s">
        <v>20</v>
      </c>
      <c r="F130" s="11" t="s">
        <v>21</v>
      </c>
      <c r="G130" s="12" t="s">
        <v>22</v>
      </c>
      <c r="H130" s="11" t="s">
        <v>55</v>
      </c>
      <c r="I130" s="16" t="n">
        <v>16326</v>
      </c>
      <c r="J130" s="16" t="n">
        <v>976996</v>
      </c>
    </row>
    <row r="131" customFormat="false" ht="15" hidden="false" customHeight="true" outlineLevel="0" collapsed="false">
      <c r="A131" s="14" t="n">
        <v>2019</v>
      </c>
      <c r="B131" s="14" t="n">
        <v>12</v>
      </c>
      <c r="C131" s="11" t="s">
        <v>53</v>
      </c>
      <c r="D131" s="11" t="s">
        <v>54</v>
      </c>
      <c r="E131" s="15" t="s">
        <v>23</v>
      </c>
      <c r="F131" s="11" t="s">
        <v>24</v>
      </c>
      <c r="G131" s="12" t="s">
        <v>25</v>
      </c>
      <c r="H131" s="11" t="s">
        <v>55</v>
      </c>
      <c r="I131" s="16" t="n">
        <v>83823</v>
      </c>
      <c r="J131" s="16" t="n">
        <v>6093673</v>
      </c>
    </row>
    <row r="132" customFormat="false" ht="15" hidden="false" customHeight="true" outlineLevel="0" collapsed="false">
      <c r="A132" s="14" t="n">
        <v>2019</v>
      </c>
      <c r="B132" s="14" t="n">
        <v>12</v>
      </c>
      <c r="C132" s="11" t="s">
        <v>53</v>
      </c>
      <c r="D132" s="11" t="s">
        <v>54</v>
      </c>
      <c r="E132" s="15" t="s">
        <v>27</v>
      </c>
      <c r="F132" s="11" t="s">
        <v>28</v>
      </c>
      <c r="G132" s="12" t="s">
        <v>29</v>
      </c>
      <c r="H132" s="11" t="s">
        <v>55</v>
      </c>
      <c r="I132" s="16" t="n">
        <v>145</v>
      </c>
      <c r="J132" s="16" t="n">
        <v>13220</v>
      </c>
    </row>
    <row r="133" customFormat="false" ht="15" hidden="false" customHeight="true" outlineLevel="0" collapsed="false">
      <c r="A133" s="14" t="n">
        <v>2019</v>
      </c>
      <c r="B133" s="14" t="n">
        <v>12</v>
      </c>
      <c r="C133" s="11" t="s">
        <v>53</v>
      </c>
      <c r="D133" s="11" t="s">
        <v>54</v>
      </c>
      <c r="E133" s="15" t="s">
        <v>20</v>
      </c>
      <c r="F133" s="11" t="s">
        <v>21</v>
      </c>
      <c r="G133" s="12" t="s">
        <v>22</v>
      </c>
      <c r="H133" s="11" t="s">
        <v>56</v>
      </c>
      <c r="I133" s="16" t="n">
        <v>8000</v>
      </c>
      <c r="J133" s="16" t="n">
        <v>835943</v>
      </c>
    </row>
    <row r="134" customFormat="false" ht="15" hidden="false" customHeight="true" outlineLevel="0" collapsed="false">
      <c r="A134" s="14" t="n">
        <v>2019</v>
      </c>
      <c r="B134" s="14" t="n">
        <v>12</v>
      </c>
      <c r="C134" s="11" t="s">
        <v>53</v>
      </c>
      <c r="D134" s="11" t="s">
        <v>54</v>
      </c>
      <c r="E134" s="15" t="s">
        <v>23</v>
      </c>
      <c r="F134" s="11" t="s">
        <v>24</v>
      </c>
      <c r="G134" s="12" t="s">
        <v>25</v>
      </c>
      <c r="H134" s="11" t="s">
        <v>56</v>
      </c>
      <c r="I134" s="16" t="n">
        <v>8500</v>
      </c>
      <c r="J134" s="16" t="n">
        <v>649129</v>
      </c>
    </row>
    <row r="135" customFormat="false" ht="15" hidden="false" customHeight="true" outlineLevel="0" collapsed="false">
      <c r="A135" s="14" t="n">
        <v>2019</v>
      </c>
      <c r="B135" s="14" t="n">
        <v>12</v>
      </c>
      <c r="C135" s="11" t="s">
        <v>53</v>
      </c>
      <c r="D135" s="11" t="s">
        <v>54</v>
      </c>
      <c r="E135" s="15" t="s">
        <v>27</v>
      </c>
      <c r="F135" s="11" t="s">
        <v>28</v>
      </c>
      <c r="G135" s="12" t="s">
        <v>29</v>
      </c>
      <c r="H135" s="11" t="s">
        <v>56</v>
      </c>
      <c r="I135" s="16" t="n">
        <v>5</v>
      </c>
      <c r="J135" s="16" t="n">
        <v>2954</v>
      </c>
    </row>
    <row r="136" customFormat="false" ht="15" hidden="false" customHeight="true" outlineLevel="0" collapsed="false">
      <c r="A136" s="14" t="n">
        <v>2019</v>
      </c>
      <c r="B136" s="14" t="n">
        <v>12</v>
      </c>
      <c r="C136" s="11" t="s">
        <v>53</v>
      </c>
      <c r="D136" s="11" t="s">
        <v>54</v>
      </c>
      <c r="E136" s="15" t="s">
        <v>20</v>
      </c>
      <c r="F136" s="11" t="s">
        <v>21</v>
      </c>
      <c r="G136" s="12" t="s">
        <v>22</v>
      </c>
      <c r="H136" s="11" t="s">
        <v>57</v>
      </c>
      <c r="I136" s="16" t="n">
        <v>1783</v>
      </c>
      <c r="J136" s="16" t="n">
        <v>65527</v>
      </c>
    </row>
    <row r="137" customFormat="false" ht="15" hidden="false" customHeight="true" outlineLevel="0" collapsed="false">
      <c r="A137" s="14" t="n">
        <v>2019</v>
      </c>
      <c r="B137" s="14" t="n">
        <v>12</v>
      </c>
      <c r="C137" s="11" t="s">
        <v>53</v>
      </c>
      <c r="D137" s="11" t="s">
        <v>54</v>
      </c>
      <c r="E137" s="15" t="s">
        <v>27</v>
      </c>
      <c r="F137" s="11" t="s">
        <v>28</v>
      </c>
      <c r="G137" s="12" t="s">
        <v>29</v>
      </c>
      <c r="H137" s="11" t="s">
        <v>57</v>
      </c>
      <c r="I137" s="16" t="n">
        <v>403</v>
      </c>
      <c r="J137" s="16" t="n">
        <v>29262</v>
      </c>
    </row>
    <row r="138" customFormat="false" ht="15" hidden="false" customHeight="true" outlineLevel="0" collapsed="false">
      <c r="A138" s="14" t="n">
        <v>2019</v>
      </c>
      <c r="B138" s="14" t="n">
        <v>12</v>
      </c>
      <c r="C138" s="11" t="s">
        <v>53</v>
      </c>
      <c r="D138" s="11" t="s">
        <v>54</v>
      </c>
      <c r="E138" s="15" t="s">
        <v>23</v>
      </c>
      <c r="F138" s="11" t="s">
        <v>24</v>
      </c>
      <c r="G138" s="12" t="s">
        <v>25</v>
      </c>
      <c r="H138" s="11" t="s">
        <v>58</v>
      </c>
      <c r="I138" s="16" t="n">
        <v>2591</v>
      </c>
      <c r="J138" s="16" t="n">
        <v>237064</v>
      </c>
    </row>
    <row r="139" customFormat="false" ht="15" hidden="false" customHeight="true" outlineLevel="0" collapsed="false">
      <c r="A139" s="14" t="n">
        <v>2019</v>
      </c>
      <c r="B139" s="14" t="n">
        <v>12</v>
      </c>
      <c r="C139" s="11" t="s">
        <v>53</v>
      </c>
      <c r="D139" s="11" t="s">
        <v>54</v>
      </c>
      <c r="E139" s="15" t="s">
        <v>23</v>
      </c>
      <c r="F139" s="11" t="s">
        <v>24</v>
      </c>
      <c r="G139" s="12" t="s">
        <v>25</v>
      </c>
      <c r="H139" s="11" t="s">
        <v>59</v>
      </c>
      <c r="I139" s="16" t="n">
        <v>816</v>
      </c>
      <c r="J139" s="16" t="n">
        <v>56312</v>
      </c>
    </row>
    <row r="140" customFormat="false" ht="15" hidden="false" customHeight="true" outlineLevel="0" collapsed="false">
      <c r="A140" s="14" t="n">
        <v>2019</v>
      </c>
      <c r="B140" s="14" t="n">
        <v>12</v>
      </c>
      <c r="C140" s="11" t="s">
        <v>53</v>
      </c>
      <c r="D140" s="11" t="s">
        <v>54</v>
      </c>
      <c r="E140" s="15" t="s">
        <v>27</v>
      </c>
      <c r="F140" s="11" t="s">
        <v>28</v>
      </c>
      <c r="G140" s="12" t="s">
        <v>29</v>
      </c>
      <c r="H140" s="11" t="s">
        <v>59</v>
      </c>
      <c r="I140" s="16" t="n">
        <v>45</v>
      </c>
      <c r="J140" s="16" t="n">
        <v>3496</v>
      </c>
    </row>
    <row r="141" customFormat="false" ht="15" hidden="false" customHeight="true" outlineLevel="0" collapsed="false">
      <c r="A141" s="14" t="n">
        <v>2019</v>
      </c>
      <c r="B141" s="14" t="n">
        <v>12</v>
      </c>
      <c r="C141" s="11" t="s">
        <v>53</v>
      </c>
      <c r="D141" s="11" t="s">
        <v>54</v>
      </c>
      <c r="E141" s="15" t="s">
        <v>27</v>
      </c>
      <c r="F141" s="11" t="s">
        <v>28</v>
      </c>
      <c r="G141" s="12" t="s">
        <v>29</v>
      </c>
      <c r="H141" s="11" t="s">
        <v>60</v>
      </c>
      <c r="I141" s="16" t="n">
        <v>161</v>
      </c>
      <c r="J141" s="16" t="n">
        <v>9809</v>
      </c>
    </row>
    <row r="142" customFormat="false" ht="15" hidden="false" customHeight="true" outlineLevel="0" collapsed="false">
      <c r="A142" s="14" t="n">
        <v>2019</v>
      </c>
      <c r="B142" s="14" t="n">
        <v>12</v>
      </c>
      <c r="C142" s="11" t="s">
        <v>53</v>
      </c>
      <c r="D142" s="11" t="s">
        <v>54</v>
      </c>
      <c r="E142" s="15" t="s">
        <v>27</v>
      </c>
      <c r="F142" s="11" t="s">
        <v>28</v>
      </c>
      <c r="G142" s="12" t="s">
        <v>29</v>
      </c>
      <c r="H142" s="11" t="s">
        <v>61</v>
      </c>
      <c r="I142" s="16" t="n">
        <v>221</v>
      </c>
      <c r="J142" s="16" t="n">
        <v>12365</v>
      </c>
    </row>
    <row r="143" customFormat="false" ht="15" hidden="false" customHeight="true" outlineLevel="0" collapsed="false">
      <c r="A143" s="14" t="n">
        <v>2019</v>
      </c>
      <c r="B143" s="14" t="n">
        <v>12</v>
      </c>
      <c r="C143" s="11" t="s">
        <v>53</v>
      </c>
      <c r="D143" s="11" t="s">
        <v>54</v>
      </c>
      <c r="E143" s="15" t="s">
        <v>27</v>
      </c>
      <c r="F143" s="11" t="s">
        <v>28</v>
      </c>
      <c r="G143" s="12" t="s">
        <v>29</v>
      </c>
      <c r="H143" s="11" t="s">
        <v>63</v>
      </c>
      <c r="I143" s="16" t="n">
        <v>50</v>
      </c>
      <c r="J143" s="16" t="n">
        <v>3735</v>
      </c>
    </row>
    <row r="144" customFormat="false" ht="15" hidden="false" customHeight="true" outlineLevel="0" collapsed="false">
      <c r="A144" s="14" t="n">
        <v>2020</v>
      </c>
      <c r="B144" s="14" t="n">
        <v>1</v>
      </c>
      <c r="C144" s="11" t="s">
        <v>53</v>
      </c>
      <c r="D144" s="11" t="s">
        <v>54</v>
      </c>
      <c r="E144" s="15" t="s">
        <v>20</v>
      </c>
      <c r="F144" s="11" t="s">
        <v>21</v>
      </c>
      <c r="G144" s="12" t="s">
        <v>22</v>
      </c>
      <c r="H144" s="11" t="s">
        <v>55</v>
      </c>
      <c r="I144" s="16" t="n">
        <v>9661</v>
      </c>
      <c r="J144" s="16" t="n">
        <v>1192540</v>
      </c>
    </row>
    <row r="145" customFormat="false" ht="15" hidden="false" customHeight="true" outlineLevel="0" collapsed="false">
      <c r="A145" s="14" t="n">
        <v>2020</v>
      </c>
      <c r="B145" s="14" t="n">
        <v>1</v>
      </c>
      <c r="C145" s="11" t="s">
        <v>53</v>
      </c>
      <c r="D145" s="11" t="s">
        <v>54</v>
      </c>
      <c r="E145" s="15" t="s">
        <v>23</v>
      </c>
      <c r="F145" s="11" t="s">
        <v>24</v>
      </c>
      <c r="G145" s="12" t="s">
        <v>25</v>
      </c>
      <c r="H145" s="11" t="s">
        <v>55</v>
      </c>
      <c r="I145" s="16" t="n">
        <v>75760</v>
      </c>
      <c r="J145" s="16" t="n">
        <v>5263738</v>
      </c>
    </row>
    <row r="146" customFormat="false" ht="15" hidden="false" customHeight="true" outlineLevel="0" collapsed="false">
      <c r="A146" s="14" t="n">
        <v>2020</v>
      </c>
      <c r="B146" s="14" t="n">
        <v>1</v>
      </c>
      <c r="C146" s="11" t="s">
        <v>53</v>
      </c>
      <c r="D146" s="11" t="s">
        <v>54</v>
      </c>
      <c r="E146" s="15" t="s">
        <v>20</v>
      </c>
      <c r="F146" s="11" t="s">
        <v>21</v>
      </c>
      <c r="G146" s="12" t="s">
        <v>22</v>
      </c>
      <c r="H146" s="11" t="s">
        <v>56</v>
      </c>
      <c r="I146" s="16" t="n">
        <v>10000</v>
      </c>
      <c r="J146" s="16" t="n">
        <v>992594</v>
      </c>
    </row>
    <row r="147" customFormat="false" ht="15" hidden="false" customHeight="true" outlineLevel="0" collapsed="false">
      <c r="A147" s="14" t="n">
        <v>2020</v>
      </c>
      <c r="B147" s="14" t="n">
        <v>1</v>
      </c>
      <c r="C147" s="11" t="s">
        <v>53</v>
      </c>
      <c r="D147" s="11" t="s">
        <v>54</v>
      </c>
      <c r="E147" s="15" t="s">
        <v>23</v>
      </c>
      <c r="F147" s="11" t="s">
        <v>24</v>
      </c>
      <c r="G147" s="12" t="s">
        <v>25</v>
      </c>
      <c r="H147" s="11" t="s">
        <v>56</v>
      </c>
      <c r="I147" s="16" t="n">
        <v>1631</v>
      </c>
      <c r="J147" s="16" t="n">
        <v>141000</v>
      </c>
    </row>
    <row r="148" customFormat="false" ht="15" hidden="false" customHeight="true" outlineLevel="0" collapsed="false">
      <c r="A148" s="14" t="n">
        <v>2020</v>
      </c>
      <c r="B148" s="14" t="n">
        <v>1</v>
      </c>
      <c r="C148" s="11" t="s">
        <v>53</v>
      </c>
      <c r="D148" s="11" t="s">
        <v>54</v>
      </c>
      <c r="E148" s="15" t="s">
        <v>27</v>
      </c>
      <c r="F148" s="11" t="s">
        <v>28</v>
      </c>
      <c r="G148" s="12" t="s">
        <v>29</v>
      </c>
      <c r="H148" s="11" t="s">
        <v>56</v>
      </c>
      <c r="I148" s="16" t="n">
        <v>240</v>
      </c>
      <c r="J148" s="16" t="n">
        <v>70000</v>
      </c>
    </row>
    <row r="149" customFormat="false" ht="15" hidden="false" customHeight="true" outlineLevel="0" collapsed="false">
      <c r="A149" s="14" t="n">
        <v>2020</v>
      </c>
      <c r="B149" s="14" t="n">
        <v>1</v>
      </c>
      <c r="C149" s="11" t="s">
        <v>53</v>
      </c>
      <c r="D149" s="11" t="s">
        <v>54</v>
      </c>
      <c r="E149" s="15" t="s">
        <v>20</v>
      </c>
      <c r="F149" s="11" t="s">
        <v>21</v>
      </c>
      <c r="G149" s="12" t="s">
        <v>22</v>
      </c>
      <c r="H149" s="11" t="s">
        <v>57</v>
      </c>
      <c r="I149" s="16" t="n">
        <v>1295</v>
      </c>
      <c r="J149" s="16" t="n">
        <v>78180</v>
      </c>
    </row>
    <row r="150" customFormat="false" ht="15" hidden="false" customHeight="true" outlineLevel="0" collapsed="false">
      <c r="A150" s="14" t="n">
        <v>2020</v>
      </c>
      <c r="B150" s="14" t="n">
        <v>1</v>
      </c>
      <c r="C150" s="11" t="s">
        <v>53</v>
      </c>
      <c r="D150" s="11" t="s">
        <v>54</v>
      </c>
      <c r="E150" s="15" t="s">
        <v>27</v>
      </c>
      <c r="F150" s="11" t="s">
        <v>28</v>
      </c>
      <c r="G150" s="12" t="s">
        <v>29</v>
      </c>
      <c r="H150" s="11" t="s">
        <v>57</v>
      </c>
      <c r="I150" s="16" t="n">
        <v>20</v>
      </c>
      <c r="J150" s="16" t="n">
        <v>22200</v>
      </c>
    </row>
    <row r="151" customFormat="false" ht="15" hidden="false" customHeight="true" outlineLevel="0" collapsed="false">
      <c r="A151" s="14" t="n">
        <v>2020</v>
      </c>
      <c r="B151" s="14" t="n">
        <v>1</v>
      </c>
      <c r="C151" s="11" t="s">
        <v>53</v>
      </c>
      <c r="D151" s="11" t="s">
        <v>54</v>
      </c>
      <c r="E151" s="15" t="s">
        <v>27</v>
      </c>
      <c r="F151" s="11" t="s">
        <v>28</v>
      </c>
      <c r="G151" s="12" t="s">
        <v>29</v>
      </c>
      <c r="H151" s="11" t="s">
        <v>60</v>
      </c>
      <c r="I151" s="16" t="n">
        <v>428</v>
      </c>
      <c r="J151" s="16" t="n">
        <v>30755</v>
      </c>
    </row>
    <row r="152" customFormat="false" ht="15" hidden="false" customHeight="true" outlineLevel="0" collapsed="false">
      <c r="A152" s="14" t="n">
        <v>2020</v>
      </c>
      <c r="B152" s="14" t="n">
        <v>1</v>
      </c>
      <c r="C152" s="11" t="s">
        <v>53</v>
      </c>
      <c r="D152" s="11" t="s">
        <v>54</v>
      </c>
      <c r="E152" s="15" t="s">
        <v>27</v>
      </c>
      <c r="F152" s="11" t="s">
        <v>28</v>
      </c>
      <c r="G152" s="12" t="s">
        <v>29</v>
      </c>
      <c r="H152" s="11" t="s">
        <v>61</v>
      </c>
      <c r="I152" s="16" t="n">
        <v>205</v>
      </c>
      <c r="J152" s="16" t="n">
        <v>10459</v>
      </c>
    </row>
    <row r="153" customFormat="false" ht="15" hidden="false" customHeight="true" outlineLevel="0" collapsed="false">
      <c r="A153" s="14" t="n">
        <v>2020</v>
      </c>
      <c r="B153" s="14" t="n">
        <v>2</v>
      </c>
      <c r="C153" s="11" t="s">
        <v>53</v>
      </c>
      <c r="D153" s="11" t="s">
        <v>54</v>
      </c>
      <c r="E153" s="15" t="s">
        <v>20</v>
      </c>
      <c r="F153" s="11" t="s">
        <v>21</v>
      </c>
      <c r="G153" s="12" t="s">
        <v>22</v>
      </c>
      <c r="H153" s="11" t="s">
        <v>55</v>
      </c>
      <c r="I153" s="16" t="n">
        <v>963</v>
      </c>
      <c r="J153" s="16" t="n">
        <v>9625</v>
      </c>
    </row>
    <row r="154" customFormat="false" ht="15" hidden="false" customHeight="true" outlineLevel="0" collapsed="false">
      <c r="A154" s="14" t="n">
        <v>2020</v>
      </c>
      <c r="B154" s="14" t="n">
        <v>2</v>
      </c>
      <c r="C154" s="11" t="s">
        <v>53</v>
      </c>
      <c r="D154" s="11" t="s">
        <v>54</v>
      </c>
      <c r="E154" s="15" t="s">
        <v>23</v>
      </c>
      <c r="F154" s="11" t="s">
        <v>24</v>
      </c>
      <c r="G154" s="12" t="s">
        <v>25</v>
      </c>
      <c r="H154" s="11" t="s">
        <v>55</v>
      </c>
      <c r="I154" s="16" t="n">
        <v>59473</v>
      </c>
      <c r="J154" s="16" t="n">
        <v>4851832</v>
      </c>
    </row>
    <row r="155" customFormat="false" ht="15" hidden="false" customHeight="true" outlineLevel="0" collapsed="false">
      <c r="A155" s="14" t="n">
        <v>2020</v>
      </c>
      <c r="B155" s="14" t="n">
        <v>2</v>
      </c>
      <c r="C155" s="11" t="s">
        <v>53</v>
      </c>
      <c r="D155" s="11" t="s">
        <v>54</v>
      </c>
      <c r="E155" s="15" t="s">
        <v>20</v>
      </c>
      <c r="F155" s="11" t="s">
        <v>21</v>
      </c>
      <c r="G155" s="12" t="s">
        <v>22</v>
      </c>
      <c r="H155" s="11" t="s">
        <v>56</v>
      </c>
      <c r="I155" s="16" t="n">
        <v>7223</v>
      </c>
      <c r="J155" s="16" t="n">
        <v>802728</v>
      </c>
    </row>
    <row r="156" customFormat="false" ht="15" hidden="false" customHeight="true" outlineLevel="0" collapsed="false">
      <c r="A156" s="14" t="n">
        <v>2020</v>
      </c>
      <c r="B156" s="14" t="n">
        <v>2</v>
      </c>
      <c r="C156" s="11" t="s">
        <v>53</v>
      </c>
      <c r="D156" s="11" t="s">
        <v>54</v>
      </c>
      <c r="E156" s="15" t="s">
        <v>23</v>
      </c>
      <c r="F156" s="11" t="s">
        <v>24</v>
      </c>
      <c r="G156" s="12" t="s">
        <v>25</v>
      </c>
      <c r="H156" s="11" t="s">
        <v>56</v>
      </c>
      <c r="I156" s="16" t="n">
        <v>8700</v>
      </c>
      <c r="J156" s="16" t="n">
        <v>892455</v>
      </c>
    </row>
    <row r="157" customFormat="false" ht="15" hidden="false" customHeight="true" outlineLevel="0" collapsed="false">
      <c r="A157" s="14" t="n">
        <v>2020</v>
      </c>
      <c r="B157" s="14" t="n">
        <v>2</v>
      </c>
      <c r="C157" s="11" t="s">
        <v>53</v>
      </c>
      <c r="D157" s="11" t="s">
        <v>54</v>
      </c>
      <c r="E157" s="15" t="s">
        <v>27</v>
      </c>
      <c r="F157" s="11" t="s">
        <v>28</v>
      </c>
      <c r="G157" s="12" t="s">
        <v>29</v>
      </c>
      <c r="H157" s="11" t="s">
        <v>56</v>
      </c>
      <c r="I157" s="16" t="n">
        <v>6121</v>
      </c>
      <c r="J157" s="16" t="n">
        <v>2479931</v>
      </c>
    </row>
    <row r="158" customFormat="false" ht="15" hidden="false" customHeight="true" outlineLevel="0" collapsed="false">
      <c r="A158" s="14" t="n">
        <v>2020</v>
      </c>
      <c r="B158" s="14" t="n">
        <v>2</v>
      </c>
      <c r="C158" s="11" t="s">
        <v>53</v>
      </c>
      <c r="D158" s="11" t="s">
        <v>54</v>
      </c>
      <c r="E158" s="15" t="s">
        <v>20</v>
      </c>
      <c r="F158" s="11" t="s">
        <v>21</v>
      </c>
      <c r="G158" s="12" t="s">
        <v>22</v>
      </c>
      <c r="H158" s="11" t="s">
        <v>57</v>
      </c>
      <c r="I158" s="16" t="n">
        <v>1518</v>
      </c>
      <c r="J158" s="16" t="n">
        <v>85187</v>
      </c>
    </row>
    <row r="159" customFormat="false" ht="15" hidden="false" customHeight="true" outlineLevel="0" collapsed="false">
      <c r="A159" s="14" t="n">
        <v>2020</v>
      </c>
      <c r="B159" s="14" t="n">
        <v>2</v>
      </c>
      <c r="C159" s="11" t="s">
        <v>53</v>
      </c>
      <c r="D159" s="11" t="s">
        <v>54</v>
      </c>
      <c r="E159" s="15" t="s">
        <v>27</v>
      </c>
      <c r="F159" s="11" t="s">
        <v>28</v>
      </c>
      <c r="G159" s="12" t="s">
        <v>29</v>
      </c>
      <c r="H159" s="11" t="s">
        <v>57</v>
      </c>
      <c r="I159" s="16" t="n">
        <v>20</v>
      </c>
      <c r="J159" s="16" t="n">
        <v>12908</v>
      </c>
    </row>
    <row r="160" customFormat="false" ht="15" hidden="false" customHeight="true" outlineLevel="0" collapsed="false">
      <c r="A160" s="14" t="n">
        <v>2020</v>
      </c>
      <c r="B160" s="14" t="n">
        <v>3</v>
      </c>
      <c r="C160" s="11" t="s">
        <v>53</v>
      </c>
      <c r="D160" s="11" t="s">
        <v>54</v>
      </c>
      <c r="E160" s="15" t="s">
        <v>20</v>
      </c>
      <c r="F160" s="11" t="s">
        <v>21</v>
      </c>
      <c r="G160" s="12" t="s">
        <v>22</v>
      </c>
      <c r="H160" s="11" t="s">
        <v>55</v>
      </c>
      <c r="I160" s="16" t="n">
        <v>18321</v>
      </c>
      <c r="J160" s="16" t="n">
        <v>1746067</v>
      </c>
    </row>
    <row r="161" customFormat="false" ht="15" hidden="false" customHeight="true" outlineLevel="0" collapsed="false">
      <c r="A161" s="14" t="n">
        <v>2020</v>
      </c>
      <c r="B161" s="14" t="n">
        <v>3</v>
      </c>
      <c r="C161" s="11" t="s">
        <v>53</v>
      </c>
      <c r="D161" s="11" t="s">
        <v>54</v>
      </c>
      <c r="E161" s="15" t="s">
        <v>23</v>
      </c>
      <c r="F161" s="11" t="s">
        <v>24</v>
      </c>
      <c r="G161" s="12" t="s">
        <v>25</v>
      </c>
      <c r="H161" s="11" t="s">
        <v>55</v>
      </c>
      <c r="I161" s="16" t="n">
        <v>80471</v>
      </c>
      <c r="J161" s="16" t="n">
        <v>5826861</v>
      </c>
    </row>
    <row r="162" customFormat="false" ht="15" hidden="false" customHeight="true" outlineLevel="0" collapsed="false">
      <c r="A162" s="14" t="n">
        <v>2020</v>
      </c>
      <c r="B162" s="14" t="n">
        <v>3</v>
      </c>
      <c r="C162" s="11" t="s">
        <v>53</v>
      </c>
      <c r="D162" s="11" t="s">
        <v>54</v>
      </c>
      <c r="E162" s="15" t="s">
        <v>20</v>
      </c>
      <c r="F162" s="11" t="s">
        <v>21</v>
      </c>
      <c r="G162" s="12" t="s">
        <v>22</v>
      </c>
      <c r="H162" s="11" t="s">
        <v>56</v>
      </c>
      <c r="I162" s="16" t="n">
        <v>12155</v>
      </c>
      <c r="J162" s="16" t="n">
        <v>1329334</v>
      </c>
    </row>
    <row r="163" customFormat="false" ht="15" hidden="false" customHeight="true" outlineLevel="0" collapsed="false">
      <c r="A163" s="14" t="n">
        <v>2020</v>
      </c>
      <c r="B163" s="14" t="n">
        <v>3</v>
      </c>
      <c r="C163" s="11" t="s">
        <v>53</v>
      </c>
      <c r="D163" s="11" t="s">
        <v>54</v>
      </c>
      <c r="E163" s="15" t="s">
        <v>27</v>
      </c>
      <c r="F163" s="11" t="s">
        <v>28</v>
      </c>
      <c r="G163" s="12" t="s">
        <v>29</v>
      </c>
      <c r="H163" s="11" t="s">
        <v>56</v>
      </c>
      <c r="I163" s="16" t="n">
        <v>2720</v>
      </c>
      <c r="J163" s="16" t="n">
        <v>1208456</v>
      </c>
    </row>
    <row r="164" customFormat="false" ht="15" hidden="false" customHeight="true" outlineLevel="0" collapsed="false">
      <c r="A164" s="14" t="n">
        <v>2020</v>
      </c>
      <c r="B164" s="14" t="n">
        <v>3</v>
      </c>
      <c r="C164" s="11" t="s">
        <v>53</v>
      </c>
      <c r="D164" s="11" t="s">
        <v>54</v>
      </c>
      <c r="E164" s="15" t="s">
        <v>20</v>
      </c>
      <c r="F164" s="11" t="s">
        <v>21</v>
      </c>
      <c r="G164" s="12" t="s">
        <v>22</v>
      </c>
      <c r="H164" s="11" t="s">
        <v>57</v>
      </c>
      <c r="I164" s="16" t="n">
        <v>2663</v>
      </c>
      <c r="J164" s="16" t="n">
        <v>154069</v>
      </c>
    </row>
    <row r="165" customFormat="false" ht="15" hidden="false" customHeight="true" outlineLevel="0" collapsed="false">
      <c r="A165" s="14" t="n">
        <v>2020</v>
      </c>
      <c r="B165" s="14" t="n">
        <v>3</v>
      </c>
      <c r="C165" s="11" t="s">
        <v>53</v>
      </c>
      <c r="D165" s="11" t="s">
        <v>54</v>
      </c>
      <c r="E165" s="15" t="s">
        <v>23</v>
      </c>
      <c r="F165" s="11" t="s">
        <v>24</v>
      </c>
      <c r="G165" s="12" t="s">
        <v>25</v>
      </c>
      <c r="H165" s="11" t="s">
        <v>58</v>
      </c>
      <c r="I165" s="16" t="n">
        <v>695</v>
      </c>
      <c r="J165" s="16" t="n">
        <v>86683</v>
      </c>
    </row>
    <row r="166" customFormat="false" ht="15" hidden="false" customHeight="true" outlineLevel="0" collapsed="false">
      <c r="A166" s="14" t="n">
        <v>2020</v>
      </c>
      <c r="B166" s="14" t="n">
        <v>3</v>
      </c>
      <c r="C166" s="11" t="s">
        <v>53</v>
      </c>
      <c r="D166" s="11" t="s">
        <v>54</v>
      </c>
      <c r="E166" s="15" t="s">
        <v>27</v>
      </c>
      <c r="F166" s="11" t="s">
        <v>28</v>
      </c>
      <c r="G166" s="12" t="s">
        <v>29</v>
      </c>
      <c r="H166" s="11" t="s">
        <v>58</v>
      </c>
      <c r="I166" s="16" t="n">
        <v>659</v>
      </c>
      <c r="J166" s="16" t="n">
        <v>300000</v>
      </c>
    </row>
    <row r="167" customFormat="false" ht="15" hidden="false" customHeight="true" outlineLevel="0" collapsed="false">
      <c r="A167" s="14" t="n">
        <v>2020</v>
      </c>
      <c r="B167" s="14" t="n">
        <v>3</v>
      </c>
      <c r="C167" s="11" t="s">
        <v>53</v>
      </c>
      <c r="D167" s="11" t="s">
        <v>54</v>
      </c>
      <c r="E167" s="15" t="s">
        <v>27</v>
      </c>
      <c r="F167" s="11" t="s">
        <v>28</v>
      </c>
      <c r="G167" s="12" t="s">
        <v>29</v>
      </c>
      <c r="H167" s="11" t="s">
        <v>60</v>
      </c>
      <c r="I167" s="16" t="n">
        <v>10</v>
      </c>
      <c r="J167" s="16" t="n">
        <v>18630</v>
      </c>
    </row>
    <row r="168" customFormat="false" ht="15" hidden="false" customHeight="true" outlineLevel="0" collapsed="false">
      <c r="A168" s="14" t="n">
        <v>2020</v>
      </c>
      <c r="B168" s="14" t="n">
        <v>3</v>
      </c>
      <c r="C168" s="11" t="s">
        <v>53</v>
      </c>
      <c r="D168" s="11" t="s">
        <v>54</v>
      </c>
      <c r="E168" s="15" t="s">
        <v>31</v>
      </c>
      <c r="F168" s="11" t="s">
        <v>64</v>
      </c>
      <c r="G168" s="12" t="s">
        <v>33</v>
      </c>
      <c r="H168" s="11" t="s">
        <v>60</v>
      </c>
      <c r="I168" s="16" t="n">
        <v>92</v>
      </c>
      <c r="J168" s="16" t="n">
        <v>87917</v>
      </c>
    </row>
    <row r="169" customFormat="false" ht="15" hidden="false" customHeight="true" outlineLevel="0" collapsed="false">
      <c r="A169" s="14" t="n">
        <v>2020</v>
      </c>
      <c r="B169" s="14" t="n">
        <v>3</v>
      </c>
      <c r="C169" s="11" t="s">
        <v>53</v>
      </c>
      <c r="D169" s="11" t="s">
        <v>54</v>
      </c>
      <c r="E169" s="15" t="s">
        <v>27</v>
      </c>
      <c r="F169" s="11" t="s">
        <v>28</v>
      </c>
      <c r="G169" s="12" t="s">
        <v>29</v>
      </c>
      <c r="H169" s="11" t="s">
        <v>62</v>
      </c>
      <c r="I169" s="16" t="n">
        <v>25</v>
      </c>
      <c r="J169" s="16" t="n">
        <v>15000</v>
      </c>
    </row>
    <row r="170" customFormat="false" ht="15" hidden="false" customHeight="true" outlineLevel="0" collapsed="false">
      <c r="A170" s="14" t="n">
        <v>2020</v>
      </c>
      <c r="B170" s="14" t="n">
        <v>4</v>
      </c>
      <c r="C170" s="11" t="s">
        <v>53</v>
      </c>
      <c r="D170" s="11" t="s">
        <v>54</v>
      </c>
      <c r="E170" s="15" t="s">
        <v>20</v>
      </c>
      <c r="F170" s="11" t="s">
        <v>21</v>
      </c>
      <c r="G170" s="12" t="s">
        <v>22</v>
      </c>
      <c r="H170" s="11" t="s">
        <v>55</v>
      </c>
      <c r="I170" s="16" t="n">
        <v>4260</v>
      </c>
      <c r="J170" s="16" t="n">
        <v>511311</v>
      </c>
    </row>
    <row r="171" customFormat="false" ht="15" hidden="false" customHeight="true" outlineLevel="0" collapsed="false">
      <c r="A171" s="14" t="n">
        <v>2020</v>
      </c>
      <c r="B171" s="14" t="n">
        <v>4</v>
      </c>
      <c r="C171" s="11" t="s">
        <v>53</v>
      </c>
      <c r="D171" s="11" t="s">
        <v>54</v>
      </c>
      <c r="E171" s="15" t="s">
        <v>23</v>
      </c>
      <c r="F171" s="11" t="s">
        <v>24</v>
      </c>
      <c r="G171" s="12" t="s">
        <v>25</v>
      </c>
      <c r="H171" s="11" t="s">
        <v>55</v>
      </c>
      <c r="I171" s="16" t="n">
        <v>33039</v>
      </c>
      <c r="J171" s="16" t="n">
        <v>1838428</v>
      </c>
    </row>
    <row r="172" customFormat="false" ht="15" hidden="false" customHeight="true" outlineLevel="0" collapsed="false">
      <c r="A172" s="14" t="n">
        <v>2020</v>
      </c>
      <c r="B172" s="14" t="n">
        <v>4</v>
      </c>
      <c r="C172" s="11" t="s">
        <v>53</v>
      </c>
      <c r="D172" s="11" t="s">
        <v>54</v>
      </c>
      <c r="E172" s="15" t="s">
        <v>23</v>
      </c>
      <c r="F172" s="11" t="s">
        <v>24</v>
      </c>
      <c r="G172" s="12" t="s">
        <v>25</v>
      </c>
      <c r="H172" s="11" t="s">
        <v>56</v>
      </c>
      <c r="I172" s="16" t="n">
        <v>13000</v>
      </c>
      <c r="J172" s="16" t="n">
        <v>1696697</v>
      </c>
    </row>
    <row r="173" customFormat="false" ht="15" hidden="false" customHeight="true" outlineLevel="0" collapsed="false">
      <c r="A173" s="14" t="n">
        <v>2020</v>
      </c>
      <c r="B173" s="14" t="n">
        <v>4</v>
      </c>
      <c r="C173" s="11" t="s">
        <v>53</v>
      </c>
      <c r="D173" s="11" t="s">
        <v>54</v>
      </c>
      <c r="E173" s="15" t="s">
        <v>27</v>
      </c>
      <c r="F173" s="11" t="s">
        <v>28</v>
      </c>
      <c r="G173" s="12" t="s">
        <v>29</v>
      </c>
      <c r="H173" s="11" t="s">
        <v>56</v>
      </c>
      <c r="I173" s="16" t="n">
        <v>3210</v>
      </c>
      <c r="J173" s="16" t="n">
        <v>1346129</v>
      </c>
    </row>
    <row r="174" customFormat="false" ht="15" hidden="false" customHeight="true" outlineLevel="0" collapsed="false">
      <c r="A174" s="14" t="n">
        <v>2020</v>
      </c>
      <c r="B174" s="14" t="n">
        <v>4</v>
      </c>
      <c r="C174" s="11" t="s">
        <v>53</v>
      </c>
      <c r="D174" s="11" t="s">
        <v>54</v>
      </c>
      <c r="E174" s="15" t="s">
        <v>20</v>
      </c>
      <c r="F174" s="11" t="s">
        <v>21</v>
      </c>
      <c r="G174" s="12" t="s">
        <v>22</v>
      </c>
      <c r="H174" s="11" t="s">
        <v>57</v>
      </c>
      <c r="I174" s="16" t="n">
        <v>500</v>
      </c>
      <c r="J174" s="16" t="n">
        <v>25399</v>
      </c>
    </row>
    <row r="175" customFormat="false" ht="15" hidden="false" customHeight="true" outlineLevel="0" collapsed="false">
      <c r="A175" s="14" t="n">
        <v>2020</v>
      </c>
      <c r="B175" s="14" t="n">
        <v>4</v>
      </c>
      <c r="C175" s="11" t="s">
        <v>53</v>
      </c>
      <c r="D175" s="11" t="s">
        <v>54</v>
      </c>
      <c r="E175" s="15" t="s">
        <v>23</v>
      </c>
      <c r="F175" s="11" t="s">
        <v>24</v>
      </c>
      <c r="G175" s="12" t="s">
        <v>25</v>
      </c>
      <c r="H175" s="11" t="s">
        <v>57</v>
      </c>
      <c r="I175" s="16" t="n">
        <v>500</v>
      </c>
      <c r="J175" s="16" t="n">
        <v>26273</v>
      </c>
    </row>
    <row r="176" customFormat="false" ht="15" hidden="false" customHeight="true" outlineLevel="0" collapsed="false">
      <c r="A176" s="14" t="n">
        <v>2020</v>
      </c>
      <c r="B176" s="14" t="n">
        <v>4</v>
      </c>
      <c r="C176" s="11" t="s">
        <v>53</v>
      </c>
      <c r="D176" s="11" t="s">
        <v>54</v>
      </c>
      <c r="E176" s="15" t="s">
        <v>27</v>
      </c>
      <c r="F176" s="11" t="s">
        <v>28</v>
      </c>
      <c r="G176" s="12" t="s">
        <v>29</v>
      </c>
      <c r="H176" s="11" t="s">
        <v>58</v>
      </c>
      <c r="I176" s="16" t="n">
        <v>20</v>
      </c>
      <c r="J176" s="16" t="n">
        <v>12000</v>
      </c>
    </row>
    <row r="177" customFormat="false" ht="15" hidden="false" customHeight="true" outlineLevel="0" collapsed="false">
      <c r="A177" s="14" t="n">
        <v>2020</v>
      </c>
      <c r="B177" s="14" t="n">
        <v>5</v>
      </c>
      <c r="C177" s="11" t="s">
        <v>53</v>
      </c>
      <c r="D177" s="11" t="s">
        <v>54</v>
      </c>
      <c r="E177" s="15" t="s">
        <v>20</v>
      </c>
      <c r="F177" s="11" t="s">
        <v>21</v>
      </c>
      <c r="G177" s="12" t="s">
        <v>22</v>
      </c>
      <c r="H177" s="11" t="s">
        <v>55</v>
      </c>
      <c r="I177" s="16" t="n">
        <v>10904</v>
      </c>
      <c r="J177" s="16" t="n">
        <v>977823</v>
      </c>
    </row>
    <row r="178" customFormat="false" ht="15" hidden="false" customHeight="true" outlineLevel="0" collapsed="false">
      <c r="A178" s="14" t="n">
        <v>2020</v>
      </c>
      <c r="B178" s="14" t="n">
        <v>5</v>
      </c>
      <c r="C178" s="11" t="s">
        <v>53</v>
      </c>
      <c r="D178" s="11" t="s">
        <v>54</v>
      </c>
      <c r="E178" s="15" t="s">
        <v>23</v>
      </c>
      <c r="F178" s="11" t="s">
        <v>24</v>
      </c>
      <c r="G178" s="12" t="s">
        <v>25</v>
      </c>
      <c r="H178" s="11" t="s">
        <v>55</v>
      </c>
      <c r="I178" s="16" t="n">
        <v>40941</v>
      </c>
      <c r="J178" s="16" t="n">
        <v>4540579</v>
      </c>
    </row>
    <row r="179" customFormat="false" ht="15" hidden="false" customHeight="true" outlineLevel="0" collapsed="false">
      <c r="A179" s="14" t="n">
        <v>2020</v>
      </c>
      <c r="B179" s="14" t="n">
        <v>5</v>
      </c>
      <c r="C179" s="11" t="s">
        <v>53</v>
      </c>
      <c r="D179" s="11" t="s">
        <v>54</v>
      </c>
      <c r="E179" s="15" t="s">
        <v>20</v>
      </c>
      <c r="F179" s="11" t="s">
        <v>21</v>
      </c>
      <c r="G179" s="12" t="s">
        <v>22</v>
      </c>
      <c r="H179" s="11" t="s">
        <v>56</v>
      </c>
      <c r="I179" s="16" t="n">
        <v>3610</v>
      </c>
      <c r="J179" s="16" t="n">
        <v>359500</v>
      </c>
    </row>
    <row r="180" customFormat="false" ht="15" hidden="false" customHeight="true" outlineLevel="0" collapsed="false">
      <c r="A180" s="14" t="n">
        <v>2020</v>
      </c>
      <c r="B180" s="14" t="n">
        <v>5</v>
      </c>
      <c r="C180" s="11" t="s">
        <v>53</v>
      </c>
      <c r="D180" s="11" t="s">
        <v>54</v>
      </c>
      <c r="E180" s="15" t="s">
        <v>27</v>
      </c>
      <c r="F180" s="11" t="s">
        <v>28</v>
      </c>
      <c r="G180" s="12" t="s">
        <v>29</v>
      </c>
      <c r="H180" s="11" t="s">
        <v>56</v>
      </c>
      <c r="I180" s="16" t="n">
        <v>1205</v>
      </c>
      <c r="J180" s="16" t="n">
        <v>421500</v>
      </c>
    </row>
    <row r="181" customFormat="false" ht="15" hidden="false" customHeight="true" outlineLevel="0" collapsed="false">
      <c r="A181" s="14" t="n">
        <v>2020</v>
      </c>
      <c r="B181" s="14" t="n">
        <v>5</v>
      </c>
      <c r="C181" s="11" t="s">
        <v>53</v>
      </c>
      <c r="D181" s="11" t="s">
        <v>54</v>
      </c>
      <c r="E181" s="15" t="s">
        <v>20</v>
      </c>
      <c r="F181" s="11" t="s">
        <v>21</v>
      </c>
      <c r="G181" s="12" t="s">
        <v>22</v>
      </c>
      <c r="H181" s="11" t="s">
        <v>57</v>
      </c>
      <c r="I181" s="16" t="n">
        <v>2132</v>
      </c>
      <c r="J181" s="16" t="n">
        <v>132248</v>
      </c>
    </row>
    <row r="182" customFormat="false" ht="15" hidden="false" customHeight="true" outlineLevel="0" collapsed="false">
      <c r="A182" s="14" t="n">
        <v>2020</v>
      </c>
      <c r="B182" s="14" t="n">
        <v>5</v>
      </c>
      <c r="C182" s="11" t="s">
        <v>53</v>
      </c>
      <c r="D182" s="11" t="s">
        <v>54</v>
      </c>
      <c r="E182" s="15" t="s">
        <v>23</v>
      </c>
      <c r="F182" s="11" t="s">
        <v>24</v>
      </c>
      <c r="G182" s="12" t="s">
        <v>25</v>
      </c>
      <c r="H182" s="11" t="s">
        <v>57</v>
      </c>
      <c r="I182" s="16" t="n">
        <v>324</v>
      </c>
      <c r="J182" s="16" t="n">
        <v>16147</v>
      </c>
    </row>
    <row r="183" customFormat="false" ht="15" hidden="false" customHeight="true" outlineLevel="0" collapsed="false">
      <c r="A183" s="14" t="n">
        <v>2020</v>
      </c>
      <c r="B183" s="14" t="n">
        <v>5</v>
      </c>
      <c r="C183" s="11" t="s">
        <v>53</v>
      </c>
      <c r="D183" s="11" t="s">
        <v>54</v>
      </c>
      <c r="E183" s="15" t="s">
        <v>20</v>
      </c>
      <c r="F183" s="11" t="s">
        <v>21</v>
      </c>
      <c r="G183" s="12" t="s">
        <v>22</v>
      </c>
      <c r="H183" s="11" t="s">
        <v>58</v>
      </c>
      <c r="I183" s="16" t="n">
        <v>712</v>
      </c>
      <c r="J183" s="16" t="n">
        <v>278000</v>
      </c>
    </row>
    <row r="184" customFormat="false" ht="15" hidden="false" customHeight="true" outlineLevel="0" collapsed="false">
      <c r="A184" s="14" t="n">
        <v>2020</v>
      </c>
      <c r="B184" s="14" t="n">
        <v>6</v>
      </c>
      <c r="C184" s="11" t="s">
        <v>53</v>
      </c>
      <c r="D184" s="11" t="s">
        <v>54</v>
      </c>
      <c r="E184" s="15" t="s">
        <v>20</v>
      </c>
      <c r="F184" s="11" t="s">
        <v>21</v>
      </c>
      <c r="G184" s="12" t="s">
        <v>22</v>
      </c>
      <c r="H184" s="11" t="s">
        <v>55</v>
      </c>
      <c r="I184" s="16" t="n">
        <v>11455</v>
      </c>
      <c r="J184" s="16" t="n">
        <v>738283</v>
      </c>
    </row>
    <row r="185" customFormat="false" ht="15" hidden="false" customHeight="true" outlineLevel="0" collapsed="false">
      <c r="A185" s="14" t="n">
        <v>2020</v>
      </c>
      <c r="B185" s="14" t="n">
        <v>6</v>
      </c>
      <c r="C185" s="11" t="s">
        <v>53</v>
      </c>
      <c r="D185" s="11" t="s">
        <v>54</v>
      </c>
      <c r="E185" s="15" t="s">
        <v>23</v>
      </c>
      <c r="F185" s="11" t="s">
        <v>24</v>
      </c>
      <c r="G185" s="12" t="s">
        <v>25</v>
      </c>
      <c r="H185" s="11" t="s">
        <v>55</v>
      </c>
      <c r="I185" s="16" t="n">
        <v>16265</v>
      </c>
      <c r="J185" s="16" t="n">
        <v>1684730</v>
      </c>
    </row>
    <row r="186" customFormat="false" ht="15" hidden="false" customHeight="true" outlineLevel="0" collapsed="false">
      <c r="A186" s="14" t="n">
        <v>2020</v>
      </c>
      <c r="B186" s="14" t="n">
        <v>6</v>
      </c>
      <c r="C186" s="11" t="s">
        <v>53</v>
      </c>
      <c r="D186" s="11" t="s">
        <v>54</v>
      </c>
      <c r="E186" s="15" t="s">
        <v>27</v>
      </c>
      <c r="F186" s="11" t="s">
        <v>28</v>
      </c>
      <c r="G186" s="12" t="s">
        <v>29</v>
      </c>
      <c r="H186" s="11" t="s">
        <v>56</v>
      </c>
      <c r="I186" s="16" t="n">
        <v>5844</v>
      </c>
      <c r="J186" s="16" t="n">
        <v>2695390</v>
      </c>
    </row>
    <row r="187" customFormat="false" ht="15" hidden="false" customHeight="true" outlineLevel="0" collapsed="false">
      <c r="A187" s="14" t="n">
        <v>2020</v>
      </c>
      <c r="B187" s="14" t="n">
        <v>6</v>
      </c>
      <c r="C187" s="11" t="s">
        <v>53</v>
      </c>
      <c r="D187" s="11" t="s">
        <v>54</v>
      </c>
      <c r="E187" s="15" t="s">
        <v>20</v>
      </c>
      <c r="F187" s="11" t="s">
        <v>21</v>
      </c>
      <c r="G187" s="12" t="s">
        <v>22</v>
      </c>
      <c r="H187" s="11" t="s">
        <v>57</v>
      </c>
      <c r="I187" s="16" t="n">
        <v>1082</v>
      </c>
      <c r="J187" s="16" t="n">
        <v>68257</v>
      </c>
    </row>
    <row r="188" customFormat="false" ht="15" hidden="false" customHeight="true" outlineLevel="0" collapsed="false">
      <c r="A188" s="14" t="n">
        <v>2020</v>
      </c>
      <c r="B188" s="14" t="n">
        <v>6</v>
      </c>
      <c r="C188" s="11" t="s">
        <v>53</v>
      </c>
      <c r="D188" s="11" t="s">
        <v>54</v>
      </c>
      <c r="E188" s="15" t="s">
        <v>23</v>
      </c>
      <c r="F188" s="11" t="s">
        <v>24</v>
      </c>
      <c r="G188" s="12" t="s">
        <v>25</v>
      </c>
      <c r="H188" s="11" t="s">
        <v>57</v>
      </c>
      <c r="I188" s="16" t="n">
        <v>1037</v>
      </c>
      <c r="J188" s="16" t="n">
        <v>27525</v>
      </c>
    </row>
    <row r="189" customFormat="false" ht="15" hidden="false" customHeight="true" outlineLevel="0" collapsed="false">
      <c r="A189" s="14" t="n">
        <v>2020</v>
      </c>
      <c r="B189" s="14" t="n">
        <v>6</v>
      </c>
      <c r="C189" s="11" t="s">
        <v>53</v>
      </c>
      <c r="D189" s="11" t="s">
        <v>54</v>
      </c>
      <c r="E189" s="15" t="s">
        <v>27</v>
      </c>
      <c r="F189" s="11" t="s">
        <v>28</v>
      </c>
      <c r="G189" s="12" t="s">
        <v>29</v>
      </c>
      <c r="H189" s="11" t="s">
        <v>60</v>
      </c>
      <c r="I189" s="16" t="n">
        <v>50</v>
      </c>
      <c r="J189" s="16" t="n">
        <v>27263</v>
      </c>
    </row>
    <row r="190" customFormat="false" ht="15" hidden="false" customHeight="true" outlineLevel="0" collapsed="false">
      <c r="A190" s="14" t="n">
        <v>2020</v>
      </c>
      <c r="B190" s="14" t="n">
        <v>7</v>
      </c>
      <c r="C190" s="11" t="s">
        <v>53</v>
      </c>
      <c r="D190" s="11" t="s">
        <v>54</v>
      </c>
      <c r="E190" s="15" t="s">
        <v>20</v>
      </c>
      <c r="F190" s="11" t="s">
        <v>21</v>
      </c>
      <c r="G190" s="12" t="s">
        <v>22</v>
      </c>
      <c r="H190" s="11" t="s">
        <v>55</v>
      </c>
      <c r="I190" s="16" t="n">
        <v>16219</v>
      </c>
      <c r="J190" s="16" t="n">
        <v>1936955</v>
      </c>
    </row>
    <row r="191" customFormat="false" ht="15" hidden="false" customHeight="true" outlineLevel="0" collapsed="false">
      <c r="A191" s="14" t="n">
        <v>2020</v>
      </c>
      <c r="B191" s="14" t="n">
        <v>7</v>
      </c>
      <c r="C191" s="11" t="s">
        <v>53</v>
      </c>
      <c r="D191" s="11" t="s">
        <v>54</v>
      </c>
      <c r="E191" s="15" t="s">
        <v>23</v>
      </c>
      <c r="F191" s="11" t="s">
        <v>24</v>
      </c>
      <c r="G191" s="12" t="s">
        <v>25</v>
      </c>
      <c r="H191" s="11" t="s">
        <v>55</v>
      </c>
      <c r="I191" s="16" t="n">
        <v>17140</v>
      </c>
      <c r="J191" s="16" t="n">
        <v>857020</v>
      </c>
    </row>
    <row r="192" customFormat="false" ht="15" hidden="false" customHeight="true" outlineLevel="0" collapsed="false">
      <c r="A192" s="14" t="n">
        <v>2020</v>
      </c>
      <c r="B192" s="14" t="n">
        <v>7</v>
      </c>
      <c r="C192" s="11" t="s">
        <v>53</v>
      </c>
      <c r="D192" s="11" t="s">
        <v>54</v>
      </c>
      <c r="E192" s="15" t="s">
        <v>20</v>
      </c>
      <c r="F192" s="11" t="s">
        <v>21</v>
      </c>
      <c r="G192" s="12" t="s">
        <v>22</v>
      </c>
      <c r="H192" s="11" t="s">
        <v>56</v>
      </c>
      <c r="I192" s="16" t="n">
        <v>9000</v>
      </c>
      <c r="J192" s="16" t="n">
        <v>1050513</v>
      </c>
    </row>
    <row r="193" customFormat="false" ht="15" hidden="false" customHeight="true" outlineLevel="0" collapsed="false">
      <c r="A193" s="14" t="n">
        <v>2020</v>
      </c>
      <c r="B193" s="14" t="n">
        <v>7</v>
      </c>
      <c r="C193" s="11" t="s">
        <v>53</v>
      </c>
      <c r="D193" s="11" t="s">
        <v>54</v>
      </c>
      <c r="E193" s="15" t="s">
        <v>23</v>
      </c>
      <c r="F193" s="11" t="s">
        <v>24</v>
      </c>
      <c r="G193" s="12" t="s">
        <v>25</v>
      </c>
      <c r="H193" s="11" t="s">
        <v>56</v>
      </c>
      <c r="I193" s="16" t="n">
        <v>2631</v>
      </c>
      <c r="J193" s="16" t="n">
        <v>276160</v>
      </c>
    </row>
    <row r="194" customFormat="false" ht="15" hidden="false" customHeight="true" outlineLevel="0" collapsed="false">
      <c r="A194" s="14" t="n">
        <v>2020</v>
      </c>
      <c r="B194" s="14" t="n">
        <v>7</v>
      </c>
      <c r="C194" s="11" t="s">
        <v>53</v>
      </c>
      <c r="D194" s="11" t="s">
        <v>54</v>
      </c>
      <c r="E194" s="15" t="s">
        <v>27</v>
      </c>
      <c r="F194" s="11" t="s">
        <v>28</v>
      </c>
      <c r="G194" s="12" t="s">
        <v>29</v>
      </c>
      <c r="H194" s="11" t="s">
        <v>56</v>
      </c>
      <c r="I194" s="16" t="n">
        <v>2571</v>
      </c>
      <c r="J194" s="16" t="n">
        <v>1143701</v>
      </c>
    </row>
    <row r="195" customFormat="false" ht="15" hidden="false" customHeight="true" outlineLevel="0" collapsed="false">
      <c r="A195" s="14" t="n">
        <v>2020</v>
      </c>
      <c r="B195" s="14" t="n">
        <v>7</v>
      </c>
      <c r="C195" s="11" t="s">
        <v>53</v>
      </c>
      <c r="D195" s="11" t="s">
        <v>54</v>
      </c>
      <c r="E195" s="15" t="s">
        <v>23</v>
      </c>
      <c r="F195" s="11" t="s">
        <v>24</v>
      </c>
      <c r="G195" s="12" t="s">
        <v>25</v>
      </c>
      <c r="H195" s="11" t="s">
        <v>57</v>
      </c>
      <c r="I195" s="16" t="n">
        <v>1000</v>
      </c>
      <c r="J195" s="16" t="n">
        <v>53470</v>
      </c>
    </row>
    <row r="196" customFormat="false" ht="15" hidden="false" customHeight="true" outlineLevel="0" collapsed="false">
      <c r="A196" s="14" t="n">
        <v>2020</v>
      </c>
      <c r="B196" s="14" t="n">
        <v>7</v>
      </c>
      <c r="C196" s="11" t="s">
        <v>53</v>
      </c>
      <c r="D196" s="11" t="s">
        <v>54</v>
      </c>
      <c r="E196" s="15" t="s">
        <v>27</v>
      </c>
      <c r="F196" s="11" t="s">
        <v>28</v>
      </c>
      <c r="G196" s="12" t="s">
        <v>29</v>
      </c>
      <c r="H196" s="11" t="s">
        <v>57</v>
      </c>
      <c r="I196" s="16" t="n">
        <v>5</v>
      </c>
      <c r="J196" s="16" t="n">
        <v>2725</v>
      </c>
    </row>
    <row r="197" customFormat="false" ht="15" hidden="false" customHeight="true" outlineLevel="0" collapsed="false">
      <c r="A197" s="14" t="n">
        <v>2020</v>
      </c>
      <c r="B197" s="14" t="n">
        <v>7</v>
      </c>
      <c r="C197" s="11" t="s">
        <v>53</v>
      </c>
      <c r="D197" s="11" t="s">
        <v>54</v>
      </c>
      <c r="E197" s="15" t="s">
        <v>27</v>
      </c>
      <c r="F197" s="11" t="s">
        <v>28</v>
      </c>
      <c r="G197" s="12" t="s">
        <v>29</v>
      </c>
      <c r="H197" s="11" t="s">
        <v>59</v>
      </c>
      <c r="I197" s="16" t="n">
        <v>22</v>
      </c>
      <c r="J197" s="16" t="n">
        <v>18900</v>
      </c>
    </row>
    <row r="198" customFormat="false" ht="15" hidden="false" customHeight="true" outlineLevel="0" collapsed="false">
      <c r="A198" s="14" t="n">
        <v>2020</v>
      </c>
      <c r="B198" s="14" t="n">
        <v>7</v>
      </c>
      <c r="C198" s="11" t="s">
        <v>53</v>
      </c>
      <c r="D198" s="11" t="s">
        <v>54</v>
      </c>
      <c r="E198" s="15" t="s">
        <v>31</v>
      </c>
      <c r="F198" s="11" t="s">
        <v>64</v>
      </c>
      <c r="G198" s="12" t="s">
        <v>33</v>
      </c>
      <c r="H198" s="11" t="s">
        <v>60</v>
      </c>
      <c r="I198" s="16" t="n">
        <v>121</v>
      </c>
      <c r="J198" s="16" t="n">
        <v>106985</v>
      </c>
    </row>
    <row r="199" customFormat="false" ht="15" hidden="false" customHeight="true" outlineLevel="0" collapsed="false">
      <c r="A199" s="14" t="n">
        <v>2020</v>
      </c>
      <c r="B199" s="14" t="n">
        <v>7</v>
      </c>
      <c r="C199" s="11" t="s">
        <v>53</v>
      </c>
      <c r="D199" s="11" t="s">
        <v>54</v>
      </c>
      <c r="E199" s="15" t="s">
        <v>27</v>
      </c>
      <c r="F199" s="11" t="s">
        <v>28</v>
      </c>
      <c r="G199" s="12" t="s">
        <v>29</v>
      </c>
      <c r="H199" s="11" t="s">
        <v>61</v>
      </c>
      <c r="I199" s="16" t="n">
        <v>50</v>
      </c>
      <c r="J199" s="16" t="n">
        <v>20000</v>
      </c>
    </row>
    <row r="200" customFormat="false" ht="15" hidden="false" customHeight="true" outlineLevel="0" collapsed="false">
      <c r="A200" s="14" t="n">
        <v>2020</v>
      </c>
      <c r="B200" s="14" t="n">
        <v>8</v>
      </c>
      <c r="C200" s="11" t="s">
        <v>53</v>
      </c>
      <c r="D200" s="11" t="s">
        <v>54</v>
      </c>
      <c r="E200" s="15" t="s">
        <v>23</v>
      </c>
      <c r="F200" s="11" t="s">
        <v>24</v>
      </c>
      <c r="G200" s="12" t="s">
        <v>25</v>
      </c>
      <c r="H200" s="11" t="s">
        <v>55</v>
      </c>
      <c r="I200" s="16" t="n">
        <v>4562</v>
      </c>
      <c r="J200" s="16" t="n">
        <v>166306</v>
      </c>
    </row>
    <row r="201" customFormat="false" ht="15" hidden="false" customHeight="true" outlineLevel="0" collapsed="false">
      <c r="A201" s="14" t="n">
        <v>2020</v>
      </c>
      <c r="B201" s="14" t="n">
        <v>8</v>
      </c>
      <c r="C201" s="11" t="s">
        <v>53</v>
      </c>
      <c r="D201" s="11" t="s">
        <v>54</v>
      </c>
      <c r="E201" s="15" t="s">
        <v>27</v>
      </c>
      <c r="F201" s="11" t="s">
        <v>28</v>
      </c>
      <c r="G201" s="12" t="s">
        <v>29</v>
      </c>
      <c r="H201" s="11" t="s">
        <v>56</v>
      </c>
      <c r="I201" s="16" t="n">
        <v>645</v>
      </c>
      <c r="J201" s="16" t="n">
        <v>316373</v>
      </c>
    </row>
    <row r="202" customFormat="false" ht="15" hidden="false" customHeight="true" outlineLevel="0" collapsed="false">
      <c r="A202" s="14" t="n">
        <v>2020</v>
      </c>
      <c r="B202" s="14" t="n">
        <v>8</v>
      </c>
      <c r="C202" s="11" t="s">
        <v>53</v>
      </c>
      <c r="D202" s="11" t="s">
        <v>54</v>
      </c>
      <c r="E202" s="15" t="s">
        <v>20</v>
      </c>
      <c r="F202" s="11" t="s">
        <v>21</v>
      </c>
      <c r="G202" s="12" t="s">
        <v>22</v>
      </c>
      <c r="H202" s="11" t="s">
        <v>57</v>
      </c>
      <c r="I202" s="16" t="n">
        <v>4492</v>
      </c>
      <c r="J202" s="16" t="n">
        <v>264862</v>
      </c>
    </row>
    <row r="203" customFormat="false" ht="15" hidden="false" customHeight="true" outlineLevel="0" collapsed="false">
      <c r="A203" s="14" t="n">
        <v>2020</v>
      </c>
      <c r="B203" s="14" t="n">
        <v>8</v>
      </c>
      <c r="C203" s="11" t="s">
        <v>53</v>
      </c>
      <c r="D203" s="11" t="s">
        <v>54</v>
      </c>
      <c r="E203" s="15" t="s">
        <v>23</v>
      </c>
      <c r="F203" s="11" t="s">
        <v>24</v>
      </c>
      <c r="G203" s="12" t="s">
        <v>25</v>
      </c>
      <c r="H203" s="11" t="s">
        <v>57</v>
      </c>
      <c r="I203" s="16" t="n">
        <v>1000</v>
      </c>
      <c r="J203" s="16" t="n">
        <v>53478</v>
      </c>
    </row>
    <row r="204" customFormat="false" ht="15" hidden="false" customHeight="true" outlineLevel="0" collapsed="false">
      <c r="A204" s="14" t="n">
        <v>2020</v>
      </c>
      <c r="B204" s="14" t="n">
        <v>8</v>
      </c>
      <c r="C204" s="11" t="s">
        <v>53</v>
      </c>
      <c r="D204" s="11" t="s">
        <v>54</v>
      </c>
      <c r="E204" s="15" t="s">
        <v>27</v>
      </c>
      <c r="F204" s="11" t="s">
        <v>28</v>
      </c>
      <c r="G204" s="12" t="s">
        <v>29</v>
      </c>
      <c r="H204" s="11" t="s">
        <v>57</v>
      </c>
      <c r="I204" s="16" t="n">
        <v>50</v>
      </c>
      <c r="J204" s="16" t="n">
        <v>15000</v>
      </c>
    </row>
    <row r="205" customFormat="false" ht="15" hidden="false" customHeight="true" outlineLevel="0" collapsed="false">
      <c r="A205" s="14" t="n">
        <v>2020</v>
      </c>
      <c r="B205" s="14" t="n">
        <v>8</v>
      </c>
      <c r="C205" s="11" t="s">
        <v>53</v>
      </c>
      <c r="D205" s="11" t="s">
        <v>54</v>
      </c>
      <c r="E205" s="15" t="s">
        <v>27</v>
      </c>
      <c r="F205" s="11" t="s">
        <v>28</v>
      </c>
      <c r="G205" s="12" t="s">
        <v>29</v>
      </c>
      <c r="H205" s="11" t="s">
        <v>59</v>
      </c>
      <c r="I205" s="16" t="n">
        <v>17</v>
      </c>
      <c r="J205" s="16" t="n">
        <v>3721</v>
      </c>
    </row>
    <row r="206" customFormat="false" ht="15" hidden="false" customHeight="true" outlineLevel="0" collapsed="false">
      <c r="A206" s="14" t="n">
        <v>2020</v>
      </c>
      <c r="B206" s="14" t="n">
        <v>8</v>
      </c>
      <c r="C206" s="11" t="s">
        <v>53</v>
      </c>
      <c r="D206" s="11" t="s">
        <v>54</v>
      </c>
      <c r="E206" s="15" t="s">
        <v>27</v>
      </c>
      <c r="F206" s="11" t="s">
        <v>28</v>
      </c>
      <c r="G206" s="12" t="s">
        <v>29</v>
      </c>
      <c r="H206" s="11" t="s">
        <v>60</v>
      </c>
      <c r="I206" s="16" t="n">
        <v>50</v>
      </c>
      <c r="J206" s="16" t="n">
        <v>26779</v>
      </c>
    </row>
    <row r="207" customFormat="false" ht="15" hidden="false" customHeight="true" outlineLevel="0" collapsed="false">
      <c r="A207" s="14" t="n">
        <v>2020</v>
      </c>
      <c r="B207" s="14" t="n">
        <v>9</v>
      </c>
      <c r="C207" s="11" t="s">
        <v>53</v>
      </c>
      <c r="D207" s="11" t="s">
        <v>54</v>
      </c>
      <c r="E207" s="15" t="s">
        <v>34</v>
      </c>
      <c r="F207" s="11" t="s">
        <v>65</v>
      </c>
      <c r="G207" s="12" t="s">
        <v>36</v>
      </c>
      <c r="H207" s="11" t="s">
        <v>56</v>
      </c>
      <c r="I207" s="16" t="n">
        <v>10</v>
      </c>
      <c r="J207" s="16" t="n">
        <v>7900</v>
      </c>
    </row>
    <row r="208" customFormat="false" ht="15" hidden="false" customHeight="true" outlineLevel="0" collapsed="false">
      <c r="A208" s="14" t="n">
        <v>2020</v>
      </c>
      <c r="B208" s="14" t="n">
        <v>9</v>
      </c>
      <c r="C208" s="11" t="s">
        <v>53</v>
      </c>
      <c r="D208" s="11" t="s">
        <v>54</v>
      </c>
      <c r="E208" s="15" t="s">
        <v>20</v>
      </c>
      <c r="F208" s="11" t="s">
        <v>21</v>
      </c>
      <c r="G208" s="12" t="s">
        <v>22</v>
      </c>
      <c r="H208" s="11" t="s">
        <v>57</v>
      </c>
      <c r="I208" s="16" t="n">
        <v>3444</v>
      </c>
      <c r="J208" s="16" t="n">
        <v>202098</v>
      </c>
    </row>
    <row r="209" customFormat="false" ht="15" hidden="false" customHeight="true" outlineLevel="0" collapsed="false">
      <c r="A209" s="14" t="n">
        <v>2020</v>
      </c>
      <c r="B209" s="14" t="n">
        <v>9</v>
      </c>
      <c r="C209" s="11" t="s">
        <v>53</v>
      </c>
      <c r="D209" s="11" t="s">
        <v>54</v>
      </c>
      <c r="E209" s="15" t="s">
        <v>31</v>
      </c>
      <c r="F209" s="11" t="s">
        <v>64</v>
      </c>
      <c r="G209" s="12" t="s">
        <v>33</v>
      </c>
      <c r="H209" s="11" t="s">
        <v>57</v>
      </c>
      <c r="I209" s="16" t="n">
        <v>20</v>
      </c>
      <c r="J209" s="16" t="n">
        <v>22800</v>
      </c>
    </row>
    <row r="210" customFormat="false" ht="15" hidden="false" customHeight="true" outlineLevel="0" collapsed="false">
      <c r="A210" s="14" t="n">
        <v>2020</v>
      </c>
      <c r="B210" s="14" t="n">
        <v>9</v>
      </c>
      <c r="C210" s="11" t="s">
        <v>53</v>
      </c>
      <c r="D210" s="11" t="s">
        <v>54</v>
      </c>
      <c r="E210" s="15" t="s">
        <v>23</v>
      </c>
      <c r="F210" s="11" t="s">
        <v>24</v>
      </c>
      <c r="G210" s="12" t="s">
        <v>25</v>
      </c>
      <c r="H210" s="11" t="s">
        <v>58</v>
      </c>
      <c r="I210" s="16" t="n">
        <v>1294</v>
      </c>
      <c r="J210" s="16" t="n">
        <v>129359</v>
      </c>
    </row>
    <row r="211" customFormat="false" ht="15" hidden="false" customHeight="true" outlineLevel="0" collapsed="false">
      <c r="A211" s="14" t="n">
        <v>2020</v>
      </c>
      <c r="B211" s="14" t="n">
        <v>9</v>
      </c>
      <c r="C211" s="11" t="s">
        <v>53</v>
      </c>
      <c r="D211" s="11" t="s">
        <v>54</v>
      </c>
      <c r="E211" s="15" t="s">
        <v>27</v>
      </c>
      <c r="F211" s="11" t="s">
        <v>28</v>
      </c>
      <c r="G211" s="12" t="s">
        <v>29</v>
      </c>
      <c r="H211" s="11" t="s">
        <v>59</v>
      </c>
      <c r="I211" s="16" t="n">
        <v>667</v>
      </c>
      <c r="J211" s="16" t="n">
        <v>469743</v>
      </c>
    </row>
    <row r="212" customFormat="false" ht="15" hidden="false" customHeight="true" outlineLevel="0" collapsed="false">
      <c r="A212" s="14" t="n">
        <v>2020</v>
      </c>
      <c r="B212" s="14" t="n">
        <v>9</v>
      </c>
      <c r="C212" s="11" t="s">
        <v>53</v>
      </c>
      <c r="D212" s="11" t="s">
        <v>54</v>
      </c>
      <c r="E212" s="15" t="s">
        <v>31</v>
      </c>
      <c r="F212" s="11" t="s">
        <v>64</v>
      </c>
      <c r="G212" s="12" t="s">
        <v>33</v>
      </c>
      <c r="H212" s="11" t="s">
        <v>60</v>
      </c>
      <c r="I212" s="16" t="n">
        <v>310</v>
      </c>
      <c r="J212" s="16" t="n">
        <v>196117</v>
      </c>
    </row>
    <row r="213" customFormat="false" ht="15" hidden="false" customHeight="true" outlineLevel="0" collapsed="false">
      <c r="A213" s="14" t="n">
        <v>2020</v>
      </c>
      <c r="B213" s="14" t="n">
        <v>10</v>
      </c>
      <c r="C213" s="11" t="s">
        <v>53</v>
      </c>
      <c r="D213" s="11" t="s">
        <v>54</v>
      </c>
      <c r="E213" s="15" t="s">
        <v>20</v>
      </c>
      <c r="F213" s="11" t="s">
        <v>21</v>
      </c>
      <c r="G213" s="12" t="s">
        <v>22</v>
      </c>
      <c r="H213" s="11" t="s">
        <v>55</v>
      </c>
      <c r="I213" s="16" t="n">
        <v>476</v>
      </c>
      <c r="J213" s="16" t="n">
        <v>23959</v>
      </c>
    </row>
    <row r="214" customFormat="false" ht="15" hidden="false" customHeight="true" outlineLevel="0" collapsed="false">
      <c r="A214" s="14" t="n">
        <v>2020</v>
      </c>
      <c r="B214" s="14" t="n">
        <v>10</v>
      </c>
      <c r="C214" s="11" t="s">
        <v>53</v>
      </c>
      <c r="D214" s="11" t="s">
        <v>54</v>
      </c>
      <c r="E214" s="15" t="s">
        <v>23</v>
      </c>
      <c r="F214" s="11" t="s">
        <v>24</v>
      </c>
      <c r="G214" s="12" t="s">
        <v>25</v>
      </c>
      <c r="H214" s="11" t="s">
        <v>55</v>
      </c>
      <c r="I214" s="16" t="n">
        <v>3180</v>
      </c>
      <c r="J214" s="16" t="n">
        <v>160031</v>
      </c>
    </row>
    <row r="215" customFormat="false" ht="15" hidden="false" customHeight="true" outlineLevel="0" collapsed="false">
      <c r="A215" s="14" t="n">
        <v>2020</v>
      </c>
      <c r="B215" s="14" t="n">
        <v>10</v>
      </c>
      <c r="C215" s="11" t="s">
        <v>53</v>
      </c>
      <c r="D215" s="11" t="s">
        <v>54</v>
      </c>
      <c r="E215" s="15" t="s">
        <v>27</v>
      </c>
      <c r="F215" s="11" t="s">
        <v>28</v>
      </c>
      <c r="G215" s="12" t="s">
        <v>29</v>
      </c>
      <c r="H215" s="11" t="s">
        <v>56</v>
      </c>
      <c r="I215" s="16" t="n">
        <v>1901</v>
      </c>
      <c r="J215" s="16" t="n">
        <v>565000</v>
      </c>
    </row>
    <row r="216" customFormat="false" ht="15" hidden="false" customHeight="true" outlineLevel="0" collapsed="false">
      <c r="A216" s="14" t="n">
        <v>2020</v>
      </c>
      <c r="B216" s="14" t="n">
        <v>10</v>
      </c>
      <c r="C216" s="11" t="s">
        <v>53</v>
      </c>
      <c r="D216" s="11" t="s">
        <v>54</v>
      </c>
      <c r="E216" s="15" t="s">
        <v>20</v>
      </c>
      <c r="F216" s="11" t="s">
        <v>21</v>
      </c>
      <c r="G216" s="12" t="s">
        <v>22</v>
      </c>
      <c r="H216" s="11" t="s">
        <v>57</v>
      </c>
      <c r="I216" s="16" t="n">
        <v>2281</v>
      </c>
      <c r="J216" s="16" t="n">
        <v>190945</v>
      </c>
    </row>
    <row r="217" customFormat="false" ht="15" hidden="false" customHeight="true" outlineLevel="0" collapsed="false">
      <c r="A217" s="14" t="n">
        <v>2020</v>
      </c>
      <c r="B217" s="14" t="n">
        <v>10</v>
      </c>
      <c r="C217" s="11" t="s">
        <v>53</v>
      </c>
      <c r="D217" s="11" t="s">
        <v>54</v>
      </c>
      <c r="E217" s="15" t="s">
        <v>27</v>
      </c>
      <c r="F217" s="11" t="s">
        <v>28</v>
      </c>
      <c r="G217" s="12" t="s">
        <v>29</v>
      </c>
      <c r="H217" s="11" t="s">
        <v>58</v>
      </c>
      <c r="I217" s="16" t="n">
        <v>102</v>
      </c>
      <c r="J217" s="16" t="n">
        <v>42000</v>
      </c>
    </row>
    <row r="218" customFormat="false" ht="15" hidden="false" customHeight="true" outlineLevel="0" collapsed="false">
      <c r="A218" s="14" t="n">
        <v>2020</v>
      </c>
      <c r="B218" s="14" t="n">
        <v>10</v>
      </c>
      <c r="C218" s="11" t="s">
        <v>53</v>
      </c>
      <c r="D218" s="11" t="s">
        <v>54</v>
      </c>
      <c r="E218" s="15" t="s">
        <v>31</v>
      </c>
      <c r="F218" s="11" t="s">
        <v>64</v>
      </c>
      <c r="G218" s="12" t="s">
        <v>33</v>
      </c>
      <c r="H218" s="11" t="s">
        <v>60</v>
      </c>
      <c r="I218" s="16" t="n">
        <v>100</v>
      </c>
      <c r="J218" s="16" t="n">
        <v>25573</v>
      </c>
    </row>
    <row r="219" customFormat="false" ht="15" hidden="false" customHeight="true" outlineLevel="0" collapsed="false">
      <c r="A219" s="14" t="n">
        <v>2020</v>
      </c>
      <c r="B219" s="14" t="n">
        <v>11</v>
      </c>
      <c r="C219" s="11" t="s">
        <v>53</v>
      </c>
      <c r="D219" s="11" t="s">
        <v>54</v>
      </c>
      <c r="E219" s="15" t="s">
        <v>20</v>
      </c>
      <c r="F219" s="11" t="s">
        <v>21</v>
      </c>
      <c r="G219" s="12" t="s">
        <v>22</v>
      </c>
      <c r="H219" s="11" t="s">
        <v>55</v>
      </c>
      <c r="I219" s="16" t="n">
        <v>4739</v>
      </c>
      <c r="J219" s="16" t="n">
        <v>525383</v>
      </c>
    </row>
    <row r="220" customFormat="false" ht="15" hidden="false" customHeight="true" outlineLevel="0" collapsed="false">
      <c r="A220" s="14" t="n">
        <v>2020</v>
      </c>
      <c r="B220" s="14" t="n">
        <v>11</v>
      </c>
      <c r="C220" s="11" t="s">
        <v>53</v>
      </c>
      <c r="D220" s="11" t="s">
        <v>54</v>
      </c>
      <c r="E220" s="15" t="s">
        <v>23</v>
      </c>
      <c r="F220" s="11" t="s">
        <v>24</v>
      </c>
      <c r="G220" s="12" t="s">
        <v>25</v>
      </c>
      <c r="H220" s="11" t="s">
        <v>55</v>
      </c>
      <c r="I220" s="16" t="n">
        <v>54238</v>
      </c>
      <c r="J220" s="16" t="n">
        <v>4252514</v>
      </c>
    </row>
    <row r="221" customFormat="false" ht="15" hidden="false" customHeight="true" outlineLevel="0" collapsed="false">
      <c r="A221" s="14" t="n">
        <v>2020</v>
      </c>
      <c r="B221" s="14" t="n">
        <v>11</v>
      </c>
      <c r="C221" s="11" t="s">
        <v>53</v>
      </c>
      <c r="D221" s="11" t="s">
        <v>54</v>
      </c>
      <c r="E221" s="15" t="s">
        <v>20</v>
      </c>
      <c r="F221" s="11" t="s">
        <v>21</v>
      </c>
      <c r="G221" s="12" t="s">
        <v>22</v>
      </c>
      <c r="H221" s="11" t="s">
        <v>56</v>
      </c>
      <c r="I221" s="16" t="n">
        <v>6000</v>
      </c>
      <c r="J221" s="16" t="n">
        <v>557370</v>
      </c>
    </row>
    <row r="222" customFormat="false" ht="15" hidden="false" customHeight="true" outlineLevel="0" collapsed="false">
      <c r="A222" s="14" t="n">
        <v>2020</v>
      </c>
      <c r="B222" s="14" t="n">
        <v>11</v>
      </c>
      <c r="C222" s="11" t="s">
        <v>53</v>
      </c>
      <c r="D222" s="11" t="s">
        <v>54</v>
      </c>
      <c r="E222" s="15" t="s">
        <v>23</v>
      </c>
      <c r="F222" s="11" t="s">
        <v>24</v>
      </c>
      <c r="G222" s="12" t="s">
        <v>25</v>
      </c>
      <c r="H222" s="11" t="s">
        <v>56</v>
      </c>
      <c r="I222" s="16" t="n">
        <v>800</v>
      </c>
      <c r="J222" s="16" t="n">
        <v>133200</v>
      </c>
    </row>
    <row r="223" customFormat="false" ht="15" hidden="false" customHeight="true" outlineLevel="0" collapsed="false">
      <c r="A223" s="14" t="n">
        <v>2020</v>
      </c>
      <c r="B223" s="14" t="n">
        <v>11</v>
      </c>
      <c r="C223" s="11" t="s">
        <v>53</v>
      </c>
      <c r="D223" s="11" t="s">
        <v>54</v>
      </c>
      <c r="E223" s="15" t="s">
        <v>20</v>
      </c>
      <c r="F223" s="11" t="s">
        <v>21</v>
      </c>
      <c r="G223" s="12" t="s">
        <v>22</v>
      </c>
      <c r="H223" s="11" t="s">
        <v>57</v>
      </c>
      <c r="I223" s="16" t="n">
        <v>4176</v>
      </c>
      <c r="J223" s="16" t="n">
        <v>236782</v>
      </c>
    </row>
    <row r="224" customFormat="false" ht="15" hidden="false" customHeight="true" outlineLevel="0" collapsed="false">
      <c r="A224" s="14" t="n">
        <v>2020</v>
      </c>
      <c r="B224" s="14" t="n">
        <v>11</v>
      </c>
      <c r="C224" s="11" t="s">
        <v>53</v>
      </c>
      <c r="D224" s="11" t="s">
        <v>54</v>
      </c>
      <c r="E224" s="15" t="s">
        <v>31</v>
      </c>
      <c r="F224" s="11" t="s">
        <v>64</v>
      </c>
      <c r="G224" s="12" t="s">
        <v>33</v>
      </c>
      <c r="H224" s="11" t="s">
        <v>60</v>
      </c>
      <c r="I224" s="16" t="n">
        <v>3276</v>
      </c>
      <c r="J224" s="16" t="n">
        <v>167645</v>
      </c>
    </row>
    <row r="225" customFormat="false" ht="15" hidden="false" customHeight="true" outlineLevel="0" collapsed="false">
      <c r="A225" s="14" t="n">
        <v>2020</v>
      </c>
      <c r="B225" s="14" t="n">
        <v>11</v>
      </c>
      <c r="C225" s="11" t="s">
        <v>53</v>
      </c>
      <c r="D225" s="11" t="s">
        <v>54</v>
      </c>
      <c r="E225" s="15" t="s">
        <v>20</v>
      </c>
      <c r="F225" s="11" t="s">
        <v>21</v>
      </c>
      <c r="G225" s="12" t="s">
        <v>22</v>
      </c>
      <c r="H225" s="11" t="s">
        <v>61</v>
      </c>
      <c r="I225" s="16" t="n">
        <v>75</v>
      </c>
      <c r="J225" s="16" t="n">
        <v>6200</v>
      </c>
    </row>
    <row r="226" customFormat="false" ht="15" hidden="false" customHeight="true" outlineLevel="0" collapsed="false">
      <c r="A226" s="14" t="n">
        <v>2020</v>
      </c>
      <c r="B226" s="14" t="n">
        <v>12</v>
      </c>
      <c r="C226" s="11" t="s">
        <v>53</v>
      </c>
      <c r="D226" s="11" t="s">
        <v>54</v>
      </c>
      <c r="E226" s="15" t="s">
        <v>20</v>
      </c>
      <c r="F226" s="11" t="s">
        <v>21</v>
      </c>
      <c r="G226" s="12" t="s">
        <v>22</v>
      </c>
      <c r="H226" s="11" t="s">
        <v>55</v>
      </c>
      <c r="I226" s="16" t="n">
        <v>396</v>
      </c>
      <c r="J226" s="16" t="n">
        <v>16997</v>
      </c>
    </row>
    <row r="227" customFormat="false" ht="15" hidden="false" customHeight="true" outlineLevel="0" collapsed="false">
      <c r="A227" s="14" t="n">
        <v>2020</v>
      </c>
      <c r="B227" s="14" t="n">
        <v>12</v>
      </c>
      <c r="C227" s="11" t="s">
        <v>53</v>
      </c>
      <c r="D227" s="11" t="s">
        <v>54</v>
      </c>
      <c r="E227" s="15" t="s">
        <v>23</v>
      </c>
      <c r="F227" s="11" t="s">
        <v>24</v>
      </c>
      <c r="G227" s="12" t="s">
        <v>25</v>
      </c>
      <c r="H227" s="11" t="s">
        <v>55</v>
      </c>
      <c r="I227" s="16" t="n">
        <v>122399</v>
      </c>
      <c r="J227" s="16" t="n">
        <v>10758385</v>
      </c>
    </row>
    <row r="228" customFormat="false" ht="15" hidden="false" customHeight="true" outlineLevel="0" collapsed="false">
      <c r="A228" s="14" t="n">
        <v>2020</v>
      </c>
      <c r="B228" s="14" t="n">
        <v>12</v>
      </c>
      <c r="C228" s="11" t="s">
        <v>53</v>
      </c>
      <c r="D228" s="11" t="s">
        <v>54</v>
      </c>
      <c r="E228" s="15" t="s">
        <v>20</v>
      </c>
      <c r="F228" s="11" t="s">
        <v>21</v>
      </c>
      <c r="G228" s="12" t="s">
        <v>22</v>
      </c>
      <c r="H228" s="11" t="s">
        <v>56</v>
      </c>
      <c r="I228" s="16" t="n">
        <v>11500</v>
      </c>
      <c r="J228" s="16" t="n">
        <v>1209505</v>
      </c>
    </row>
    <row r="229" customFormat="false" ht="15" hidden="false" customHeight="true" outlineLevel="0" collapsed="false">
      <c r="A229" s="14" t="n">
        <v>2020</v>
      </c>
      <c r="B229" s="14" t="n">
        <v>12</v>
      </c>
      <c r="C229" s="11" t="s">
        <v>53</v>
      </c>
      <c r="D229" s="11" t="s">
        <v>54</v>
      </c>
      <c r="E229" s="15" t="s">
        <v>23</v>
      </c>
      <c r="F229" s="11" t="s">
        <v>24</v>
      </c>
      <c r="G229" s="12" t="s">
        <v>25</v>
      </c>
      <c r="H229" s="11" t="s">
        <v>56</v>
      </c>
      <c r="I229" s="16" t="n">
        <v>14775</v>
      </c>
      <c r="J229" s="16" t="n">
        <v>1760016</v>
      </c>
    </row>
    <row r="230" customFormat="false" ht="15" hidden="false" customHeight="true" outlineLevel="0" collapsed="false">
      <c r="A230" s="14" t="n">
        <v>2020</v>
      </c>
      <c r="B230" s="14" t="n">
        <v>12</v>
      </c>
      <c r="C230" s="11" t="s">
        <v>53</v>
      </c>
      <c r="D230" s="11" t="s">
        <v>54</v>
      </c>
      <c r="E230" s="15" t="s">
        <v>20</v>
      </c>
      <c r="F230" s="11" t="s">
        <v>21</v>
      </c>
      <c r="G230" s="12" t="s">
        <v>22</v>
      </c>
      <c r="H230" s="11" t="s">
        <v>57</v>
      </c>
      <c r="I230" s="16" t="n">
        <v>1003</v>
      </c>
      <c r="J230" s="16" t="n">
        <v>51365</v>
      </c>
    </row>
    <row r="231" customFormat="false" ht="15" hidden="false" customHeight="true" outlineLevel="0" collapsed="false">
      <c r="A231" s="14" t="n">
        <v>2020</v>
      </c>
      <c r="B231" s="14" t="n">
        <v>12</v>
      </c>
      <c r="C231" s="11" t="s">
        <v>53</v>
      </c>
      <c r="D231" s="11" t="s">
        <v>54</v>
      </c>
      <c r="E231" s="15" t="s">
        <v>23</v>
      </c>
      <c r="F231" s="11" t="s">
        <v>24</v>
      </c>
      <c r="G231" s="12" t="s">
        <v>25</v>
      </c>
      <c r="H231" s="11" t="s">
        <v>58</v>
      </c>
      <c r="I231" s="16" t="n">
        <v>400</v>
      </c>
      <c r="J231" s="16" t="n">
        <v>29400</v>
      </c>
    </row>
    <row r="232" customFormat="false" ht="15" hidden="false" customHeight="true" outlineLevel="0" collapsed="false">
      <c r="A232" s="14" t="n">
        <v>2020</v>
      </c>
      <c r="B232" s="14" t="n">
        <v>12</v>
      </c>
      <c r="C232" s="11" t="s">
        <v>53</v>
      </c>
      <c r="D232" s="11" t="s">
        <v>54</v>
      </c>
      <c r="E232" s="15" t="s">
        <v>31</v>
      </c>
      <c r="F232" s="11" t="s">
        <v>64</v>
      </c>
      <c r="G232" s="12" t="s">
        <v>33</v>
      </c>
      <c r="H232" s="11" t="s">
        <v>60</v>
      </c>
      <c r="I232" s="16" t="n">
        <v>18</v>
      </c>
      <c r="J232" s="16" t="n">
        <v>39788</v>
      </c>
    </row>
    <row r="233" customFormat="false" ht="15" hidden="false" customHeight="true" outlineLevel="0" collapsed="false">
      <c r="A233" s="14" t="n">
        <v>2020</v>
      </c>
      <c r="B233" s="14" t="n">
        <v>12</v>
      </c>
      <c r="C233" s="11" t="s">
        <v>53</v>
      </c>
      <c r="D233" s="11" t="s">
        <v>54</v>
      </c>
      <c r="E233" s="15" t="s">
        <v>27</v>
      </c>
      <c r="F233" s="11" t="s">
        <v>28</v>
      </c>
      <c r="G233" s="12" t="s">
        <v>29</v>
      </c>
      <c r="H233" s="11" t="s">
        <v>61</v>
      </c>
      <c r="I233" s="16" t="n">
        <v>50</v>
      </c>
      <c r="J233" s="16" t="n">
        <v>20000</v>
      </c>
    </row>
    <row r="234" customFormat="false" ht="15" hidden="false" customHeight="true" outlineLevel="0" collapsed="false">
      <c r="A234" s="14" t="n">
        <v>2021</v>
      </c>
      <c r="B234" s="14" t="n">
        <v>1</v>
      </c>
      <c r="C234" s="11" t="s">
        <v>53</v>
      </c>
      <c r="D234" s="11" t="s">
        <v>54</v>
      </c>
      <c r="E234" s="15" t="s">
        <v>20</v>
      </c>
      <c r="F234" s="11" t="s">
        <v>21</v>
      </c>
      <c r="G234" s="12" t="s">
        <v>22</v>
      </c>
      <c r="H234" s="11" t="s">
        <v>55</v>
      </c>
      <c r="I234" s="16" t="n">
        <v>5219</v>
      </c>
      <c r="J234" s="16" t="n">
        <v>557474</v>
      </c>
    </row>
    <row r="235" customFormat="false" ht="15" hidden="false" customHeight="true" outlineLevel="0" collapsed="false">
      <c r="A235" s="14" t="n">
        <v>2021</v>
      </c>
      <c r="B235" s="14" t="n">
        <v>1</v>
      </c>
      <c r="C235" s="11" t="s">
        <v>53</v>
      </c>
      <c r="D235" s="11" t="s">
        <v>54</v>
      </c>
      <c r="E235" s="15" t="s">
        <v>23</v>
      </c>
      <c r="F235" s="11" t="s">
        <v>24</v>
      </c>
      <c r="G235" s="12" t="s">
        <v>25</v>
      </c>
      <c r="H235" s="11" t="s">
        <v>55</v>
      </c>
      <c r="I235" s="16" t="n">
        <v>100536</v>
      </c>
      <c r="J235" s="16" t="n">
        <v>9452422</v>
      </c>
    </row>
    <row r="236" customFormat="false" ht="15" hidden="false" customHeight="true" outlineLevel="0" collapsed="false">
      <c r="A236" s="14" t="n">
        <v>2021</v>
      </c>
      <c r="B236" s="14" t="n">
        <v>1</v>
      </c>
      <c r="C236" s="11" t="s">
        <v>53</v>
      </c>
      <c r="D236" s="11" t="s">
        <v>54</v>
      </c>
      <c r="E236" s="15" t="s">
        <v>20</v>
      </c>
      <c r="F236" s="11" t="s">
        <v>21</v>
      </c>
      <c r="G236" s="12" t="s">
        <v>22</v>
      </c>
      <c r="H236" s="11" t="s">
        <v>56</v>
      </c>
      <c r="I236" s="16" t="n">
        <v>6000</v>
      </c>
      <c r="J236" s="16" t="n">
        <v>505311</v>
      </c>
    </row>
    <row r="237" customFormat="false" ht="15" hidden="false" customHeight="true" outlineLevel="0" collapsed="false">
      <c r="A237" s="14" t="n">
        <v>2021</v>
      </c>
      <c r="B237" s="14" t="n">
        <v>1</v>
      </c>
      <c r="C237" s="11" t="s">
        <v>53</v>
      </c>
      <c r="D237" s="11" t="s">
        <v>54</v>
      </c>
      <c r="E237" s="15" t="s">
        <v>23</v>
      </c>
      <c r="F237" s="11" t="s">
        <v>24</v>
      </c>
      <c r="G237" s="12" t="s">
        <v>25</v>
      </c>
      <c r="H237" s="11" t="s">
        <v>56</v>
      </c>
      <c r="I237" s="16" t="n">
        <v>622</v>
      </c>
      <c r="J237" s="16" t="n">
        <v>182996</v>
      </c>
    </row>
    <row r="238" customFormat="false" ht="15" hidden="false" customHeight="true" outlineLevel="0" collapsed="false">
      <c r="A238" s="14" t="n">
        <v>2021</v>
      </c>
      <c r="B238" s="14" t="n">
        <v>1</v>
      </c>
      <c r="C238" s="11" t="s">
        <v>53</v>
      </c>
      <c r="D238" s="11" t="s">
        <v>54</v>
      </c>
      <c r="E238" s="15" t="s">
        <v>27</v>
      </c>
      <c r="F238" s="11" t="s">
        <v>28</v>
      </c>
      <c r="G238" s="12" t="s">
        <v>29</v>
      </c>
      <c r="H238" s="11" t="s">
        <v>56</v>
      </c>
      <c r="I238" s="16" t="n">
        <v>1280</v>
      </c>
      <c r="J238" s="16" t="n">
        <v>384107</v>
      </c>
    </row>
    <row r="239" customFormat="false" ht="15" hidden="false" customHeight="true" outlineLevel="0" collapsed="false">
      <c r="A239" s="14" t="n">
        <v>2021</v>
      </c>
      <c r="B239" s="14" t="n">
        <v>1</v>
      </c>
      <c r="C239" s="11" t="s">
        <v>53</v>
      </c>
      <c r="D239" s="11" t="s">
        <v>54</v>
      </c>
      <c r="E239" s="15" t="s">
        <v>20</v>
      </c>
      <c r="F239" s="11" t="s">
        <v>21</v>
      </c>
      <c r="G239" s="12" t="s">
        <v>22</v>
      </c>
      <c r="H239" s="11" t="s">
        <v>57</v>
      </c>
      <c r="I239" s="16" t="n">
        <v>2235</v>
      </c>
      <c r="J239" s="16" t="n">
        <v>130412</v>
      </c>
    </row>
    <row r="240" customFormat="false" ht="15" hidden="false" customHeight="true" outlineLevel="0" collapsed="false">
      <c r="A240" s="14" t="n">
        <v>2021</v>
      </c>
      <c r="B240" s="14" t="n">
        <v>1</v>
      </c>
      <c r="C240" s="11" t="s">
        <v>53</v>
      </c>
      <c r="D240" s="11" t="s">
        <v>54</v>
      </c>
      <c r="E240" s="15" t="s">
        <v>23</v>
      </c>
      <c r="F240" s="11" t="s">
        <v>24</v>
      </c>
      <c r="G240" s="12" t="s">
        <v>25</v>
      </c>
      <c r="H240" s="11" t="s">
        <v>59</v>
      </c>
      <c r="I240" s="16" t="n">
        <v>395</v>
      </c>
      <c r="J240" s="16" t="n">
        <v>24908</v>
      </c>
    </row>
    <row r="241" customFormat="false" ht="15" hidden="false" customHeight="true" outlineLevel="0" collapsed="false">
      <c r="A241" s="14" t="n">
        <v>2021</v>
      </c>
      <c r="B241" s="14" t="n">
        <v>2</v>
      </c>
      <c r="C241" s="11" t="s">
        <v>53</v>
      </c>
      <c r="D241" s="11" t="s">
        <v>54</v>
      </c>
      <c r="E241" s="15" t="s">
        <v>23</v>
      </c>
      <c r="F241" s="11" t="s">
        <v>24</v>
      </c>
      <c r="G241" s="12" t="s">
        <v>25</v>
      </c>
      <c r="H241" s="11" t="s">
        <v>55</v>
      </c>
      <c r="I241" s="16" t="n">
        <v>12870</v>
      </c>
      <c r="J241" s="16" t="n">
        <v>1446959</v>
      </c>
    </row>
    <row r="242" customFormat="false" ht="15" hidden="false" customHeight="true" outlineLevel="0" collapsed="false">
      <c r="A242" s="14" t="n">
        <v>2021</v>
      </c>
      <c r="B242" s="14" t="n">
        <v>2</v>
      </c>
      <c r="C242" s="11" t="s">
        <v>53</v>
      </c>
      <c r="D242" s="11" t="s">
        <v>54</v>
      </c>
      <c r="E242" s="15" t="s">
        <v>20</v>
      </c>
      <c r="F242" s="11" t="s">
        <v>21</v>
      </c>
      <c r="G242" s="12" t="s">
        <v>22</v>
      </c>
      <c r="H242" s="11" t="s">
        <v>56</v>
      </c>
      <c r="I242" s="16" t="n">
        <v>10500</v>
      </c>
      <c r="J242" s="16" t="n">
        <v>1077619</v>
      </c>
    </row>
    <row r="243" customFormat="false" ht="15" hidden="false" customHeight="true" outlineLevel="0" collapsed="false">
      <c r="A243" s="14" t="n">
        <v>2021</v>
      </c>
      <c r="B243" s="14" t="n">
        <v>2</v>
      </c>
      <c r="C243" s="11" t="s">
        <v>53</v>
      </c>
      <c r="D243" s="11" t="s">
        <v>54</v>
      </c>
      <c r="E243" s="15" t="s">
        <v>27</v>
      </c>
      <c r="F243" s="11" t="s">
        <v>28</v>
      </c>
      <c r="G243" s="12" t="s">
        <v>29</v>
      </c>
      <c r="H243" s="11" t="s">
        <v>56</v>
      </c>
      <c r="I243" s="16" t="n">
        <v>1278</v>
      </c>
      <c r="J243" s="16" t="n">
        <v>412642</v>
      </c>
    </row>
    <row r="244" customFormat="false" ht="15" hidden="false" customHeight="true" outlineLevel="0" collapsed="false">
      <c r="A244" s="14" t="n">
        <v>2021</v>
      </c>
      <c r="B244" s="14" t="n">
        <v>2</v>
      </c>
      <c r="C244" s="11" t="s">
        <v>53</v>
      </c>
      <c r="D244" s="11" t="s">
        <v>54</v>
      </c>
      <c r="E244" s="15" t="s">
        <v>20</v>
      </c>
      <c r="F244" s="11" t="s">
        <v>21</v>
      </c>
      <c r="G244" s="12" t="s">
        <v>22</v>
      </c>
      <c r="H244" s="11" t="s">
        <v>57</v>
      </c>
      <c r="I244" s="16" t="n">
        <v>3610</v>
      </c>
      <c r="J244" s="16" t="n">
        <v>206532</v>
      </c>
    </row>
    <row r="245" customFormat="false" ht="15" hidden="false" customHeight="true" outlineLevel="0" collapsed="false">
      <c r="A245" s="14" t="n">
        <v>2021</v>
      </c>
      <c r="B245" s="14" t="n">
        <v>2</v>
      </c>
      <c r="C245" s="11" t="s">
        <v>53</v>
      </c>
      <c r="D245" s="11" t="s">
        <v>54</v>
      </c>
      <c r="E245" s="15" t="s">
        <v>27</v>
      </c>
      <c r="F245" s="11" t="s">
        <v>28</v>
      </c>
      <c r="G245" s="12" t="s">
        <v>29</v>
      </c>
      <c r="H245" s="11" t="s">
        <v>57</v>
      </c>
      <c r="I245" s="16" t="n">
        <v>8</v>
      </c>
      <c r="J245" s="16" t="n">
        <v>5690</v>
      </c>
    </row>
    <row r="246" customFormat="false" ht="15" hidden="false" customHeight="true" outlineLevel="0" collapsed="false">
      <c r="A246" s="14" t="n">
        <v>2021</v>
      </c>
      <c r="B246" s="14" t="n">
        <v>2</v>
      </c>
      <c r="C246" s="11" t="s">
        <v>53</v>
      </c>
      <c r="D246" s="11" t="s">
        <v>54</v>
      </c>
      <c r="E246" s="15" t="s">
        <v>31</v>
      </c>
      <c r="F246" s="11" t="s">
        <v>64</v>
      </c>
      <c r="G246" s="12" t="s">
        <v>33</v>
      </c>
      <c r="H246" s="11" t="s">
        <v>60</v>
      </c>
      <c r="I246" s="16" t="n">
        <v>10</v>
      </c>
      <c r="J246" s="16" t="n">
        <v>41331</v>
      </c>
    </row>
    <row r="247" customFormat="false" ht="15" hidden="false" customHeight="true" outlineLevel="0" collapsed="false">
      <c r="A247" s="14" t="n">
        <v>2021</v>
      </c>
      <c r="B247" s="14" t="n">
        <v>3</v>
      </c>
      <c r="C247" s="11" t="s">
        <v>53</v>
      </c>
      <c r="D247" s="11" t="s">
        <v>54</v>
      </c>
      <c r="E247" s="15" t="s">
        <v>23</v>
      </c>
      <c r="F247" s="11" t="s">
        <v>24</v>
      </c>
      <c r="G247" s="12" t="s">
        <v>25</v>
      </c>
      <c r="H247" s="11" t="s">
        <v>55</v>
      </c>
      <c r="I247" s="16" t="n">
        <v>78008</v>
      </c>
      <c r="J247" s="16" t="n">
        <v>6550360</v>
      </c>
    </row>
    <row r="248" customFormat="false" ht="15" hidden="false" customHeight="true" outlineLevel="0" collapsed="false">
      <c r="A248" s="14" t="n">
        <v>2021</v>
      </c>
      <c r="B248" s="14" t="n">
        <v>3</v>
      </c>
      <c r="C248" s="11" t="s">
        <v>53</v>
      </c>
      <c r="D248" s="11" t="s">
        <v>54</v>
      </c>
      <c r="E248" s="15" t="s">
        <v>23</v>
      </c>
      <c r="F248" s="11" t="s">
        <v>24</v>
      </c>
      <c r="G248" s="12" t="s">
        <v>25</v>
      </c>
      <c r="H248" s="11" t="s">
        <v>56</v>
      </c>
      <c r="I248" s="16" t="n">
        <v>5500</v>
      </c>
      <c r="J248" s="16" t="n">
        <v>678072</v>
      </c>
    </row>
    <row r="249" customFormat="false" ht="15" hidden="false" customHeight="true" outlineLevel="0" collapsed="false">
      <c r="A249" s="14" t="n">
        <v>2021</v>
      </c>
      <c r="B249" s="14" t="n">
        <v>3</v>
      </c>
      <c r="C249" s="11" t="s">
        <v>53</v>
      </c>
      <c r="D249" s="11" t="s">
        <v>54</v>
      </c>
      <c r="E249" s="15" t="s">
        <v>27</v>
      </c>
      <c r="F249" s="11" t="s">
        <v>28</v>
      </c>
      <c r="G249" s="12" t="s">
        <v>29</v>
      </c>
      <c r="H249" s="11" t="s">
        <v>56</v>
      </c>
      <c r="I249" s="16" t="n">
        <v>4168</v>
      </c>
      <c r="J249" s="16" t="n">
        <v>1805238</v>
      </c>
    </row>
    <row r="250" customFormat="false" ht="15" hidden="false" customHeight="true" outlineLevel="0" collapsed="false">
      <c r="A250" s="14" t="n">
        <v>2021</v>
      </c>
      <c r="B250" s="14" t="n">
        <v>3</v>
      </c>
      <c r="C250" s="11" t="s">
        <v>53</v>
      </c>
      <c r="D250" s="11" t="s">
        <v>54</v>
      </c>
      <c r="E250" s="15" t="s">
        <v>20</v>
      </c>
      <c r="F250" s="11" t="s">
        <v>21</v>
      </c>
      <c r="G250" s="12" t="s">
        <v>22</v>
      </c>
      <c r="H250" s="11" t="s">
        <v>57</v>
      </c>
      <c r="I250" s="16" t="n">
        <v>1583</v>
      </c>
      <c r="J250" s="16" t="n">
        <v>85668</v>
      </c>
    </row>
    <row r="251" customFormat="false" ht="15" hidden="false" customHeight="true" outlineLevel="0" collapsed="false">
      <c r="A251" s="14" t="n">
        <v>2021</v>
      </c>
      <c r="B251" s="14" t="n">
        <v>3</v>
      </c>
      <c r="C251" s="11" t="s">
        <v>53</v>
      </c>
      <c r="D251" s="11" t="s">
        <v>54</v>
      </c>
      <c r="E251" s="15" t="s">
        <v>31</v>
      </c>
      <c r="F251" s="11" t="s">
        <v>64</v>
      </c>
      <c r="G251" s="12" t="s">
        <v>33</v>
      </c>
      <c r="H251" s="11" t="s">
        <v>57</v>
      </c>
      <c r="I251" s="16" t="n">
        <v>15</v>
      </c>
      <c r="J251" s="16" t="n">
        <v>11250</v>
      </c>
    </row>
    <row r="252" customFormat="false" ht="15" hidden="false" customHeight="true" outlineLevel="0" collapsed="false">
      <c r="A252" s="14" t="n">
        <v>2021</v>
      </c>
      <c r="B252" s="14" t="n">
        <v>3</v>
      </c>
      <c r="C252" s="11" t="s">
        <v>53</v>
      </c>
      <c r="D252" s="11" t="s">
        <v>54</v>
      </c>
      <c r="E252" s="15" t="s">
        <v>27</v>
      </c>
      <c r="F252" s="11" t="s">
        <v>28</v>
      </c>
      <c r="G252" s="12" t="s">
        <v>29</v>
      </c>
      <c r="H252" s="11" t="s">
        <v>59</v>
      </c>
      <c r="I252" s="16" t="n">
        <v>176</v>
      </c>
      <c r="J252" s="16" t="n">
        <v>153219</v>
      </c>
    </row>
    <row r="253" customFormat="false" ht="15" hidden="false" customHeight="true" outlineLevel="0" collapsed="false">
      <c r="A253" s="14" t="n">
        <v>2021</v>
      </c>
      <c r="B253" s="14" t="n">
        <v>3</v>
      </c>
      <c r="C253" s="11" t="s">
        <v>53</v>
      </c>
      <c r="D253" s="11" t="s">
        <v>54</v>
      </c>
      <c r="E253" s="15" t="s">
        <v>20</v>
      </c>
      <c r="F253" s="11" t="s">
        <v>21</v>
      </c>
      <c r="G253" s="12" t="s">
        <v>22</v>
      </c>
      <c r="H253" s="11" t="s">
        <v>60</v>
      </c>
      <c r="I253" s="16" t="n">
        <v>15</v>
      </c>
      <c r="J253" s="16" t="n">
        <v>19732</v>
      </c>
    </row>
    <row r="254" customFormat="false" ht="15" hidden="false" customHeight="true" outlineLevel="0" collapsed="false">
      <c r="A254" s="14" t="n">
        <v>2021</v>
      </c>
      <c r="B254" s="14" t="n">
        <v>3</v>
      </c>
      <c r="C254" s="11" t="s">
        <v>53</v>
      </c>
      <c r="D254" s="11" t="s">
        <v>54</v>
      </c>
      <c r="E254" s="15" t="s">
        <v>27</v>
      </c>
      <c r="F254" s="11" t="s">
        <v>28</v>
      </c>
      <c r="G254" s="12" t="s">
        <v>29</v>
      </c>
      <c r="H254" s="11" t="s">
        <v>60</v>
      </c>
      <c r="I254" s="16" t="n">
        <v>50</v>
      </c>
      <c r="J254" s="16" t="n">
        <v>23619</v>
      </c>
    </row>
    <row r="255" customFormat="false" ht="15" hidden="false" customHeight="true" outlineLevel="0" collapsed="false">
      <c r="A255" s="14" t="n">
        <v>2021</v>
      </c>
      <c r="B255" s="14" t="n">
        <v>3</v>
      </c>
      <c r="C255" s="11" t="s">
        <v>53</v>
      </c>
      <c r="D255" s="11" t="s">
        <v>54</v>
      </c>
      <c r="E255" s="15" t="s">
        <v>20</v>
      </c>
      <c r="F255" s="11" t="s">
        <v>21</v>
      </c>
      <c r="G255" s="12" t="s">
        <v>22</v>
      </c>
      <c r="H255" s="11" t="s">
        <v>61</v>
      </c>
      <c r="I255" s="16" t="n">
        <v>90</v>
      </c>
      <c r="J255" s="16" t="n">
        <v>8350</v>
      </c>
    </row>
    <row r="256" customFormat="false" ht="15" hidden="false" customHeight="true" outlineLevel="0" collapsed="false">
      <c r="A256" s="14" t="n">
        <v>2021</v>
      </c>
      <c r="B256" s="14" t="n">
        <v>4</v>
      </c>
      <c r="C256" s="11" t="s">
        <v>53</v>
      </c>
      <c r="D256" s="11" t="s">
        <v>54</v>
      </c>
      <c r="E256" s="15" t="s">
        <v>20</v>
      </c>
      <c r="F256" s="11" t="s">
        <v>21</v>
      </c>
      <c r="G256" s="12" t="s">
        <v>22</v>
      </c>
      <c r="H256" s="11" t="s">
        <v>55</v>
      </c>
      <c r="I256" s="16" t="n">
        <v>29346</v>
      </c>
      <c r="J256" s="16" t="n">
        <v>3115582</v>
      </c>
    </row>
    <row r="257" customFormat="false" ht="15" hidden="false" customHeight="true" outlineLevel="0" collapsed="false">
      <c r="A257" s="14" t="n">
        <v>2021</v>
      </c>
      <c r="B257" s="14" t="n">
        <v>4</v>
      </c>
      <c r="C257" s="11" t="s">
        <v>53</v>
      </c>
      <c r="D257" s="11" t="s">
        <v>54</v>
      </c>
      <c r="E257" s="15" t="s">
        <v>23</v>
      </c>
      <c r="F257" s="11" t="s">
        <v>24</v>
      </c>
      <c r="G257" s="12" t="s">
        <v>25</v>
      </c>
      <c r="H257" s="11" t="s">
        <v>55</v>
      </c>
      <c r="I257" s="16" t="n">
        <v>76718</v>
      </c>
      <c r="J257" s="16" t="n">
        <v>5987445</v>
      </c>
    </row>
    <row r="258" customFormat="false" ht="15" hidden="false" customHeight="true" outlineLevel="0" collapsed="false">
      <c r="A258" s="14" t="n">
        <v>2021</v>
      </c>
      <c r="B258" s="14" t="n">
        <v>4</v>
      </c>
      <c r="C258" s="11" t="s">
        <v>53</v>
      </c>
      <c r="D258" s="11" t="s">
        <v>54</v>
      </c>
      <c r="E258" s="15" t="s">
        <v>20</v>
      </c>
      <c r="F258" s="11" t="s">
        <v>21</v>
      </c>
      <c r="G258" s="12" t="s">
        <v>22</v>
      </c>
      <c r="H258" s="11" t="s">
        <v>56</v>
      </c>
      <c r="I258" s="16" t="n">
        <v>5000</v>
      </c>
      <c r="J258" s="16" t="n">
        <v>582030</v>
      </c>
    </row>
    <row r="259" customFormat="false" ht="15" hidden="false" customHeight="true" outlineLevel="0" collapsed="false">
      <c r="A259" s="14" t="n">
        <v>2021</v>
      </c>
      <c r="B259" s="14" t="n">
        <v>4</v>
      </c>
      <c r="C259" s="11" t="s">
        <v>53</v>
      </c>
      <c r="D259" s="11" t="s">
        <v>54</v>
      </c>
      <c r="E259" s="15" t="s">
        <v>23</v>
      </c>
      <c r="F259" s="11" t="s">
        <v>24</v>
      </c>
      <c r="G259" s="12" t="s">
        <v>25</v>
      </c>
      <c r="H259" s="11" t="s">
        <v>56</v>
      </c>
      <c r="I259" s="16" t="n">
        <v>1500</v>
      </c>
      <c r="J259" s="16" t="n">
        <v>135000</v>
      </c>
    </row>
    <row r="260" customFormat="false" ht="15" hidden="false" customHeight="true" outlineLevel="0" collapsed="false">
      <c r="A260" s="14" t="n">
        <v>2021</v>
      </c>
      <c r="B260" s="14" t="n">
        <v>4</v>
      </c>
      <c r="C260" s="11" t="s">
        <v>53</v>
      </c>
      <c r="D260" s="11" t="s">
        <v>54</v>
      </c>
      <c r="E260" s="15" t="s">
        <v>27</v>
      </c>
      <c r="F260" s="11" t="s">
        <v>28</v>
      </c>
      <c r="G260" s="12" t="s">
        <v>29</v>
      </c>
      <c r="H260" s="11" t="s">
        <v>56</v>
      </c>
      <c r="I260" s="16" t="n">
        <v>1893</v>
      </c>
      <c r="J260" s="16" t="n">
        <v>558948</v>
      </c>
    </row>
    <row r="261" customFormat="false" ht="15" hidden="false" customHeight="true" outlineLevel="0" collapsed="false">
      <c r="A261" s="14" t="n">
        <v>2021</v>
      </c>
      <c r="B261" s="14" t="n">
        <v>4</v>
      </c>
      <c r="C261" s="11" t="s">
        <v>53</v>
      </c>
      <c r="D261" s="11" t="s">
        <v>54</v>
      </c>
      <c r="E261" s="15" t="s">
        <v>34</v>
      </c>
      <c r="F261" s="11" t="s">
        <v>65</v>
      </c>
      <c r="G261" s="12" t="s">
        <v>36</v>
      </c>
      <c r="H261" s="11" t="s">
        <v>56</v>
      </c>
      <c r="I261" s="16" t="n">
        <v>1816</v>
      </c>
      <c r="J261" s="16" t="n">
        <v>777028</v>
      </c>
    </row>
    <row r="262" customFormat="false" ht="15" hidden="false" customHeight="true" outlineLevel="0" collapsed="false">
      <c r="A262" s="14" t="n">
        <v>2021</v>
      </c>
      <c r="B262" s="14" t="n">
        <v>4</v>
      </c>
      <c r="C262" s="11" t="s">
        <v>53</v>
      </c>
      <c r="D262" s="11" t="s">
        <v>54</v>
      </c>
      <c r="E262" s="15" t="s">
        <v>20</v>
      </c>
      <c r="F262" s="11" t="s">
        <v>21</v>
      </c>
      <c r="G262" s="12" t="s">
        <v>22</v>
      </c>
      <c r="H262" s="11" t="s">
        <v>57</v>
      </c>
      <c r="I262" s="16" t="n">
        <v>1039</v>
      </c>
      <c r="J262" s="16" t="n">
        <v>58671</v>
      </c>
    </row>
    <row r="263" customFormat="false" ht="15" hidden="false" customHeight="true" outlineLevel="0" collapsed="false">
      <c r="A263" s="14" t="n">
        <v>2021</v>
      </c>
      <c r="B263" s="14" t="n">
        <v>4</v>
      </c>
      <c r="C263" s="11" t="s">
        <v>53</v>
      </c>
      <c r="D263" s="11" t="s">
        <v>54</v>
      </c>
      <c r="E263" s="15" t="s">
        <v>23</v>
      </c>
      <c r="F263" s="11" t="s">
        <v>24</v>
      </c>
      <c r="G263" s="12" t="s">
        <v>25</v>
      </c>
      <c r="H263" s="11" t="s">
        <v>58</v>
      </c>
      <c r="I263" s="16" t="n">
        <v>140</v>
      </c>
      <c r="J263" s="16" t="n">
        <v>17291</v>
      </c>
    </row>
    <row r="264" customFormat="false" ht="15" hidden="false" customHeight="true" outlineLevel="0" collapsed="false">
      <c r="A264" s="14" t="n">
        <v>2021</v>
      </c>
      <c r="B264" s="14" t="n">
        <v>4</v>
      </c>
      <c r="C264" s="11" t="s">
        <v>53</v>
      </c>
      <c r="D264" s="11" t="s">
        <v>54</v>
      </c>
      <c r="E264" s="15" t="s">
        <v>27</v>
      </c>
      <c r="F264" s="11" t="s">
        <v>28</v>
      </c>
      <c r="G264" s="12" t="s">
        <v>29</v>
      </c>
      <c r="H264" s="11" t="s">
        <v>61</v>
      </c>
      <c r="I264" s="16" t="n">
        <v>85</v>
      </c>
      <c r="J264" s="16" t="n">
        <v>33000</v>
      </c>
    </row>
    <row r="265" customFormat="false" ht="15" hidden="false" customHeight="true" outlineLevel="0" collapsed="false">
      <c r="A265" s="14" t="n">
        <v>2021</v>
      </c>
      <c r="B265" s="14" t="n">
        <v>5</v>
      </c>
      <c r="C265" s="11" t="s">
        <v>53</v>
      </c>
      <c r="D265" s="11" t="s">
        <v>54</v>
      </c>
      <c r="E265" s="15" t="s">
        <v>20</v>
      </c>
      <c r="F265" s="11" t="s">
        <v>21</v>
      </c>
      <c r="G265" s="12" t="s">
        <v>22</v>
      </c>
      <c r="H265" s="11" t="s">
        <v>55</v>
      </c>
      <c r="I265" s="16" t="n">
        <v>3575</v>
      </c>
      <c r="J265" s="16" t="n">
        <v>138250</v>
      </c>
    </row>
    <row r="266" customFormat="false" ht="15" hidden="false" customHeight="true" outlineLevel="0" collapsed="false">
      <c r="A266" s="14" t="n">
        <v>2021</v>
      </c>
      <c r="B266" s="14" t="n">
        <v>5</v>
      </c>
      <c r="C266" s="11" t="s">
        <v>53</v>
      </c>
      <c r="D266" s="11" t="s">
        <v>54</v>
      </c>
      <c r="E266" s="15" t="s">
        <v>23</v>
      </c>
      <c r="F266" s="11" t="s">
        <v>24</v>
      </c>
      <c r="G266" s="12" t="s">
        <v>25</v>
      </c>
      <c r="H266" s="11" t="s">
        <v>55</v>
      </c>
      <c r="I266" s="16" t="n">
        <v>73996</v>
      </c>
      <c r="J266" s="16" t="n">
        <v>6990391</v>
      </c>
    </row>
    <row r="267" customFormat="false" ht="15" hidden="false" customHeight="true" outlineLevel="0" collapsed="false">
      <c r="A267" s="14" t="n">
        <v>2021</v>
      </c>
      <c r="B267" s="14" t="n">
        <v>5</v>
      </c>
      <c r="C267" s="11" t="s">
        <v>53</v>
      </c>
      <c r="D267" s="11" t="s">
        <v>54</v>
      </c>
      <c r="E267" s="15" t="s">
        <v>23</v>
      </c>
      <c r="F267" s="11" t="s">
        <v>24</v>
      </c>
      <c r="G267" s="12" t="s">
        <v>25</v>
      </c>
      <c r="H267" s="11" t="s">
        <v>56</v>
      </c>
      <c r="I267" s="16" t="n">
        <v>7342</v>
      </c>
      <c r="J267" s="16" t="n">
        <v>693095</v>
      </c>
    </row>
    <row r="268" customFormat="false" ht="15" hidden="false" customHeight="true" outlineLevel="0" collapsed="false">
      <c r="A268" s="14" t="n">
        <v>2021</v>
      </c>
      <c r="B268" s="14" t="n">
        <v>5</v>
      </c>
      <c r="C268" s="11" t="s">
        <v>53</v>
      </c>
      <c r="D268" s="11" t="s">
        <v>54</v>
      </c>
      <c r="E268" s="15" t="s">
        <v>27</v>
      </c>
      <c r="F268" s="11" t="s">
        <v>28</v>
      </c>
      <c r="G268" s="12" t="s">
        <v>29</v>
      </c>
      <c r="H268" s="11" t="s">
        <v>56</v>
      </c>
      <c r="I268" s="16" t="n">
        <v>1796</v>
      </c>
      <c r="J268" s="16" t="n">
        <v>592161</v>
      </c>
    </row>
    <row r="269" customFormat="false" ht="15" hidden="false" customHeight="true" outlineLevel="0" collapsed="false">
      <c r="A269" s="14" t="n">
        <v>2021</v>
      </c>
      <c r="B269" s="14" t="n">
        <v>5</v>
      </c>
      <c r="C269" s="11" t="s">
        <v>53</v>
      </c>
      <c r="D269" s="11" t="s">
        <v>54</v>
      </c>
      <c r="E269" s="15" t="s">
        <v>34</v>
      </c>
      <c r="F269" s="11" t="s">
        <v>65</v>
      </c>
      <c r="G269" s="12" t="s">
        <v>36</v>
      </c>
      <c r="H269" s="11" t="s">
        <v>56</v>
      </c>
      <c r="I269" s="16" t="n">
        <v>1764</v>
      </c>
      <c r="J269" s="16" t="n">
        <v>754720</v>
      </c>
    </row>
    <row r="270" customFormat="false" ht="15" hidden="false" customHeight="true" outlineLevel="0" collapsed="false">
      <c r="A270" s="14" t="n">
        <v>2021</v>
      </c>
      <c r="B270" s="14" t="n">
        <v>5</v>
      </c>
      <c r="C270" s="11" t="s">
        <v>53</v>
      </c>
      <c r="D270" s="11" t="s">
        <v>54</v>
      </c>
      <c r="E270" s="15" t="s">
        <v>20</v>
      </c>
      <c r="F270" s="11" t="s">
        <v>21</v>
      </c>
      <c r="G270" s="12" t="s">
        <v>22</v>
      </c>
      <c r="H270" s="11" t="s">
        <v>57</v>
      </c>
      <c r="I270" s="16" t="n">
        <v>1912</v>
      </c>
      <c r="J270" s="16" t="n">
        <v>114436</v>
      </c>
    </row>
    <row r="271" customFormat="false" ht="15" hidden="false" customHeight="true" outlineLevel="0" collapsed="false">
      <c r="A271" s="14" t="n">
        <v>2021</v>
      </c>
      <c r="B271" s="14" t="n">
        <v>5</v>
      </c>
      <c r="C271" s="11" t="s">
        <v>53</v>
      </c>
      <c r="D271" s="11" t="s">
        <v>54</v>
      </c>
      <c r="E271" s="15" t="s">
        <v>23</v>
      </c>
      <c r="F271" s="11" t="s">
        <v>24</v>
      </c>
      <c r="G271" s="12" t="s">
        <v>25</v>
      </c>
      <c r="H271" s="11" t="s">
        <v>58</v>
      </c>
      <c r="I271" s="16" t="n">
        <v>2300</v>
      </c>
      <c r="J271" s="16" t="n">
        <v>254994</v>
      </c>
    </row>
    <row r="272" customFormat="false" ht="15" hidden="false" customHeight="true" outlineLevel="0" collapsed="false">
      <c r="A272" s="14" t="n">
        <v>2021</v>
      </c>
      <c r="B272" s="14" t="n">
        <v>5</v>
      </c>
      <c r="C272" s="11" t="s">
        <v>53</v>
      </c>
      <c r="D272" s="11" t="s">
        <v>54</v>
      </c>
      <c r="E272" s="15" t="s">
        <v>23</v>
      </c>
      <c r="F272" s="11" t="s">
        <v>24</v>
      </c>
      <c r="G272" s="12" t="s">
        <v>25</v>
      </c>
      <c r="H272" s="11" t="s">
        <v>59</v>
      </c>
      <c r="I272" s="16" t="n">
        <v>1603</v>
      </c>
      <c r="J272" s="16" t="n">
        <v>50346</v>
      </c>
    </row>
    <row r="273" customFormat="false" ht="15" hidden="false" customHeight="true" outlineLevel="0" collapsed="false">
      <c r="A273" s="14" t="n">
        <v>2021</v>
      </c>
      <c r="B273" s="14" t="n">
        <v>6</v>
      </c>
      <c r="C273" s="11" t="s">
        <v>53</v>
      </c>
      <c r="D273" s="11" t="s">
        <v>54</v>
      </c>
      <c r="E273" s="15" t="s">
        <v>20</v>
      </c>
      <c r="F273" s="11" t="s">
        <v>21</v>
      </c>
      <c r="G273" s="12" t="s">
        <v>22</v>
      </c>
      <c r="H273" s="11" t="s">
        <v>55</v>
      </c>
      <c r="I273" s="16" t="n">
        <v>20322</v>
      </c>
      <c r="J273" s="16" t="n">
        <v>1325855</v>
      </c>
    </row>
    <row r="274" customFormat="false" ht="15" hidden="false" customHeight="true" outlineLevel="0" collapsed="false">
      <c r="A274" s="14" t="n">
        <v>2021</v>
      </c>
      <c r="B274" s="14" t="n">
        <v>6</v>
      </c>
      <c r="C274" s="11" t="s">
        <v>53</v>
      </c>
      <c r="D274" s="11" t="s">
        <v>54</v>
      </c>
      <c r="E274" s="15" t="s">
        <v>23</v>
      </c>
      <c r="F274" s="11" t="s">
        <v>24</v>
      </c>
      <c r="G274" s="12" t="s">
        <v>25</v>
      </c>
      <c r="H274" s="11" t="s">
        <v>55</v>
      </c>
      <c r="I274" s="16" t="n">
        <v>50199</v>
      </c>
      <c r="J274" s="16" t="n">
        <v>3797873</v>
      </c>
    </row>
    <row r="275" customFormat="false" ht="15" hidden="false" customHeight="true" outlineLevel="0" collapsed="false">
      <c r="A275" s="14" t="n">
        <v>2021</v>
      </c>
      <c r="B275" s="14" t="n">
        <v>6</v>
      </c>
      <c r="C275" s="11" t="s">
        <v>53</v>
      </c>
      <c r="D275" s="11" t="s">
        <v>54</v>
      </c>
      <c r="E275" s="15" t="s">
        <v>31</v>
      </c>
      <c r="F275" s="11" t="s">
        <v>64</v>
      </c>
      <c r="G275" s="12" t="s">
        <v>33</v>
      </c>
      <c r="H275" s="11" t="s">
        <v>55</v>
      </c>
      <c r="I275" s="16" t="n">
        <v>2500</v>
      </c>
      <c r="J275" s="16" t="n">
        <v>96542</v>
      </c>
    </row>
    <row r="276" customFormat="false" ht="15" hidden="false" customHeight="true" outlineLevel="0" collapsed="false">
      <c r="A276" s="14" t="n">
        <v>2021</v>
      </c>
      <c r="B276" s="14" t="n">
        <v>6</v>
      </c>
      <c r="C276" s="11" t="s">
        <v>53</v>
      </c>
      <c r="D276" s="11" t="s">
        <v>54</v>
      </c>
      <c r="E276" s="15" t="s">
        <v>20</v>
      </c>
      <c r="F276" s="11" t="s">
        <v>21</v>
      </c>
      <c r="G276" s="12" t="s">
        <v>22</v>
      </c>
      <c r="H276" s="11" t="s">
        <v>56</v>
      </c>
      <c r="I276" s="16" t="n">
        <v>5000</v>
      </c>
      <c r="J276" s="16" t="n">
        <v>589614</v>
      </c>
    </row>
    <row r="277" customFormat="false" ht="15" hidden="false" customHeight="true" outlineLevel="0" collapsed="false">
      <c r="A277" s="14" t="n">
        <v>2021</v>
      </c>
      <c r="B277" s="14" t="n">
        <v>6</v>
      </c>
      <c r="C277" s="11" t="s">
        <v>53</v>
      </c>
      <c r="D277" s="11" t="s">
        <v>54</v>
      </c>
      <c r="E277" s="15" t="s">
        <v>23</v>
      </c>
      <c r="F277" s="11" t="s">
        <v>24</v>
      </c>
      <c r="G277" s="12" t="s">
        <v>25</v>
      </c>
      <c r="H277" s="11" t="s">
        <v>56</v>
      </c>
      <c r="I277" s="16" t="n">
        <v>380</v>
      </c>
      <c r="J277" s="16" t="n">
        <v>44740</v>
      </c>
    </row>
    <row r="278" customFormat="false" ht="15" hidden="false" customHeight="true" outlineLevel="0" collapsed="false">
      <c r="A278" s="14" t="n">
        <v>2021</v>
      </c>
      <c r="B278" s="14" t="n">
        <v>6</v>
      </c>
      <c r="C278" s="11" t="s">
        <v>53</v>
      </c>
      <c r="D278" s="11" t="s">
        <v>54</v>
      </c>
      <c r="E278" s="15" t="s">
        <v>27</v>
      </c>
      <c r="F278" s="11" t="s">
        <v>28</v>
      </c>
      <c r="G278" s="12" t="s">
        <v>29</v>
      </c>
      <c r="H278" s="11" t="s">
        <v>56</v>
      </c>
      <c r="I278" s="16" t="n">
        <v>1962</v>
      </c>
      <c r="J278" s="16" t="n">
        <v>759511</v>
      </c>
    </row>
    <row r="279" customFormat="false" ht="15" hidden="false" customHeight="true" outlineLevel="0" collapsed="false">
      <c r="A279" s="14" t="n">
        <v>2021</v>
      </c>
      <c r="B279" s="14" t="n">
        <v>6</v>
      </c>
      <c r="C279" s="11" t="s">
        <v>53</v>
      </c>
      <c r="D279" s="11" t="s">
        <v>54</v>
      </c>
      <c r="E279" s="15" t="s">
        <v>20</v>
      </c>
      <c r="F279" s="11" t="s">
        <v>21</v>
      </c>
      <c r="G279" s="12" t="s">
        <v>22</v>
      </c>
      <c r="H279" s="11" t="s">
        <v>57</v>
      </c>
      <c r="I279" s="16" t="n">
        <v>3506</v>
      </c>
      <c r="J279" s="16" t="n">
        <v>205936</v>
      </c>
    </row>
    <row r="280" customFormat="false" ht="15" hidden="false" customHeight="true" outlineLevel="0" collapsed="false">
      <c r="A280" s="14" t="n">
        <v>2021</v>
      </c>
      <c r="B280" s="14" t="n">
        <v>7</v>
      </c>
      <c r="C280" s="11" t="s">
        <v>53</v>
      </c>
      <c r="D280" s="11" t="s">
        <v>54</v>
      </c>
      <c r="E280" s="15" t="s">
        <v>20</v>
      </c>
      <c r="F280" s="11" t="s">
        <v>21</v>
      </c>
      <c r="G280" s="12" t="s">
        <v>22</v>
      </c>
      <c r="H280" s="11" t="s">
        <v>55</v>
      </c>
      <c r="I280" s="16" t="n">
        <v>13730</v>
      </c>
      <c r="J280" s="16" t="n">
        <v>1141912</v>
      </c>
    </row>
    <row r="281" customFormat="false" ht="15" hidden="false" customHeight="true" outlineLevel="0" collapsed="false">
      <c r="A281" s="14" t="n">
        <v>2021</v>
      </c>
      <c r="B281" s="14" t="n">
        <v>7</v>
      </c>
      <c r="C281" s="11" t="s">
        <v>53</v>
      </c>
      <c r="D281" s="11" t="s">
        <v>54</v>
      </c>
      <c r="E281" s="15" t="s">
        <v>23</v>
      </c>
      <c r="F281" s="11" t="s">
        <v>24</v>
      </c>
      <c r="G281" s="12" t="s">
        <v>25</v>
      </c>
      <c r="H281" s="11" t="s">
        <v>55</v>
      </c>
      <c r="I281" s="16" t="n">
        <v>11646</v>
      </c>
      <c r="J281" s="16" t="n">
        <v>1198085</v>
      </c>
    </row>
    <row r="282" customFormat="false" ht="15" hidden="false" customHeight="true" outlineLevel="0" collapsed="false">
      <c r="A282" s="14" t="n">
        <v>2021</v>
      </c>
      <c r="B282" s="14" t="n">
        <v>7</v>
      </c>
      <c r="C282" s="11" t="s">
        <v>53</v>
      </c>
      <c r="D282" s="11" t="s">
        <v>54</v>
      </c>
      <c r="E282" s="15" t="s">
        <v>20</v>
      </c>
      <c r="F282" s="11" t="s">
        <v>21</v>
      </c>
      <c r="G282" s="12" t="s">
        <v>22</v>
      </c>
      <c r="H282" s="11" t="s">
        <v>56</v>
      </c>
      <c r="I282" s="16" t="n">
        <v>160</v>
      </c>
      <c r="J282" s="16" t="n">
        <v>65500</v>
      </c>
    </row>
    <row r="283" customFormat="false" ht="15" hidden="false" customHeight="true" outlineLevel="0" collapsed="false">
      <c r="A283" s="14" t="n">
        <v>2021</v>
      </c>
      <c r="B283" s="14" t="n">
        <v>7</v>
      </c>
      <c r="C283" s="11" t="s">
        <v>53</v>
      </c>
      <c r="D283" s="11" t="s">
        <v>54</v>
      </c>
      <c r="E283" s="15" t="s">
        <v>23</v>
      </c>
      <c r="F283" s="11" t="s">
        <v>24</v>
      </c>
      <c r="G283" s="12" t="s">
        <v>25</v>
      </c>
      <c r="H283" s="11" t="s">
        <v>56</v>
      </c>
      <c r="I283" s="16" t="n">
        <v>500</v>
      </c>
      <c r="J283" s="16" t="n">
        <v>45000</v>
      </c>
    </row>
    <row r="284" customFormat="false" ht="15" hidden="false" customHeight="true" outlineLevel="0" collapsed="false">
      <c r="A284" s="14" t="n">
        <v>2021</v>
      </c>
      <c r="B284" s="14" t="n">
        <v>7</v>
      </c>
      <c r="C284" s="11" t="s">
        <v>53</v>
      </c>
      <c r="D284" s="11" t="s">
        <v>54</v>
      </c>
      <c r="E284" s="15" t="s">
        <v>27</v>
      </c>
      <c r="F284" s="11" t="s">
        <v>28</v>
      </c>
      <c r="G284" s="12" t="s">
        <v>29</v>
      </c>
      <c r="H284" s="11" t="s">
        <v>56</v>
      </c>
      <c r="I284" s="16" t="n">
        <v>2167</v>
      </c>
      <c r="J284" s="16" t="n">
        <v>1018687</v>
      </c>
    </row>
    <row r="285" customFormat="false" ht="15" hidden="false" customHeight="true" outlineLevel="0" collapsed="false">
      <c r="A285" s="14" t="n">
        <v>2021</v>
      </c>
      <c r="B285" s="14" t="n">
        <v>7</v>
      </c>
      <c r="C285" s="11" t="s">
        <v>53</v>
      </c>
      <c r="D285" s="11" t="s">
        <v>54</v>
      </c>
      <c r="E285" s="15" t="s">
        <v>20</v>
      </c>
      <c r="F285" s="11" t="s">
        <v>21</v>
      </c>
      <c r="G285" s="12" t="s">
        <v>22</v>
      </c>
      <c r="H285" s="11" t="s">
        <v>57</v>
      </c>
      <c r="I285" s="16" t="n">
        <v>985</v>
      </c>
      <c r="J285" s="16" t="n">
        <v>66535</v>
      </c>
    </row>
    <row r="286" customFormat="false" ht="15" hidden="false" customHeight="true" outlineLevel="0" collapsed="false">
      <c r="A286" s="14" t="n">
        <v>2021</v>
      </c>
      <c r="B286" s="14" t="n">
        <v>7</v>
      </c>
      <c r="C286" s="11" t="s">
        <v>53</v>
      </c>
      <c r="D286" s="11" t="s">
        <v>54</v>
      </c>
      <c r="E286" s="15" t="s">
        <v>27</v>
      </c>
      <c r="F286" s="11" t="s">
        <v>28</v>
      </c>
      <c r="G286" s="12" t="s">
        <v>29</v>
      </c>
      <c r="H286" s="11" t="s">
        <v>61</v>
      </c>
      <c r="I286" s="16" t="n">
        <v>85</v>
      </c>
      <c r="J286" s="16" t="n">
        <v>95000</v>
      </c>
    </row>
    <row r="287" customFormat="false" ht="15" hidden="false" customHeight="true" outlineLevel="0" collapsed="false">
      <c r="A287" s="14" t="n">
        <v>2021</v>
      </c>
      <c r="B287" s="14" t="n">
        <v>8</v>
      </c>
      <c r="C287" s="11" t="s">
        <v>53</v>
      </c>
      <c r="D287" s="11" t="s">
        <v>54</v>
      </c>
      <c r="E287" s="15" t="s">
        <v>23</v>
      </c>
      <c r="F287" s="11" t="s">
        <v>24</v>
      </c>
      <c r="G287" s="12" t="s">
        <v>25</v>
      </c>
      <c r="H287" s="11" t="s">
        <v>55</v>
      </c>
      <c r="I287" s="16" t="n">
        <v>3540</v>
      </c>
      <c r="J287" s="16" t="n">
        <v>235049</v>
      </c>
    </row>
    <row r="288" customFormat="false" ht="15" hidden="false" customHeight="true" outlineLevel="0" collapsed="false">
      <c r="A288" s="14" t="n">
        <v>2021</v>
      </c>
      <c r="B288" s="14" t="n">
        <v>8</v>
      </c>
      <c r="C288" s="11" t="s">
        <v>53</v>
      </c>
      <c r="D288" s="11" t="s">
        <v>54</v>
      </c>
      <c r="E288" s="15" t="s">
        <v>23</v>
      </c>
      <c r="F288" s="11" t="s">
        <v>24</v>
      </c>
      <c r="G288" s="12" t="s">
        <v>25</v>
      </c>
      <c r="H288" s="11" t="s">
        <v>56</v>
      </c>
      <c r="I288" s="16" t="n">
        <v>4378</v>
      </c>
      <c r="J288" s="16" t="n">
        <v>435774</v>
      </c>
    </row>
    <row r="289" customFormat="false" ht="15" hidden="false" customHeight="true" outlineLevel="0" collapsed="false">
      <c r="A289" s="14" t="n">
        <v>2021</v>
      </c>
      <c r="B289" s="14" t="n">
        <v>8</v>
      </c>
      <c r="C289" s="11" t="s">
        <v>53</v>
      </c>
      <c r="D289" s="11" t="s">
        <v>54</v>
      </c>
      <c r="E289" s="15" t="s">
        <v>27</v>
      </c>
      <c r="F289" s="11" t="s">
        <v>28</v>
      </c>
      <c r="G289" s="12" t="s">
        <v>29</v>
      </c>
      <c r="H289" s="11" t="s">
        <v>56</v>
      </c>
      <c r="I289" s="16" t="n">
        <v>1299</v>
      </c>
      <c r="J289" s="16" t="n">
        <v>397729</v>
      </c>
    </row>
    <row r="290" customFormat="false" ht="15" hidden="false" customHeight="true" outlineLevel="0" collapsed="false">
      <c r="A290" s="14" t="n">
        <v>2021</v>
      </c>
      <c r="B290" s="14" t="n">
        <v>8</v>
      </c>
      <c r="C290" s="11" t="s">
        <v>53</v>
      </c>
      <c r="D290" s="11" t="s">
        <v>54</v>
      </c>
      <c r="E290" s="15" t="s">
        <v>20</v>
      </c>
      <c r="F290" s="11" t="s">
        <v>21</v>
      </c>
      <c r="G290" s="12" t="s">
        <v>22</v>
      </c>
      <c r="H290" s="11" t="s">
        <v>57</v>
      </c>
      <c r="I290" s="16" t="n">
        <v>2931</v>
      </c>
      <c r="J290" s="16" t="n">
        <v>193280</v>
      </c>
    </row>
    <row r="291" customFormat="false" ht="15" hidden="false" customHeight="true" outlineLevel="0" collapsed="false">
      <c r="A291" s="14" t="n">
        <v>2021</v>
      </c>
      <c r="B291" s="14" t="n">
        <v>8</v>
      </c>
      <c r="C291" s="11" t="s">
        <v>53</v>
      </c>
      <c r="D291" s="11" t="s">
        <v>54</v>
      </c>
      <c r="E291" s="15" t="s">
        <v>27</v>
      </c>
      <c r="F291" s="11" t="s">
        <v>28</v>
      </c>
      <c r="G291" s="12" t="s">
        <v>29</v>
      </c>
      <c r="H291" s="11" t="s">
        <v>60</v>
      </c>
      <c r="I291" s="16" t="n">
        <v>62</v>
      </c>
      <c r="J291" s="16" t="n">
        <v>61102</v>
      </c>
    </row>
    <row r="292" customFormat="false" ht="15" hidden="false" customHeight="true" outlineLevel="0" collapsed="false">
      <c r="A292" s="14" t="n">
        <v>2021</v>
      </c>
      <c r="B292" s="14" t="n">
        <v>9</v>
      </c>
      <c r="C292" s="11" t="s">
        <v>53</v>
      </c>
      <c r="D292" s="11" t="s">
        <v>54</v>
      </c>
      <c r="E292" s="15" t="s">
        <v>23</v>
      </c>
      <c r="F292" s="11" t="s">
        <v>24</v>
      </c>
      <c r="G292" s="12" t="s">
        <v>25</v>
      </c>
      <c r="H292" s="11" t="s">
        <v>55</v>
      </c>
      <c r="I292" s="16" t="n">
        <v>6464</v>
      </c>
      <c r="J292" s="16" t="n">
        <v>383346</v>
      </c>
    </row>
    <row r="293" customFormat="false" ht="15" hidden="false" customHeight="true" outlineLevel="0" collapsed="false">
      <c r="A293" s="14" t="n">
        <v>2021</v>
      </c>
      <c r="B293" s="14" t="n">
        <v>9</v>
      </c>
      <c r="C293" s="11" t="s">
        <v>53</v>
      </c>
      <c r="D293" s="11" t="s">
        <v>54</v>
      </c>
      <c r="E293" s="15" t="s">
        <v>20</v>
      </c>
      <c r="F293" s="11" t="s">
        <v>21</v>
      </c>
      <c r="G293" s="12" t="s">
        <v>22</v>
      </c>
      <c r="H293" s="11" t="s">
        <v>57</v>
      </c>
      <c r="I293" s="16" t="n">
        <v>856</v>
      </c>
      <c r="J293" s="16" t="n">
        <v>44234</v>
      </c>
    </row>
    <row r="294" customFormat="false" ht="15" hidden="false" customHeight="true" outlineLevel="0" collapsed="false">
      <c r="A294" s="14" t="n">
        <v>2021</v>
      </c>
      <c r="B294" s="14" t="n">
        <v>9</v>
      </c>
      <c r="C294" s="11" t="s">
        <v>53</v>
      </c>
      <c r="D294" s="11" t="s">
        <v>54</v>
      </c>
      <c r="E294" s="15" t="s">
        <v>27</v>
      </c>
      <c r="F294" s="11" t="s">
        <v>28</v>
      </c>
      <c r="G294" s="12" t="s">
        <v>29</v>
      </c>
      <c r="H294" s="11" t="s">
        <v>57</v>
      </c>
      <c r="I294" s="16" t="n">
        <v>23</v>
      </c>
      <c r="J294" s="16" t="n">
        <v>12979</v>
      </c>
    </row>
    <row r="295" customFormat="false" ht="15" hidden="false" customHeight="true" outlineLevel="0" collapsed="false">
      <c r="A295" s="14" t="n">
        <v>2021</v>
      </c>
      <c r="B295" s="14" t="n">
        <v>9</v>
      </c>
      <c r="C295" s="11" t="s">
        <v>53</v>
      </c>
      <c r="D295" s="11" t="s">
        <v>54</v>
      </c>
      <c r="E295" s="15" t="s">
        <v>27</v>
      </c>
      <c r="F295" s="11" t="s">
        <v>28</v>
      </c>
      <c r="G295" s="12" t="s">
        <v>29</v>
      </c>
      <c r="H295" s="11" t="s">
        <v>59</v>
      </c>
      <c r="I295" s="16" t="n">
        <v>90</v>
      </c>
      <c r="J295" s="16" t="n">
        <v>67032</v>
      </c>
    </row>
    <row r="296" customFormat="false" ht="15" hidden="false" customHeight="true" outlineLevel="0" collapsed="false">
      <c r="A296" s="14" t="n">
        <v>2021</v>
      </c>
      <c r="B296" s="14" t="n">
        <v>9</v>
      </c>
      <c r="C296" s="11" t="s">
        <v>53</v>
      </c>
      <c r="D296" s="11" t="s">
        <v>54</v>
      </c>
      <c r="E296" s="15" t="s">
        <v>34</v>
      </c>
      <c r="F296" s="11" t="s">
        <v>65</v>
      </c>
      <c r="G296" s="12" t="s">
        <v>36</v>
      </c>
      <c r="H296" s="11" t="s">
        <v>60</v>
      </c>
      <c r="I296" s="16" t="n">
        <v>108</v>
      </c>
      <c r="J296" s="16" t="n">
        <v>49013</v>
      </c>
    </row>
    <row r="297" customFormat="false" ht="15" hidden="false" customHeight="true" outlineLevel="0" collapsed="false">
      <c r="A297" s="14" t="n">
        <v>2021</v>
      </c>
      <c r="B297" s="14" t="n">
        <v>10</v>
      </c>
      <c r="C297" s="11" t="s">
        <v>53</v>
      </c>
      <c r="D297" s="11" t="s">
        <v>54</v>
      </c>
      <c r="E297" s="15" t="s">
        <v>20</v>
      </c>
      <c r="F297" s="11" t="s">
        <v>21</v>
      </c>
      <c r="G297" s="12" t="s">
        <v>22</v>
      </c>
      <c r="H297" s="11" t="s">
        <v>56</v>
      </c>
      <c r="I297" s="16" t="n">
        <v>17</v>
      </c>
      <c r="J297" s="16" t="n">
        <v>11560</v>
      </c>
    </row>
    <row r="298" customFormat="false" ht="15" hidden="false" customHeight="true" outlineLevel="0" collapsed="false">
      <c r="A298" s="14" t="n">
        <v>2021</v>
      </c>
      <c r="B298" s="14" t="n">
        <v>10</v>
      </c>
      <c r="C298" s="11" t="s">
        <v>53</v>
      </c>
      <c r="D298" s="11" t="s">
        <v>54</v>
      </c>
      <c r="E298" s="15" t="s">
        <v>23</v>
      </c>
      <c r="F298" s="11" t="s">
        <v>24</v>
      </c>
      <c r="G298" s="12" t="s">
        <v>25</v>
      </c>
      <c r="H298" s="11" t="s">
        <v>56</v>
      </c>
      <c r="I298" s="16" t="n">
        <v>3000</v>
      </c>
      <c r="J298" s="16" t="n">
        <v>286523</v>
      </c>
    </row>
    <row r="299" customFormat="false" ht="15" hidden="false" customHeight="true" outlineLevel="0" collapsed="false">
      <c r="A299" s="14" t="n">
        <v>2021</v>
      </c>
      <c r="B299" s="14" t="n">
        <v>10</v>
      </c>
      <c r="C299" s="11" t="s">
        <v>53</v>
      </c>
      <c r="D299" s="11" t="s">
        <v>54</v>
      </c>
      <c r="E299" s="15" t="s">
        <v>20</v>
      </c>
      <c r="F299" s="11" t="s">
        <v>21</v>
      </c>
      <c r="G299" s="12" t="s">
        <v>22</v>
      </c>
      <c r="H299" s="11" t="s">
        <v>57</v>
      </c>
      <c r="I299" s="16" t="n">
        <v>905</v>
      </c>
      <c r="J299" s="16" t="n">
        <v>59205</v>
      </c>
    </row>
    <row r="300" customFormat="false" ht="15" hidden="false" customHeight="true" outlineLevel="0" collapsed="false">
      <c r="A300" s="14" t="n">
        <v>2021</v>
      </c>
      <c r="B300" s="14" t="n">
        <v>11</v>
      </c>
      <c r="C300" s="11" t="s">
        <v>53</v>
      </c>
      <c r="D300" s="11" t="s">
        <v>54</v>
      </c>
      <c r="E300" s="15" t="s">
        <v>23</v>
      </c>
      <c r="F300" s="11" t="s">
        <v>24</v>
      </c>
      <c r="G300" s="12" t="s">
        <v>25</v>
      </c>
      <c r="H300" s="11" t="s">
        <v>55</v>
      </c>
      <c r="I300" s="16" t="n">
        <v>54223</v>
      </c>
      <c r="J300" s="16" t="n">
        <v>4117915</v>
      </c>
    </row>
    <row r="301" customFormat="false" ht="15" hidden="false" customHeight="true" outlineLevel="0" collapsed="false">
      <c r="A301" s="14" t="n">
        <v>2021</v>
      </c>
      <c r="B301" s="14" t="n">
        <v>11</v>
      </c>
      <c r="C301" s="11" t="s">
        <v>53</v>
      </c>
      <c r="D301" s="11" t="s">
        <v>54</v>
      </c>
      <c r="E301" s="15" t="s">
        <v>20</v>
      </c>
      <c r="F301" s="11" t="s">
        <v>21</v>
      </c>
      <c r="G301" s="12" t="s">
        <v>22</v>
      </c>
      <c r="H301" s="11" t="s">
        <v>56</v>
      </c>
      <c r="I301" s="16" t="n">
        <v>1500</v>
      </c>
      <c r="J301" s="16" t="n">
        <v>270043</v>
      </c>
    </row>
    <row r="302" customFormat="false" ht="15" hidden="false" customHeight="true" outlineLevel="0" collapsed="false">
      <c r="A302" s="14" t="n">
        <v>2021</v>
      </c>
      <c r="B302" s="14" t="n">
        <v>11</v>
      </c>
      <c r="C302" s="11" t="s">
        <v>53</v>
      </c>
      <c r="D302" s="11" t="s">
        <v>54</v>
      </c>
      <c r="E302" s="15" t="s">
        <v>23</v>
      </c>
      <c r="F302" s="11" t="s">
        <v>24</v>
      </c>
      <c r="G302" s="12" t="s">
        <v>25</v>
      </c>
      <c r="H302" s="11" t="s">
        <v>56</v>
      </c>
      <c r="I302" s="16" t="n">
        <v>3000</v>
      </c>
      <c r="J302" s="16" t="n">
        <v>286523</v>
      </c>
    </row>
    <row r="303" customFormat="false" ht="15" hidden="false" customHeight="true" outlineLevel="0" collapsed="false">
      <c r="A303" s="14" t="n">
        <v>2021</v>
      </c>
      <c r="B303" s="14" t="n">
        <v>11</v>
      </c>
      <c r="C303" s="11" t="s">
        <v>53</v>
      </c>
      <c r="D303" s="11" t="s">
        <v>54</v>
      </c>
      <c r="E303" s="15" t="s">
        <v>27</v>
      </c>
      <c r="F303" s="11" t="s">
        <v>28</v>
      </c>
      <c r="G303" s="12" t="s">
        <v>29</v>
      </c>
      <c r="H303" s="11" t="s">
        <v>56</v>
      </c>
      <c r="I303" s="16" t="n">
        <v>150</v>
      </c>
      <c r="J303" s="16" t="n">
        <v>48000</v>
      </c>
    </row>
    <row r="304" customFormat="false" ht="15" hidden="false" customHeight="true" outlineLevel="0" collapsed="false">
      <c r="A304" s="14" t="n">
        <v>2021</v>
      </c>
      <c r="B304" s="14" t="n">
        <v>11</v>
      </c>
      <c r="C304" s="11" t="s">
        <v>53</v>
      </c>
      <c r="D304" s="11" t="s">
        <v>54</v>
      </c>
      <c r="E304" s="15" t="s">
        <v>20</v>
      </c>
      <c r="F304" s="11" t="s">
        <v>21</v>
      </c>
      <c r="G304" s="12" t="s">
        <v>22</v>
      </c>
      <c r="H304" s="11" t="s">
        <v>57</v>
      </c>
      <c r="I304" s="16" t="n">
        <v>1470</v>
      </c>
      <c r="J304" s="16" t="n">
        <v>109316</v>
      </c>
    </row>
    <row r="305" customFormat="false" ht="15" hidden="false" customHeight="true" outlineLevel="0" collapsed="false">
      <c r="A305" s="14" t="n">
        <v>2021</v>
      </c>
      <c r="B305" s="14" t="n">
        <v>11</v>
      </c>
      <c r="C305" s="11" t="s">
        <v>53</v>
      </c>
      <c r="D305" s="11" t="s">
        <v>54</v>
      </c>
      <c r="E305" s="15" t="s">
        <v>23</v>
      </c>
      <c r="F305" s="11" t="s">
        <v>24</v>
      </c>
      <c r="G305" s="12" t="s">
        <v>25</v>
      </c>
      <c r="H305" s="11" t="s">
        <v>58</v>
      </c>
      <c r="I305" s="16" t="n">
        <v>201</v>
      </c>
      <c r="J305" s="16" t="n">
        <v>24110</v>
      </c>
    </row>
    <row r="306" customFormat="false" ht="15" hidden="false" customHeight="true" outlineLevel="0" collapsed="false">
      <c r="A306" s="14" t="n">
        <v>2021</v>
      </c>
      <c r="B306" s="14" t="n">
        <v>11</v>
      </c>
      <c r="C306" s="11" t="s">
        <v>53</v>
      </c>
      <c r="D306" s="11" t="s">
        <v>54</v>
      </c>
      <c r="E306" s="15" t="s">
        <v>34</v>
      </c>
      <c r="F306" s="11" t="s">
        <v>65</v>
      </c>
      <c r="G306" s="12" t="s">
        <v>36</v>
      </c>
      <c r="H306" s="11" t="s">
        <v>60</v>
      </c>
      <c r="I306" s="16" t="n">
        <v>5</v>
      </c>
      <c r="J306" s="16" t="n">
        <v>2755</v>
      </c>
    </row>
    <row r="307" customFormat="false" ht="15" hidden="false" customHeight="true" outlineLevel="0" collapsed="false">
      <c r="A307" s="14" t="n">
        <v>2021</v>
      </c>
      <c r="B307" s="14" t="n">
        <v>12</v>
      </c>
      <c r="C307" s="11" t="s">
        <v>53</v>
      </c>
      <c r="D307" s="11" t="s">
        <v>54</v>
      </c>
      <c r="E307" s="15" t="s">
        <v>23</v>
      </c>
      <c r="F307" s="11" t="s">
        <v>24</v>
      </c>
      <c r="G307" s="12" t="s">
        <v>25</v>
      </c>
      <c r="H307" s="11" t="s">
        <v>55</v>
      </c>
      <c r="I307" s="16" t="n">
        <v>67217</v>
      </c>
      <c r="J307" s="16" t="n">
        <v>6380584</v>
      </c>
    </row>
    <row r="308" customFormat="false" ht="15" hidden="false" customHeight="true" outlineLevel="0" collapsed="false">
      <c r="A308" s="14" t="n">
        <v>2021</v>
      </c>
      <c r="B308" s="14" t="n">
        <v>12</v>
      </c>
      <c r="C308" s="11" t="s">
        <v>53</v>
      </c>
      <c r="D308" s="11" t="s">
        <v>54</v>
      </c>
      <c r="E308" s="15" t="s">
        <v>20</v>
      </c>
      <c r="F308" s="11" t="s">
        <v>21</v>
      </c>
      <c r="G308" s="12" t="s">
        <v>22</v>
      </c>
      <c r="H308" s="11" t="s">
        <v>56</v>
      </c>
      <c r="I308" s="16" t="n">
        <v>20898</v>
      </c>
      <c r="J308" s="16" t="n">
        <v>2471476</v>
      </c>
    </row>
    <row r="309" customFormat="false" ht="15" hidden="false" customHeight="true" outlineLevel="0" collapsed="false">
      <c r="A309" s="14" t="n">
        <v>2021</v>
      </c>
      <c r="B309" s="14" t="n">
        <v>12</v>
      </c>
      <c r="C309" s="11" t="s">
        <v>53</v>
      </c>
      <c r="D309" s="11" t="s">
        <v>54</v>
      </c>
      <c r="E309" s="15" t="s">
        <v>23</v>
      </c>
      <c r="F309" s="11" t="s">
        <v>24</v>
      </c>
      <c r="G309" s="12" t="s">
        <v>25</v>
      </c>
      <c r="H309" s="11" t="s">
        <v>56</v>
      </c>
      <c r="I309" s="16" t="n">
        <v>14000</v>
      </c>
      <c r="J309" s="16" t="n">
        <v>1464876</v>
      </c>
    </row>
    <row r="310" customFormat="false" ht="15" hidden="false" customHeight="true" outlineLevel="0" collapsed="false">
      <c r="A310" s="14" t="n">
        <v>2021</v>
      </c>
      <c r="B310" s="14" t="n">
        <v>12</v>
      </c>
      <c r="C310" s="11" t="s">
        <v>53</v>
      </c>
      <c r="D310" s="11" t="s">
        <v>54</v>
      </c>
      <c r="E310" s="15" t="s">
        <v>27</v>
      </c>
      <c r="F310" s="11" t="s">
        <v>28</v>
      </c>
      <c r="G310" s="12" t="s">
        <v>29</v>
      </c>
      <c r="H310" s="11" t="s">
        <v>56</v>
      </c>
      <c r="I310" s="16" t="n">
        <v>5</v>
      </c>
      <c r="J310" s="16" t="n">
        <v>6000</v>
      </c>
    </row>
    <row r="311" customFormat="false" ht="15" hidden="false" customHeight="true" outlineLevel="0" collapsed="false">
      <c r="A311" s="14" t="n">
        <v>2021</v>
      </c>
      <c r="B311" s="14" t="n">
        <v>12</v>
      </c>
      <c r="C311" s="11" t="s">
        <v>53</v>
      </c>
      <c r="D311" s="11" t="s">
        <v>54</v>
      </c>
      <c r="E311" s="15" t="s">
        <v>20</v>
      </c>
      <c r="F311" s="11" t="s">
        <v>21</v>
      </c>
      <c r="G311" s="12" t="s">
        <v>22</v>
      </c>
      <c r="H311" s="11" t="s">
        <v>57</v>
      </c>
      <c r="I311" s="16" t="n">
        <v>1485</v>
      </c>
      <c r="J311" s="16" t="n">
        <v>90347</v>
      </c>
    </row>
    <row r="312" customFormat="false" ht="15" hidden="false" customHeight="true" outlineLevel="0" collapsed="false">
      <c r="A312" s="14" t="n">
        <v>2021</v>
      </c>
      <c r="B312" s="14" t="n">
        <v>12</v>
      </c>
      <c r="C312" s="11" t="s">
        <v>53</v>
      </c>
      <c r="D312" s="11" t="s">
        <v>54</v>
      </c>
      <c r="E312" s="15" t="s">
        <v>27</v>
      </c>
      <c r="F312" s="11" t="s">
        <v>28</v>
      </c>
      <c r="G312" s="12" t="s">
        <v>29</v>
      </c>
      <c r="H312" s="11" t="s">
        <v>59</v>
      </c>
      <c r="I312" s="16" t="n">
        <v>44</v>
      </c>
      <c r="J312" s="16" t="n">
        <v>35505</v>
      </c>
    </row>
    <row r="313" customFormat="false" ht="15" hidden="false" customHeight="true" outlineLevel="0" collapsed="false">
      <c r="A313" s="14" t="n">
        <v>2021</v>
      </c>
      <c r="B313" s="14" t="n">
        <v>12</v>
      </c>
      <c r="C313" s="11" t="s">
        <v>53</v>
      </c>
      <c r="D313" s="11" t="s">
        <v>54</v>
      </c>
      <c r="E313" s="15" t="s">
        <v>34</v>
      </c>
      <c r="F313" s="11" t="s">
        <v>65</v>
      </c>
      <c r="G313" s="12" t="s">
        <v>36</v>
      </c>
      <c r="H313" s="11" t="s">
        <v>60</v>
      </c>
      <c r="I313" s="16" t="n">
        <v>120</v>
      </c>
      <c r="J313" s="16" t="n">
        <v>45347</v>
      </c>
    </row>
    <row r="314" customFormat="false" ht="15" hidden="false" customHeight="true" outlineLevel="0" collapsed="false">
      <c r="A314" s="14" t="n">
        <v>2021</v>
      </c>
      <c r="B314" s="14" t="n">
        <v>12</v>
      </c>
      <c r="C314" s="11" t="s">
        <v>53</v>
      </c>
      <c r="D314" s="11" t="s">
        <v>54</v>
      </c>
      <c r="E314" s="15" t="s">
        <v>27</v>
      </c>
      <c r="F314" s="11" t="s">
        <v>28</v>
      </c>
      <c r="G314" s="12" t="s">
        <v>29</v>
      </c>
      <c r="H314" s="11" t="s">
        <v>61</v>
      </c>
      <c r="I314" s="16" t="n">
        <v>60</v>
      </c>
      <c r="J314" s="16" t="n">
        <v>25000</v>
      </c>
    </row>
    <row r="315" customFormat="false" ht="15" hidden="false" customHeight="true" outlineLevel="0" collapsed="false">
      <c r="A315" s="14" t="n">
        <v>2022</v>
      </c>
      <c r="B315" s="14" t="n">
        <v>1</v>
      </c>
      <c r="C315" s="11" t="s">
        <v>53</v>
      </c>
      <c r="D315" s="11" t="s">
        <v>54</v>
      </c>
      <c r="E315" s="15" t="s">
        <v>20</v>
      </c>
      <c r="F315" s="11" t="s">
        <v>21</v>
      </c>
      <c r="G315" s="12" t="s">
        <v>22</v>
      </c>
      <c r="H315" s="11" t="s">
        <v>55</v>
      </c>
      <c r="I315" s="16" t="n">
        <v>29209</v>
      </c>
      <c r="J315" s="16" t="n">
        <v>3846979</v>
      </c>
    </row>
    <row r="316" customFormat="false" ht="15" hidden="false" customHeight="true" outlineLevel="0" collapsed="false">
      <c r="A316" s="14" t="n">
        <v>2022</v>
      </c>
      <c r="B316" s="14" t="n">
        <v>1</v>
      </c>
      <c r="C316" s="11" t="s">
        <v>53</v>
      </c>
      <c r="D316" s="11" t="s">
        <v>54</v>
      </c>
      <c r="E316" s="15" t="s">
        <v>23</v>
      </c>
      <c r="F316" s="11" t="s">
        <v>24</v>
      </c>
      <c r="G316" s="12" t="s">
        <v>25</v>
      </c>
      <c r="H316" s="11" t="s">
        <v>55</v>
      </c>
      <c r="I316" s="16" t="n">
        <v>103970</v>
      </c>
      <c r="J316" s="16" t="n">
        <v>11155786</v>
      </c>
    </row>
    <row r="317" customFormat="false" ht="15" hidden="false" customHeight="true" outlineLevel="0" collapsed="false">
      <c r="A317" s="14" t="n">
        <v>2022</v>
      </c>
      <c r="B317" s="14" t="n">
        <v>1</v>
      </c>
      <c r="C317" s="11" t="s">
        <v>53</v>
      </c>
      <c r="D317" s="11" t="s">
        <v>54</v>
      </c>
      <c r="E317" s="15" t="s">
        <v>20</v>
      </c>
      <c r="F317" s="11" t="s">
        <v>21</v>
      </c>
      <c r="G317" s="12" t="s">
        <v>22</v>
      </c>
      <c r="H317" s="11" t="s">
        <v>56</v>
      </c>
      <c r="I317" s="16" t="n">
        <v>16000</v>
      </c>
      <c r="J317" s="16" t="n">
        <v>1627527</v>
      </c>
    </row>
    <row r="318" customFormat="false" ht="15" hidden="false" customHeight="true" outlineLevel="0" collapsed="false">
      <c r="A318" s="14" t="n">
        <v>2022</v>
      </c>
      <c r="B318" s="14" t="n">
        <v>1</v>
      </c>
      <c r="C318" s="11" t="s">
        <v>53</v>
      </c>
      <c r="D318" s="11" t="s">
        <v>54</v>
      </c>
      <c r="E318" s="15" t="s">
        <v>23</v>
      </c>
      <c r="F318" s="11" t="s">
        <v>24</v>
      </c>
      <c r="G318" s="12" t="s">
        <v>25</v>
      </c>
      <c r="H318" s="11" t="s">
        <v>56</v>
      </c>
      <c r="I318" s="16" t="n">
        <v>13000</v>
      </c>
      <c r="J318" s="16" t="n">
        <v>1331523</v>
      </c>
    </row>
    <row r="319" customFormat="false" ht="15" hidden="false" customHeight="true" outlineLevel="0" collapsed="false">
      <c r="A319" s="14" t="n">
        <v>2022</v>
      </c>
      <c r="B319" s="14" t="n">
        <v>1</v>
      </c>
      <c r="C319" s="11" t="s">
        <v>53</v>
      </c>
      <c r="D319" s="11" t="s">
        <v>54</v>
      </c>
      <c r="E319" s="15" t="s">
        <v>27</v>
      </c>
      <c r="F319" s="11" t="s">
        <v>28</v>
      </c>
      <c r="G319" s="12" t="s">
        <v>29</v>
      </c>
      <c r="H319" s="11" t="s">
        <v>56</v>
      </c>
      <c r="I319" s="16" t="n">
        <v>1097</v>
      </c>
      <c r="J319" s="16" t="n">
        <v>375649</v>
      </c>
    </row>
    <row r="320" customFormat="false" ht="15" hidden="false" customHeight="true" outlineLevel="0" collapsed="false">
      <c r="A320" s="14" t="n">
        <v>2022</v>
      </c>
      <c r="B320" s="14" t="n">
        <v>1</v>
      </c>
      <c r="C320" s="11" t="s">
        <v>53</v>
      </c>
      <c r="D320" s="11" t="s">
        <v>54</v>
      </c>
      <c r="E320" s="15" t="s">
        <v>20</v>
      </c>
      <c r="F320" s="11" t="s">
        <v>21</v>
      </c>
      <c r="G320" s="12" t="s">
        <v>22</v>
      </c>
      <c r="H320" s="11" t="s">
        <v>57</v>
      </c>
      <c r="I320" s="16" t="n">
        <v>1109</v>
      </c>
      <c r="J320" s="16" t="n">
        <v>73745</v>
      </c>
    </row>
    <row r="321" customFormat="false" ht="15" hidden="false" customHeight="true" outlineLevel="0" collapsed="false">
      <c r="A321" s="14" t="n">
        <v>2022</v>
      </c>
      <c r="B321" s="14" t="n">
        <v>1</v>
      </c>
      <c r="C321" s="11" t="s">
        <v>53</v>
      </c>
      <c r="D321" s="11" t="s">
        <v>54</v>
      </c>
      <c r="E321" s="15" t="s">
        <v>27</v>
      </c>
      <c r="F321" s="11" t="s">
        <v>28</v>
      </c>
      <c r="G321" s="12" t="s">
        <v>29</v>
      </c>
      <c r="H321" s="11" t="s">
        <v>57</v>
      </c>
      <c r="I321" s="16" t="n">
        <v>7</v>
      </c>
      <c r="J321" s="16" t="n">
        <v>6021</v>
      </c>
    </row>
    <row r="322" customFormat="false" ht="15" hidden="false" customHeight="true" outlineLevel="0" collapsed="false">
      <c r="A322" s="14" t="n">
        <v>2022</v>
      </c>
      <c r="B322" s="14" t="n">
        <v>1</v>
      </c>
      <c r="C322" s="11" t="s">
        <v>53</v>
      </c>
      <c r="D322" s="11" t="s">
        <v>54</v>
      </c>
      <c r="E322" s="15" t="s">
        <v>27</v>
      </c>
      <c r="F322" s="11" t="s">
        <v>28</v>
      </c>
      <c r="G322" s="12" t="s">
        <v>29</v>
      </c>
      <c r="H322" s="11" t="s">
        <v>61</v>
      </c>
      <c r="I322" s="16" t="n">
        <v>178</v>
      </c>
      <c r="J322" s="16" t="n">
        <v>85000</v>
      </c>
    </row>
    <row r="323" customFormat="false" ht="15" hidden="false" customHeight="true" outlineLevel="0" collapsed="false">
      <c r="A323" s="14" t="n">
        <v>2022</v>
      </c>
      <c r="B323" s="14" t="n">
        <v>2</v>
      </c>
      <c r="C323" s="11" t="s">
        <v>53</v>
      </c>
      <c r="D323" s="11" t="s">
        <v>54</v>
      </c>
      <c r="E323" s="15" t="s">
        <v>23</v>
      </c>
      <c r="F323" s="11" t="s">
        <v>24</v>
      </c>
      <c r="G323" s="12" t="s">
        <v>25</v>
      </c>
      <c r="H323" s="11" t="s">
        <v>55</v>
      </c>
      <c r="I323" s="16" t="n">
        <v>124048</v>
      </c>
      <c r="J323" s="16" t="n">
        <v>13690625</v>
      </c>
    </row>
    <row r="324" customFormat="false" ht="15" hidden="false" customHeight="true" outlineLevel="0" collapsed="false">
      <c r="A324" s="14" t="n">
        <v>2022</v>
      </c>
      <c r="B324" s="14" t="n">
        <v>2</v>
      </c>
      <c r="C324" s="11" t="s">
        <v>53</v>
      </c>
      <c r="D324" s="11" t="s">
        <v>54</v>
      </c>
      <c r="E324" s="15" t="s">
        <v>23</v>
      </c>
      <c r="F324" s="11" t="s">
        <v>24</v>
      </c>
      <c r="G324" s="12" t="s">
        <v>25</v>
      </c>
      <c r="H324" s="11" t="s">
        <v>56</v>
      </c>
      <c r="I324" s="16" t="n">
        <v>1500</v>
      </c>
      <c r="J324" s="16" t="n">
        <v>135000</v>
      </c>
    </row>
    <row r="325" customFormat="false" ht="15" hidden="false" customHeight="true" outlineLevel="0" collapsed="false">
      <c r="A325" s="14" t="n">
        <v>2022</v>
      </c>
      <c r="B325" s="14" t="n">
        <v>2</v>
      </c>
      <c r="C325" s="11" t="s">
        <v>53</v>
      </c>
      <c r="D325" s="11" t="s">
        <v>54</v>
      </c>
      <c r="E325" s="15" t="s">
        <v>27</v>
      </c>
      <c r="F325" s="11" t="s">
        <v>28</v>
      </c>
      <c r="G325" s="12" t="s">
        <v>29</v>
      </c>
      <c r="H325" s="11" t="s">
        <v>56</v>
      </c>
      <c r="I325" s="16" t="n">
        <v>1301</v>
      </c>
      <c r="J325" s="16" t="n">
        <v>425835</v>
      </c>
    </row>
    <row r="326" customFormat="false" ht="15" hidden="false" customHeight="true" outlineLevel="0" collapsed="false">
      <c r="A326" s="14" t="n">
        <v>2022</v>
      </c>
      <c r="B326" s="14" t="n">
        <v>2</v>
      </c>
      <c r="C326" s="11" t="s">
        <v>53</v>
      </c>
      <c r="D326" s="11" t="s">
        <v>54</v>
      </c>
      <c r="E326" s="15" t="s">
        <v>34</v>
      </c>
      <c r="F326" s="11" t="s">
        <v>65</v>
      </c>
      <c r="G326" s="12" t="s">
        <v>36</v>
      </c>
      <c r="H326" s="11" t="s">
        <v>56</v>
      </c>
      <c r="I326" s="16" t="n">
        <v>664</v>
      </c>
      <c r="J326" s="16" t="n">
        <v>195694</v>
      </c>
    </row>
    <row r="327" customFormat="false" ht="15" hidden="false" customHeight="true" outlineLevel="0" collapsed="false">
      <c r="A327" s="14" t="n">
        <v>2022</v>
      </c>
      <c r="B327" s="14" t="n">
        <v>2</v>
      </c>
      <c r="C327" s="11" t="s">
        <v>53</v>
      </c>
      <c r="D327" s="11" t="s">
        <v>54</v>
      </c>
      <c r="E327" s="15" t="s">
        <v>20</v>
      </c>
      <c r="F327" s="11" t="s">
        <v>21</v>
      </c>
      <c r="G327" s="12" t="s">
        <v>22</v>
      </c>
      <c r="H327" s="11" t="s">
        <v>57</v>
      </c>
      <c r="I327" s="16" t="n">
        <v>1111</v>
      </c>
      <c r="J327" s="16" t="n">
        <v>73009</v>
      </c>
    </row>
    <row r="328" customFormat="false" ht="15" hidden="false" customHeight="true" outlineLevel="0" collapsed="false">
      <c r="A328" s="14" t="n">
        <v>2022</v>
      </c>
      <c r="B328" s="14" t="n">
        <v>2</v>
      </c>
      <c r="C328" s="11" t="s">
        <v>53</v>
      </c>
      <c r="D328" s="11" t="s">
        <v>54</v>
      </c>
      <c r="E328" s="15" t="s">
        <v>31</v>
      </c>
      <c r="F328" s="11" t="s">
        <v>64</v>
      </c>
      <c r="G328" s="12" t="s">
        <v>33</v>
      </c>
      <c r="H328" s="11" t="s">
        <v>57</v>
      </c>
      <c r="I328" s="16" t="n">
        <v>25</v>
      </c>
      <c r="J328" s="16" t="n">
        <v>27000</v>
      </c>
    </row>
    <row r="329" customFormat="false" ht="15" hidden="false" customHeight="true" outlineLevel="0" collapsed="false">
      <c r="A329" s="14" t="n">
        <v>2022</v>
      </c>
      <c r="B329" s="14" t="n">
        <v>3</v>
      </c>
      <c r="C329" s="11" t="s">
        <v>53</v>
      </c>
      <c r="D329" s="11" t="s">
        <v>54</v>
      </c>
      <c r="E329" s="15" t="s">
        <v>20</v>
      </c>
      <c r="F329" s="11" t="s">
        <v>21</v>
      </c>
      <c r="G329" s="12" t="s">
        <v>22</v>
      </c>
      <c r="H329" s="11" t="s">
        <v>55</v>
      </c>
      <c r="I329" s="16" t="n">
        <v>1329</v>
      </c>
      <c r="J329" s="16" t="n">
        <v>56456</v>
      </c>
    </row>
    <row r="330" customFormat="false" ht="15" hidden="false" customHeight="true" outlineLevel="0" collapsed="false">
      <c r="A330" s="14" t="n">
        <v>2022</v>
      </c>
      <c r="B330" s="14" t="n">
        <v>3</v>
      </c>
      <c r="C330" s="11" t="s">
        <v>53</v>
      </c>
      <c r="D330" s="11" t="s">
        <v>54</v>
      </c>
      <c r="E330" s="15" t="s">
        <v>23</v>
      </c>
      <c r="F330" s="11" t="s">
        <v>24</v>
      </c>
      <c r="G330" s="12" t="s">
        <v>25</v>
      </c>
      <c r="H330" s="11" t="s">
        <v>55</v>
      </c>
      <c r="I330" s="16" t="n">
        <v>72329</v>
      </c>
      <c r="J330" s="16" t="n">
        <v>8794160</v>
      </c>
    </row>
    <row r="331" customFormat="false" ht="15" hidden="false" customHeight="true" outlineLevel="0" collapsed="false">
      <c r="A331" s="14" t="n">
        <v>2022</v>
      </c>
      <c r="B331" s="14" t="n">
        <v>3</v>
      </c>
      <c r="C331" s="11" t="s">
        <v>53</v>
      </c>
      <c r="D331" s="11" t="s">
        <v>54</v>
      </c>
      <c r="E331" s="15" t="s">
        <v>23</v>
      </c>
      <c r="F331" s="11" t="s">
        <v>24</v>
      </c>
      <c r="G331" s="12" t="s">
        <v>25</v>
      </c>
      <c r="H331" s="11" t="s">
        <v>56</v>
      </c>
      <c r="I331" s="16" t="n">
        <v>2841</v>
      </c>
      <c r="J331" s="16" t="n">
        <v>1099801</v>
      </c>
    </row>
    <row r="332" customFormat="false" ht="15" hidden="false" customHeight="true" outlineLevel="0" collapsed="false">
      <c r="A332" s="14" t="n">
        <v>2022</v>
      </c>
      <c r="B332" s="14" t="n">
        <v>3</v>
      </c>
      <c r="C332" s="11" t="s">
        <v>53</v>
      </c>
      <c r="D332" s="11" t="s">
        <v>54</v>
      </c>
      <c r="E332" s="15" t="s">
        <v>27</v>
      </c>
      <c r="F332" s="11" t="s">
        <v>28</v>
      </c>
      <c r="G332" s="12" t="s">
        <v>29</v>
      </c>
      <c r="H332" s="11" t="s">
        <v>56</v>
      </c>
      <c r="I332" s="16" t="n">
        <v>3605</v>
      </c>
      <c r="J332" s="16" t="n">
        <v>1299794</v>
      </c>
    </row>
    <row r="333" customFormat="false" ht="15" hidden="false" customHeight="true" outlineLevel="0" collapsed="false">
      <c r="A333" s="14" t="n">
        <v>2022</v>
      </c>
      <c r="B333" s="14" t="n">
        <v>3</v>
      </c>
      <c r="C333" s="11" t="s">
        <v>53</v>
      </c>
      <c r="D333" s="11" t="s">
        <v>54</v>
      </c>
      <c r="E333" s="15" t="s">
        <v>20</v>
      </c>
      <c r="F333" s="11" t="s">
        <v>21</v>
      </c>
      <c r="G333" s="12" t="s">
        <v>22</v>
      </c>
      <c r="H333" s="11" t="s">
        <v>57</v>
      </c>
      <c r="I333" s="16" t="n">
        <v>2725</v>
      </c>
      <c r="J333" s="16" t="n">
        <v>143862</v>
      </c>
    </row>
    <row r="334" customFormat="false" ht="15" hidden="false" customHeight="true" outlineLevel="0" collapsed="false">
      <c r="A334" s="14" t="n">
        <v>2022</v>
      </c>
      <c r="B334" s="14" t="n">
        <v>3</v>
      </c>
      <c r="C334" s="11" t="s">
        <v>53</v>
      </c>
      <c r="D334" s="11" t="s">
        <v>54</v>
      </c>
      <c r="E334" s="15" t="s">
        <v>20</v>
      </c>
      <c r="F334" s="11" t="s">
        <v>21</v>
      </c>
      <c r="G334" s="12" t="s">
        <v>22</v>
      </c>
      <c r="H334" s="11" t="s">
        <v>58</v>
      </c>
      <c r="I334" s="16" t="n">
        <v>7673</v>
      </c>
      <c r="J334" s="16" t="n">
        <v>153450</v>
      </c>
    </row>
    <row r="335" customFormat="false" ht="15" hidden="false" customHeight="true" outlineLevel="0" collapsed="false">
      <c r="A335" s="14" t="n">
        <v>2022</v>
      </c>
      <c r="B335" s="14" t="n">
        <v>3</v>
      </c>
      <c r="C335" s="11" t="s">
        <v>53</v>
      </c>
      <c r="D335" s="11" t="s">
        <v>54</v>
      </c>
      <c r="E335" s="15" t="s">
        <v>23</v>
      </c>
      <c r="F335" s="11" t="s">
        <v>24</v>
      </c>
      <c r="G335" s="12" t="s">
        <v>25</v>
      </c>
      <c r="H335" s="11" t="s">
        <v>58</v>
      </c>
      <c r="I335" s="16" t="n">
        <v>141</v>
      </c>
      <c r="J335" s="16" t="n">
        <v>20677</v>
      </c>
    </row>
    <row r="336" customFormat="false" ht="15" hidden="false" customHeight="true" outlineLevel="0" collapsed="false">
      <c r="A336" s="14" t="n">
        <v>2022</v>
      </c>
      <c r="B336" s="14" t="n">
        <v>4</v>
      </c>
      <c r="C336" s="11" t="s">
        <v>53</v>
      </c>
      <c r="D336" s="11" t="s">
        <v>54</v>
      </c>
      <c r="E336" s="15" t="s">
        <v>20</v>
      </c>
      <c r="F336" s="11" t="s">
        <v>21</v>
      </c>
      <c r="G336" s="12" t="s">
        <v>22</v>
      </c>
      <c r="H336" s="11" t="s">
        <v>55</v>
      </c>
      <c r="I336" s="16" t="n">
        <v>20912</v>
      </c>
      <c r="J336" s="16" t="n">
        <v>3154146</v>
      </c>
    </row>
    <row r="337" customFormat="false" ht="15" hidden="false" customHeight="true" outlineLevel="0" collapsed="false">
      <c r="A337" s="14" t="n">
        <v>2022</v>
      </c>
      <c r="B337" s="14" t="n">
        <v>4</v>
      </c>
      <c r="C337" s="11" t="s">
        <v>53</v>
      </c>
      <c r="D337" s="11" t="s">
        <v>54</v>
      </c>
      <c r="E337" s="15" t="s">
        <v>23</v>
      </c>
      <c r="F337" s="11" t="s">
        <v>24</v>
      </c>
      <c r="G337" s="12" t="s">
        <v>25</v>
      </c>
      <c r="H337" s="11" t="s">
        <v>55</v>
      </c>
      <c r="I337" s="16" t="n">
        <v>79543</v>
      </c>
      <c r="J337" s="16" t="n">
        <v>7752387</v>
      </c>
    </row>
    <row r="338" customFormat="false" ht="15" hidden="false" customHeight="true" outlineLevel="0" collapsed="false">
      <c r="A338" s="14" t="n">
        <v>2022</v>
      </c>
      <c r="B338" s="14" t="n">
        <v>4</v>
      </c>
      <c r="C338" s="11" t="s">
        <v>53</v>
      </c>
      <c r="D338" s="11" t="s">
        <v>54</v>
      </c>
      <c r="E338" s="15" t="s">
        <v>27</v>
      </c>
      <c r="F338" s="11" t="s">
        <v>28</v>
      </c>
      <c r="G338" s="12" t="s">
        <v>29</v>
      </c>
      <c r="H338" s="11" t="s">
        <v>55</v>
      </c>
      <c r="I338" s="16" t="n">
        <v>4257</v>
      </c>
      <c r="J338" s="16" t="n">
        <v>125622</v>
      </c>
    </row>
    <row r="339" customFormat="false" ht="15" hidden="false" customHeight="true" outlineLevel="0" collapsed="false">
      <c r="A339" s="14" t="n">
        <v>2022</v>
      </c>
      <c r="B339" s="14" t="n">
        <v>4</v>
      </c>
      <c r="C339" s="11" t="s">
        <v>53</v>
      </c>
      <c r="D339" s="11" t="s">
        <v>54</v>
      </c>
      <c r="E339" s="15" t="s">
        <v>23</v>
      </c>
      <c r="F339" s="11" t="s">
        <v>24</v>
      </c>
      <c r="G339" s="12" t="s">
        <v>25</v>
      </c>
      <c r="H339" s="11" t="s">
        <v>56</v>
      </c>
      <c r="I339" s="16" t="n">
        <v>6000</v>
      </c>
      <c r="J339" s="16" t="n">
        <v>586523</v>
      </c>
    </row>
    <row r="340" customFormat="false" ht="15" hidden="false" customHeight="true" outlineLevel="0" collapsed="false">
      <c r="A340" s="14" t="n">
        <v>2022</v>
      </c>
      <c r="B340" s="14" t="n">
        <v>4</v>
      </c>
      <c r="C340" s="11" t="s">
        <v>53</v>
      </c>
      <c r="D340" s="11" t="s">
        <v>54</v>
      </c>
      <c r="E340" s="15" t="s">
        <v>27</v>
      </c>
      <c r="F340" s="11" t="s">
        <v>28</v>
      </c>
      <c r="G340" s="12" t="s">
        <v>29</v>
      </c>
      <c r="H340" s="11" t="s">
        <v>56</v>
      </c>
      <c r="I340" s="16" t="n">
        <v>5879</v>
      </c>
      <c r="J340" s="16" t="n">
        <v>2300373</v>
      </c>
    </row>
    <row r="341" customFormat="false" ht="15" hidden="false" customHeight="true" outlineLevel="0" collapsed="false">
      <c r="A341" s="14" t="n">
        <v>2022</v>
      </c>
      <c r="B341" s="14" t="n">
        <v>4</v>
      </c>
      <c r="C341" s="11" t="s">
        <v>53</v>
      </c>
      <c r="D341" s="11" t="s">
        <v>54</v>
      </c>
      <c r="E341" s="15" t="s">
        <v>20</v>
      </c>
      <c r="F341" s="11" t="s">
        <v>21</v>
      </c>
      <c r="G341" s="12" t="s">
        <v>22</v>
      </c>
      <c r="H341" s="11" t="s">
        <v>57</v>
      </c>
      <c r="I341" s="16" t="n">
        <v>1141</v>
      </c>
      <c r="J341" s="16" t="n">
        <v>75897</v>
      </c>
    </row>
    <row r="342" customFormat="false" ht="15" hidden="false" customHeight="true" outlineLevel="0" collapsed="false">
      <c r="A342" s="14" t="n">
        <v>2022</v>
      </c>
      <c r="B342" s="14" t="n">
        <v>4</v>
      </c>
      <c r="C342" s="11" t="s">
        <v>53</v>
      </c>
      <c r="D342" s="11" t="s">
        <v>54</v>
      </c>
      <c r="E342" s="15" t="s">
        <v>23</v>
      </c>
      <c r="F342" s="11" t="s">
        <v>24</v>
      </c>
      <c r="G342" s="12" t="s">
        <v>25</v>
      </c>
      <c r="H342" s="11" t="s">
        <v>58</v>
      </c>
      <c r="I342" s="16" t="n">
        <v>771</v>
      </c>
      <c r="J342" s="16" t="n">
        <v>102167</v>
      </c>
    </row>
    <row r="343" customFormat="false" ht="15" hidden="false" customHeight="true" outlineLevel="0" collapsed="false">
      <c r="A343" s="14" t="n">
        <v>2022</v>
      </c>
      <c r="B343" s="14" t="n">
        <v>5</v>
      </c>
      <c r="C343" s="11" t="s">
        <v>53</v>
      </c>
      <c r="D343" s="11" t="s">
        <v>54</v>
      </c>
      <c r="E343" s="15" t="s">
        <v>20</v>
      </c>
      <c r="F343" s="11" t="s">
        <v>21</v>
      </c>
      <c r="G343" s="12" t="s">
        <v>22</v>
      </c>
      <c r="H343" s="11" t="s">
        <v>55</v>
      </c>
      <c r="I343" s="16" t="n">
        <v>10573</v>
      </c>
      <c r="J343" s="16" t="n">
        <v>1415728</v>
      </c>
    </row>
    <row r="344" customFormat="false" ht="15" hidden="false" customHeight="true" outlineLevel="0" collapsed="false">
      <c r="A344" s="14" t="n">
        <v>2022</v>
      </c>
      <c r="B344" s="14" t="n">
        <v>5</v>
      </c>
      <c r="C344" s="11" t="s">
        <v>53</v>
      </c>
      <c r="D344" s="11" t="s">
        <v>54</v>
      </c>
      <c r="E344" s="15" t="s">
        <v>23</v>
      </c>
      <c r="F344" s="11" t="s">
        <v>24</v>
      </c>
      <c r="G344" s="12" t="s">
        <v>25</v>
      </c>
      <c r="H344" s="11" t="s">
        <v>55</v>
      </c>
      <c r="I344" s="16" t="n">
        <v>30171</v>
      </c>
      <c r="J344" s="16" t="n">
        <v>3185029</v>
      </c>
    </row>
    <row r="345" customFormat="false" ht="15" hidden="false" customHeight="true" outlineLevel="0" collapsed="false">
      <c r="A345" s="14" t="n">
        <v>2022</v>
      </c>
      <c r="B345" s="14" t="n">
        <v>5</v>
      </c>
      <c r="C345" s="11" t="s">
        <v>53</v>
      </c>
      <c r="D345" s="11" t="s">
        <v>54</v>
      </c>
      <c r="E345" s="15" t="s">
        <v>27</v>
      </c>
      <c r="F345" s="11" t="s">
        <v>28</v>
      </c>
      <c r="G345" s="12" t="s">
        <v>29</v>
      </c>
      <c r="H345" s="11" t="s">
        <v>55</v>
      </c>
      <c r="I345" s="16" t="n">
        <v>22</v>
      </c>
      <c r="J345" s="16" t="n">
        <v>11543</v>
      </c>
    </row>
    <row r="346" customFormat="false" ht="15" hidden="false" customHeight="true" outlineLevel="0" collapsed="false">
      <c r="A346" s="14" t="n">
        <v>2022</v>
      </c>
      <c r="B346" s="14" t="n">
        <v>5</v>
      </c>
      <c r="C346" s="11" t="s">
        <v>53</v>
      </c>
      <c r="D346" s="11" t="s">
        <v>54</v>
      </c>
      <c r="E346" s="15" t="s">
        <v>34</v>
      </c>
      <c r="F346" s="11" t="s">
        <v>65</v>
      </c>
      <c r="G346" s="12" t="s">
        <v>36</v>
      </c>
      <c r="H346" s="11" t="s">
        <v>55</v>
      </c>
      <c r="I346" s="16" t="n">
        <v>9</v>
      </c>
      <c r="J346" s="16" t="n">
        <v>8580</v>
      </c>
    </row>
    <row r="347" customFormat="false" ht="15" hidden="false" customHeight="true" outlineLevel="0" collapsed="false">
      <c r="A347" s="14" t="n">
        <v>2022</v>
      </c>
      <c r="B347" s="14" t="n">
        <v>5</v>
      </c>
      <c r="C347" s="11" t="s">
        <v>53</v>
      </c>
      <c r="D347" s="11" t="s">
        <v>54</v>
      </c>
      <c r="E347" s="15" t="s">
        <v>23</v>
      </c>
      <c r="F347" s="11" t="s">
        <v>24</v>
      </c>
      <c r="G347" s="12" t="s">
        <v>25</v>
      </c>
      <c r="H347" s="11" t="s">
        <v>56</v>
      </c>
      <c r="I347" s="16" t="n">
        <v>1279</v>
      </c>
      <c r="J347" s="16" t="n">
        <v>178078</v>
      </c>
    </row>
    <row r="348" customFormat="false" ht="15" hidden="false" customHeight="true" outlineLevel="0" collapsed="false">
      <c r="A348" s="14" t="n">
        <v>2022</v>
      </c>
      <c r="B348" s="14" t="n">
        <v>5</v>
      </c>
      <c r="C348" s="11" t="s">
        <v>53</v>
      </c>
      <c r="D348" s="11" t="s">
        <v>54</v>
      </c>
      <c r="E348" s="15" t="s">
        <v>27</v>
      </c>
      <c r="F348" s="11" t="s">
        <v>28</v>
      </c>
      <c r="G348" s="12" t="s">
        <v>29</v>
      </c>
      <c r="H348" s="11" t="s">
        <v>56</v>
      </c>
      <c r="I348" s="16" t="n">
        <v>4903</v>
      </c>
      <c r="J348" s="16" t="n">
        <v>1671026</v>
      </c>
    </row>
    <row r="349" customFormat="false" ht="15" hidden="false" customHeight="true" outlineLevel="0" collapsed="false">
      <c r="A349" s="14" t="n">
        <v>2022</v>
      </c>
      <c r="B349" s="14" t="n">
        <v>5</v>
      </c>
      <c r="C349" s="11" t="s">
        <v>53</v>
      </c>
      <c r="D349" s="11" t="s">
        <v>54</v>
      </c>
      <c r="E349" s="15" t="s">
        <v>20</v>
      </c>
      <c r="F349" s="11" t="s">
        <v>21</v>
      </c>
      <c r="G349" s="12" t="s">
        <v>22</v>
      </c>
      <c r="H349" s="11" t="s">
        <v>57</v>
      </c>
      <c r="I349" s="16" t="n">
        <v>2329</v>
      </c>
      <c r="J349" s="16" t="n">
        <v>157847</v>
      </c>
    </row>
    <row r="350" customFormat="false" ht="15" hidden="false" customHeight="true" outlineLevel="0" collapsed="false">
      <c r="A350" s="14" t="n">
        <v>2022</v>
      </c>
      <c r="B350" s="14" t="n">
        <v>5</v>
      </c>
      <c r="C350" s="11" t="s">
        <v>53</v>
      </c>
      <c r="D350" s="11" t="s">
        <v>54</v>
      </c>
      <c r="E350" s="15" t="s">
        <v>27</v>
      </c>
      <c r="F350" s="11" t="s">
        <v>28</v>
      </c>
      <c r="G350" s="12" t="s">
        <v>29</v>
      </c>
      <c r="H350" s="11" t="s">
        <v>58</v>
      </c>
      <c r="I350" s="16" t="n">
        <v>897</v>
      </c>
      <c r="J350" s="16" t="n">
        <v>492315</v>
      </c>
    </row>
    <row r="351" customFormat="false" ht="15" hidden="false" customHeight="true" outlineLevel="0" collapsed="false">
      <c r="A351" s="14" t="n">
        <v>2022</v>
      </c>
      <c r="B351" s="14" t="n">
        <v>6</v>
      </c>
      <c r="C351" s="11" t="s">
        <v>53</v>
      </c>
      <c r="D351" s="11" t="s">
        <v>54</v>
      </c>
      <c r="E351" s="15" t="s">
        <v>20</v>
      </c>
      <c r="F351" s="11" t="s">
        <v>21</v>
      </c>
      <c r="G351" s="12" t="s">
        <v>22</v>
      </c>
      <c r="H351" s="11" t="s">
        <v>55</v>
      </c>
      <c r="I351" s="16" t="n">
        <v>7420</v>
      </c>
      <c r="J351" s="16" t="n">
        <v>355092</v>
      </c>
    </row>
    <row r="352" customFormat="false" ht="15" hidden="false" customHeight="true" outlineLevel="0" collapsed="false">
      <c r="A352" s="14" t="n">
        <v>2022</v>
      </c>
      <c r="B352" s="14" t="n">
        <v>6</v>
      </c>
      <c r="C352" s="11" t="s">
        <v>53</v>
      </c>
      <c r="D352" s="11" t="s">
        <v>54</v>
      </c>
      <c r="E352" s="15" t="s">
        <v>23</v>
      </c>
      <c r="F352" s="11" t="s">
        <v>24</v>
      </c>
      <c r="G352" s="12" t="s">
        <v>25</v>
      </c>
      <c r="H352" s="11" t="s">
        <v>55</v>
      </c>
      <c r="I352" s="16" t="n">
        <v>32539</v>
      </c>
      <c r="J352" s="16" t="n">
        <v>3051418</v>
      </c>
    </row>
    <row r="353" customFormat="false" ht="15" hidden="false" customHeight="true" outlineLevel="0" collapsed="false">
      <c r="A353" s="14" t="n">
        <v>2022</v>
      </c>
      <c r="B353" s="14" t="n">
        <v>6</v>
      </c>
      <c r="C353" s="11" t="s">
        <v>53</v>
      </c>
      <c r="D353" s="11" t="s">
        <v>54</v>
      </c>
      <c r="E353" s="15" t="s">
        <v>20</v>
      </c>
      <c r="F353" s="11" t="s">
        <v>21</v>
      </c>
      <c r="G353" s="12" t="s">
        <v>22</v>
      </c>
      <c r="H353" s="11" t="s">
        <v>56</v>
      </c>
      <c r="I353" s="16" t="n">
        <v>4905</v>
      </c>
      <c r="J353" s="16" t="n">
        <v>627779</v>
      </c>
    </row>
    <row r="354" customFormat="false" ht="15" hidden="false" customHeight="true" outlineLevel="0" collapsed="false">
      <c r="A354" s="14" t="n">
        <v>2022</v>
      </c>
      <c r="B354" s="14" t="n">
        <v>6</v>
      </c>
      <c r="C354" s="11" t="s">
        <v>53</v>
      </c>
      <c r="D354" s="11" t="s">
        <v>54</v>
      </c>
      <c r="E354" s="15" t="s">
        <v>23</v>
      </c>
      <c r="F354" s="11" t="s">
        <v>24</v>
      </c>
      <c r="G354" s="12" t="s">
        <v>25</v>
      </c>
      <c r="H354" s="11" t="s">
        <v>56</v>
      </c>
      <c r="I354" s="16" t="n">
        <v>11991</v>
      </c>
      <c r="J354" s="16" t="n">
        <v>1189016</v>
      </c>
    </row>
    <row r="355" customFormat="false" ht="15" hidden="false" customHeight="true" outlineLevel="0" collapsed="false">
      <c r="A355" s="14" t="n">
        <v>2022</v>
      </c>
      <c r="B355" s="14" t="n">
        <v>6</v>
      </c>
      <c r="C355" s="11" t="s">
        <v>53</v>
      </c>
      <c r="D355" s="11" t="s">
        <v>54</v>
      </c>
      <c r="E355" s="15" t="s">
        <v>27</v>
      </c>
      <c r="F355" s="11" t="s">
        <v>28</v>
      </c>
      <c r="G355" s="12" t="s">
        <v>29</v>
      </c>
      <c r="H355" s="11" t="s">
        <v>56</v>
      </c>
      <c r="I355" s="16" t="n">
        <v>4278</v>
      </c>
      <c r="J355" s="16" t="n">
        <v>1448441</v>
      </c>
    </row>
    <row r="356" customFormat="false" ht="15" hidden="false" customHeight="true" outlineLevel="0" collapsed="false">
      <c r="A356" s="14" t="n">
        <v>2022</v>
      </c>
      <c r="B356" s="14" t="n">
        <v>6</v>
      </c>
      <c r="C356" s="11" t="s">
        <v>53</v>
      </c>
      <c r="D356" s="11" t="s">
        <v>54</v>
      </c>
      <c r="E356" s="15" t="s">
        <v>27</v>
      </c>
      <c r="F356" s="11" t="s">
        <v>28</v>
      </c>
      <c r="G356" s="12" t="s">
        <v>29</v>
      </c>
      <c r="H356" s="11" t="s">
        <v>57</v>
      </c>
      <c r="I356" s="16" t="n">
        <v>22</v>
      </c>
      <c r="J356" s="16" t="n">
        <v>13600</v>
      </c>
    </row>
    <row r="357" customFormat="false" ht="15" hidden="false" customHeight="true" outlineLevel="0" collapsed="false">
      <c r="A357" s="14" t="n">
        <v>2022</v>
      </c>
      <c r="B357" s="14" t="n">
        <v>6</v>
      </c>
      <c r="C357" s="11" t="s">
        <v>53</v>
      </c>
      <c r="D357" s="11" t="s">
        <v>54</v>
      </c>
      <c r="E357" s="15" t="s">
        <v>23</v>
      </c>
      <c r="F357" s="11" t="s">
        <v>24</v>
      </c>
      <c r="G357" s="12" t="s">
        <v>25</v>
      </c>
      <c r="H357" s="11" t="s">
        <v>59</v>
      </c>
      <c r="I357" s="16" t="n">
        <v>1108</v>
      </c>
      <c r="J357" s="16" t="n">
        <v>63254</v>
      </c>
    </row>
    <row r="358" customFormat="false" ht="15" hidden="false" customHeight="true" outlineLevel="0" collapsed="false">
      <c r="A358" s="14" t="n">
        <v>2022</v>
      </c>
      <c r="B358" s="14" t="n">
        <v>6</v>
      </c>
      <c r="C358" s="11" t="s">
        <v>53</v>
      </c>
      <c r="D358" s="11" t="s">
        <v>54</v>
      </c>
      <c r="E358" s="15" t="s">
        <v>27</v>
      </c>
      <c r="F358" s="11" t="s">
        <v>28</v>
      </c>
      <c r="G358" s="12" t="s">
        <v>29</v>
      </c>
      <c r="H358" s="11" t="s">
        <v>59</v>
      </c>
      <c r="I358" s="16" t="n">
        <v>95</v>
      </c>
      <c r="J358" s="16" t="n">
        <v>24738</v>
      </c>
    </row>
    <row r="359" customFormat="false" ht="15" hidden="false" customHeight="true" outlineLevel="0" collapsed="false">
      <c r="A359" s="14" t="n">
        <v>2022</v>
      </c>
      <c r="B359" s="14" t="n">
        <v>6</v>
      </c>
      <c r="C359" s="11" t="s">
        <v>53</v>
      </c>
      <c r="D359" s="11" t="s">
        <v>54</v>
      </c>
      <c r="E359" s="15" t="s">
        <v>31</v>
      </c>
      <c r="F359" s="11" t="s">
        <v>64</v>
      </c>
      <c r="G359" s="12" t="s">
        <v>33</v>
      </c>
      <c r="H359" s="11" t="s">
        <v>60</v>
      </c>
      <c r="I359" s="16" t="n">
        <v>237</v>
      </c>
      <c r="J359" s="16" t="n">
        <v>146703</v>
      </c>
    </row>
    <row r="360" customFormat="false" ht="15" hidden="false" customHeight="true" outlineLevel="0" collapsed="false">
      <c r="A360" s="14" t="n">
        <v>2022</v>
      </c>
      <c r="B360" s="14" t="n">
        <v>7</v>
      </c>
      <c r="C360" s="11" t="s">
        <v>53</v>
      </c>
      <c r="D360" s="11" t="s">
        <v>54</v>
      </c>
      <c r="E360" s="15" t="s">
        <v>20</v>
      </c>
      <c r="F360" s="11" t="s">
        <v>21</v>
      </c>
      <c r="G360" s="12" t="s">
        <v>22</v>
      </c>
      <c r="H360" s="11" t="s">
        <v>55</v>
      </c>
      <c r="I360" s="16" t="n">
        <v>10663</v>
      </c>
      <c r="J360" s="16" t="n">
        <v>950405</v>
      </c>
    </row>
    <row r="361" customFormat="false" ht="15" hidden="false" customHeight="true" outlineLevel="0" collapsed="false">
      <c r="A361" s="14" t="n">
        <v>2022</v>
      </c>
      <c r="B361" s="14" t="n">
        <v>7</v>
      </c>
      <c r="C361" s="11" t="s">
        <v>53</v>
      </c>
      <c r="D361" s="11" t="s">
        <v>54</v>
      </c>
      <c r="E361" s="15" t="s">
        <v>23</v>
      </c>
      <c r="F361" s="11" t="s">
        <v>24</v>
      </c>
      <c r="G361" s="12" t="s">
        <v>25</v>
      </c>
      <c r="H361" s="11" t="s">
        <v>55</v>
      </c>
      <c r="I361" s="16" t="n">
        <v>30715</v>
      </c>
      <c r="J361" s="16" t="n">
        <v>4137757</v>
      </c>
    </row>
    <row r="362" customFormat="false" ht="15" hidden="false" customHeight="true" outlineLevel="0" collapsed="false">
      <c r="A362" s="14" t="n">
        <v>2022</v>
      </c>
      <c r="B362" s="14" t="n">
        <v>7</v>
      </c>
      <c r="C362" s="11" t="s">
        <v>53</v>
      </c>
      <c r="D362" s="11" t="s">
        <v>54</v>
      </c>
      <c r="E362" s="15" t="s">
        <v>23</v>
      </c>
      <c r="F362" s="11" t="s">
        <v>24</v>
      </c>
      <c r="G362" s="12" t="s">
        <v>25</v>
      </c>
      <c r="H362" s="11" t="s">
        <v>56</v>
      </c>
      <c r="I362" s="16" t="n">
        <v>2000</v>
      </c>
      <c r="J362" s="16" t="n">
        <v>181523</v>
      </c>
    </row>
    <row r="363" customFormat="false" ht="15" hidden="false" customHeight="true" outlineLevel="0" collapsed="false">
      <c r="A363" s="14" t="n">
        <v>2022</v>
      </c>
      <c r="B363" s="14" t="n">
        <v>7</v>
      </c>
      <c r="C363" s="11" t="s">
        <v>53</v>
      </c>
      <c r="D363" s="11" t="s">
        <v>54</v>
      </c>
      <c r="E363" s="15" t="s">
        <v>20</v>
      </c>
      <c r="F363" s="11" t="s">
        <v>21</v>
      </c>
      <c r="G363" s="12" t="s">
        <v>22</v>
      </c>
      <c r="H363" s="11" t="s">
        <v>57</v>
      </c>
      <c r="I363" s="16" t="n">
        <v>554</v>
      </c>
      <c r="J363" s="16" t="n">
        <v>37238</v>
      </c>
    </row>
    <row r="364" customFormat="false" ht="15" hidden="false" customHeight="true" outlineLevel="0" collapsed="false">
      <c r="A364" s="14" t="n">
        <v>2022</v>
      </c>
      <c r="B364" s="14" t="n">
        <v>8</v>
      </c>
      <c r="C364" s="11" t="s">
        <v>53</v>
      </c>
      <c r="D364" s="11" t="s">
        <v>54</v>
      </c>
      <c r="E364" s="15" t="s">
        <v>23</v>
      </c>
      <c r="F364" s="11" t="s">
        <v>24</v>
      </c>
      <c r="G364" s="12" t="s">
        <v>25</v>
      </c>
      <c r="H364" s="11" t="s">
        <v>55</v>
      </c>
      <c r="I364" s="16" t="n">
        <v>11690</v>
      </c>
      <c r="J364" s="16" t="n">
        <v>360692</v>
      </c>
    </row>
    <row r="365" customFormat="false" ht="15" hidden="false" customHeight="true" outlineLevel="0" collapsed="false">
      <c r="A365" s="14" t="n">
        <v>2022</v>
      </c>
      <c r="B365" s="14" t="n">
        <v>8</v>
      </c>
      <c r="C365" s="11" t="s">
        <v>53</v>
      </c>
      <c r="D365" s="11" t="s">
        <v>54</v>
      </c>
      <c r="E365" s="15" t="s">
        <v>20</v>
      </c>
      <c r="F365" s="11" t="s">
        <v>21</v>
      </c>
      <c r="G365" s="12" t="s">
        <v>22</v>
      </c>
      <c r="H365" s="11" t="s">
        <v>56</v>
      </c>
      <c r="I365" s="16" t="n">
        <v>2981</v>
      </c>
      <c r="J365" s="16" t="n">
        <v>862618</v>
      </c>
    </row>
    <row r="366" customFormat="false" ht="15" hidden="false" customHeight="true" outlineLevel="0" collapsed="false">
      <c r="A366" s="14" t="n">
        <v>2022</v>
      </c>
      <c r="B366" s="14" t="n">
        <v>8</v>
      </c>
      <c r="C366" s="11" t="s">
        <v>53</v>
      </c>
      <c r="D366" s="11" t="s">
        <v>54</v>
      </c>
      <c r="E366" s="15" t="s">
        <v>27</v>
      </c>
      <c r="F366" s="11" t="s">
        <v>28</v>
      </c>
      <c r="G366" s="12" t="s">
        <v>29</v>
      </c>
      <c r="H366" s="11" t="s">
        <v>56</v>
      </c>
      <c r="I366" s="16" t="n">
        <v>4181</v>
      </c>
      <c r="J366" s="16" t="n">
        <v>1263587</v>
      </c>
    </row>
    <row r="367" customFormat="false" ht="15" hidden="false" customHeight="true" outlineLevel="0" collapsed="false">
      <c r="A367" s="14" t="n">
        <v>2022</v>
      </c>
      <c r="B367" s="14" t="n">
        <v>8</v>
      </c>
      <c r="C367" s="11" t="s">
        <v>53</v>
      </c>
      <c r="D367" s="11" t="s">
        <v>54</v>
      </c>
      <c r="E367" s="15" t="s">
        <v>20</v>
      </c>
      <c r="F367" s="11" t="s">
        <v>21</v>
      </c>
      <c r="G367" s="12" t="s">
        <v>22</v>
      </c>
      <c r="H367" s="11" t="s">
        <v>57</v>
      </c>
      <c r="I367" s="16" t="n">
        <v>596</v>
      </c>
      <c r="J367" s="16" t="n">
        <v>41113</v>
      </c>
    </row>
    <row r="368" customFormat="false" ht="15" hidden="false" customHeight="true" outlineLevel="0" collapsed="false">
      <c r="A368" s="14" t="n">
        <v>2022</v>
      </c>
      <c r="B368" s="14" t="n">
        <v>8</v>
      </c>
      <c r="C368" s="11" t="s">
        <v>53</v>
      </c>
      <c r="D368" s="11" t="s">
        <v>54</v>
      </c>
      <c r="E368" s="15" t="s">
        <v>34</v>
      </c>
      <c r="F368" s="11" t="s">
        <v>65</v>
      </c>
      <c r="G368" s="12" t="s">
        <v>36</v>
      </c>
      <c r="H368" s="11" t="s">
        <v>58</v>
      </c>
      <c r="I368" s="16" t="n">
        <v>69</v>
      </c>
      <c r="J368" s="16" t="n">
        <v>42444</v>
      </c>
    </row>
    <row r="369" customFormat="false" ht="15" hidden="false" customHeight="true" outlineLevel="0" collapsed="false">
      <c r="A369" s="14" t="n">
        <v>2022</v>
      </c>
      <c r="B369" s="14" t="n">
        <v>8</v>
      </c>
      <c r="C369" s="11" t="s">
        <v>53</v>
      </c>
      <c r="D369" s="11" t="s">
        <v>54</v>
      </c>
      <c r="E369" s="15" t="s">
        <v>27</v>
      </c>
      <c r="F369" s="11" t="s">
        <v>28</v>
      </c>
      <c r="G369" s="12" t="s">
        <v>29</v>
      </c>
      <c r="H369" s="11" t="s">
        <v>60</v>
      </c>
      <c r="I369" s="16" t="n">
        <v>17</v>
      </c>
      <c r="J369" s="16" t="n">
        <v>22767</v>
      </c>
    </row>
    <row r="370" customFormat="false" ht="15" hidden="false" customHeight="true" outlineLevel="0" collapsed="false">
      <c r="A370" s="14" t="n">
        <v>2022</v>
      </c>
      <c r="B370" s="14" t="n">
        <v>8</v>
      </c>
      <c r="C370" s="11" t="s">
        <v>53</v>
      </c>
      <c r="D370" s="11" t="s">
        <v>54</v>
      </c>
      <c r="E370" s="15" t="s">
        <v>27</v>
      </c>
      <c r="F370" s="11" t="s">
        <v>28</v>
      </c>
      <c r="G370" s="12" t="s">
        <v>29</v>
      </c>
      <c r="H370" s="11" t="s">
        <v>61</v>
      </c>
      <c r="I370" s="16" t="n">
        <v>372</v>
      </c>
      <c r="J370" s="16" t="n">
        <v>145000</v>
      </c>
    </row>
    <row r="371" customFormat="false" ht="15" hidden="false" customHeight="true" outlineLevel="0" collapsed="false">
      <c r="A371" s="14" t="n">
        <v>2022</v>
      </c>
      <c r="B371" s="14" t="n">
        <v>9</v>
      </c>
      <c r="C371" s="11" t="s">
        <v>53</v>
      </c>
      <c r="D371" s="11" t="s">
        <v>54</v>
      </c>
      <c r="E371" s="15" t="s">
        <v>23</v>
      </c>
      <c r="F371" s="11" t="s">
        <v>24</v>
      </c>
      <c r="G371" s="12" t="s">
        <v>25</v>
      </c>
      <c r="H371" s="11" t="s">
        <v>55</v>
      </c>
      <c r="I371" s="16" t="n">
        <v>5137</v>
      </c>
      <c r="J371" s="16" t="n">
        <v>654240</v>
      </c>
    </row>
    <row r="372" customFormat="false" ht="15" hidden="false" customHeight="true" outlineLevel="0" collapsed="false">
      <c r="A372" s="14" t="n">
        <v>2022</v>
      </c>
      <c r="B372" s="14" t="n">
        <v>9</v>
      </c>
      <c r="C372" s="11" t="s">
        <v>53</v>
      </c>
      <c r="D372" s="11" t="s">
        <v>54</v>
      </c>
      <c r="E372" s="15" t="s">
        <v>27</v>
      </c>
      <c r="F372" s="11" t="s">
        <v>28</v>
      </c>
      <c r="G372" s="12" t="s">
        <v>29</v>
      </c>
      <c r="H372" s="11" t="s">
        <v>56</v>
      </c>
      <c r="I372" s="16" t="n">
        <v>3568</v>
      </c>
      <c r="J372" s="16" t="n">
        <v>1884885</v>
      </c>
    </row>
    <row r="373" customFormat="false" ht="15" hidden="false" customHeight="true" outlineLevel="0" collapsed="false">
      <c r="A373" s="14" t="n">
        <v>2022</v>
      </c>
      <c r="B373" s="14" t="n">
        <v>9</v>
      </c>
      <c r="C373" s="11" t="s">
        <v>53</v>
      </c>
      <c r="D373" s="11" t="s">
        <v>54</v>
      </c>
      <c r="E373" s="15" t="s">
        <v>20</v>
      </c>
      <c r="F373" s="11" t="s">
        <v>21</v>
      </c>
      <c r="G373" s="12" t="s">
        <v>22</v>
      </c>
      <c r="H373" s="11" t="s">
        <v>57</v>
      </c>
      <c r="I373" s="16" t="n">
        <v>1552</v>
      </c>
      <c r="J373" s="16" t="n">
        <v>107319</v>
      </c>
    </row>
    <row r="374" customFormat="false" ht="15" hidden="false" customHeight="true" outlineLevel="0" collapsed="false">
      <c r="A374" s="14" t="n">
        <v>2022</v>
      </c>
      <c r="B374" s="14" t="n">
        <v>9</v>
      </c>
      <c r="C374" s="11" t="s">
        <v>53</v>
      </c>
      <c r="D374" s="11" t="s">
        <v>54</v>
      </c>
      <c r="E374" s="15" t="s">
        <v>27</v>
      </c>
      <c r="F374" s="11" t="s">
        <v>28</v>
      </c>
      <c r="G374" s="12" t="s">
        <v>29</v>
      </c>
      <c r="H374" s="11" t="s">
        <v>57</v>
      </c>
      <c r="I374" s="16" t="n">
        <v>44</v>
      </c>
      <c r="J374" s="16" t="n">
        <v>37800</v>
      </c>
    </row>
    <row r="375" customFormat="false" ht="15" hidden="false" customHeight="true" outlineLevel="0" collapsed="false">
      <c r="A375" s="14" t="n">
        <v>2022</v>
      </c>
      <c r="B375" s="14" t="n">
        <v>9</v>
      </c>
      <c r="C375" s="11" t="s">
        <v>53</v>
      </c>
      <c r="D375" s="11" t="s">
        <v>54</v>
      </c>
      <c r="E375" s="15" t="s">
        <v>27</v>
      </c>
      <c r="F375" s="11" t="s">
        <v>28</v>
      </c>
      <c r="G375" s="12" t="s">
        <v>29</v>
      </c>
      <c r="H375" s="11" t="s">
        <v>58</v>
      </c>
      <c r="I375" s="16" t="n">
        <v>173</v>
      </c>
      <c r="J375" s="16" t="n">
        <v>47403</v>
      </c>
    </row>
    <row r="376" customFormat="false" ht="15" hidden="false" customHeight="true" outlineLevel="0" collapsed="false">
      <c r="A376" s="14" t="n">
        <v>2022</v>
      </c>
      <c r="B376" s="14" t="n">
        <v>9</v>
      </c>
      <c r="C376" s="11" t="s">
        <v>53</v>
      </c>
      <c r="D376" s="11" t="s">
        <v>54</v>
      </c>
      <c r="E376" s="15" t="s">
        <v>27</v>
      </c>
      <c r="F376" s="11" t="s">
        <v>28</v>
      </c>
      <c r="G376" s="12" t="s">
        <v>29</v>
      </c>
      <c r="H376" s="11" t="s">
        <v>59</v>
      </c>
      <c r="I376" s="16" t="n">
        <v>46</v>
      </c>
      <c r="J376" s="16" t="n">
        <v>38815</v>
      </c>
    </row>
    <row r="377" customFormat="false" ht="15" hidden="false" customHeight="true" outlineLevel="0" collapsed="false">
      <c r="A377" s="14" t="n">
        <v>2022</v>
      </c>
      <c r="B377" s="14" t="n">
        <v>9</v>
      </c>
      <c r="C377" s="11" t="s">
        <v>53</v>
      </c>
      <c r="D377" s="11" t="s">
        <v>54</v>
      </c>
      <c r="E377" s="15" t="s">
        <v>34</v>
      </c>
      <c r="F377" s="11" t="s">
        <v>65</v>
      </c>
      <c r="G377" s="12" t="s">
        <v>36</v>
      </c>
      <c r="H377" s="11" t="s">
        <v>60</v>
      </c>
      <c r="I377" s="16" t="n">
        <v>1</v>
      </c>
      <c r="J377" s="16" t="n">
        <v>6726</v>
      </c>
    </row>
    <row r="378" customFormat="false" ht="15" hidden="false" customHeight="true" outlineLevel="0" collapsed="false">
      <c r="A378" s="14" t="n">
        <v>2022</v>
      </c>
      <c r="B378" s="14" t="n">
        <v>9</v>
      </c>
      <c r="C378" s="11" t="s">
        <v>53</v>
      </c>
      <c r="D378" s="11" t="s">
        <v>54</v>
      </c>
      <c r="E378" s="15" t="s">
        <v>27</v>
      </c>
      <c r="F378" s="11" t="s">
        <v>28</v>
      </c>
      <c r="G378" s="12" t="s">
        <v>29</v>
      </c>
      <c r="H378" s="11" t="s">
        <v>61</v>
      </c>
      <c r="I378" s="16" t="n">
        <v>350</v>
      </c>
      <c r="J378" s="16" t="n">
        <v>171774</v>
      </c>
    </row>
    <row r="379" customFormat="false" ht="15" hidden="false" customHeight="true" outlineLevel="0" collapsed="false">
      <c r="A379" s="14" t="n">
        <v>2022</v>
      </c>
      <c r="B379" s="14" t="n">
        <v>10</v>
      </c>
      <c r="C379" s="11" t="s">
        <v>53</v>
      </c>
      <c r="D379" s="11" t="s">
        <v>54</v>
      </c>
      <c r="E379" s="15" t="s">
        <v>23</v>
      </c>
      <c r="F379" s="11" t="s">
        <v>24</v>
      </c>
      <c r="G379" s="12" t="s">
        <v>25</v>
      </c>
      <c r="H379" s="11" t="s">
        <v>56</v>
      </c>
      <c r="I379" s="16" t="n">
        <v>1519</v>
      </c>
      <c r="J379" s="16" t="n">
        <v>144336</v>
      </c>
    </row>
    <row r="380" customFormat="false" ht="15" hidden="false" customHeight="true" outlineLevel="0" collapsed="false">
      <c r="A380" s="14" t="n">
        <v>2022</v>
      </c>
      <c r="B380" s="14" t="n">
        <v>10</v>
      </c>
      <c r="C380" s="11" t="s">
        <v>53</v>
      </c>
      <c r="D380" s="11" t="s">
        <v>54</v>
      </c>
      <c r="E380" s="15" t="s">
        <v>27</v>
      </c>
      <c r="F380" s="11" t="s">
        <v>28</v>
      </c>
      <c r="G380" s="12" t="s">
        <v>29</v>
      </c>
      <c r="H380" s="11" t="s">
        <v>56</v>
      </c>
      <c r="I380" s="16" t="n">
        <v>2486</v>
      </c>
      <c r="J380" s="16" t="n">
        <v>1259247</v>
      </c>
    </row>
    <row r="381" customFormat="false" ht="15" hidden="false" customHeight="true" outlineLevel="0" collapsed="false">
      <c r="A381" s="14" t="n">
        <v>2022</v>
      </c>
      <c r="B381" s="14" t="n">
        <v>10</v>
      </c>
      <c r="C381" s="11" t="s">
        <v>53</v>
      </c>
      <c r="D381" s="11" t="s">
        <v>54</v>
      </c>
      <c r="E381" s="15" t="s">
        <v>31</v>
      </c>
      <c r="F381" s="11" t="s">
        <v>64</v>
      </c>
      <c r="G381" s="12" t="s">
        <v>33</v>
      </c>
      <c r="H381" s="11" t="s">
        <v>56</v>
      </c>
      <c r="I381" s="16" t="n">
        <v>1000</v>
      </c>
      <c r="J381" s="16" t="n">
        <v>437800</v>
      </c>
    </row>
    <row r="382" customFormat="false" ht="15" hidden="false" customHeight="true" outlineLevel="0" collapsed="false">
      <c r="A382" s="14" t="n">
        <v>2022</v>
      </c>
      <c r="B382" s="14" t="n">
        <v>10</v>
      </c>
      <c r="C382" s="11" t="s">
        <v>53</v>
      </c>
      <c r="D382" s="11" t="s">
        <v>54</v>
      </c>
      <c r="E382" s="15" t="s">
        <v>20</v>
      </c>
      <c r="F382" s="11" t="s">
        <v>21</v>
      </c>
      <c r="G382" s="12" t="s">
        <v>22</v>
      </c>
      <c r="H382" s="11" t="s">
        <v>57</v>
      </c>
      <c r="I382" s="16" t="n">
        <v>1825</v>
      </c>
      <c r="J382" s="16" t="n">
        <v>125662</v>
      </c>
    </row>
    <row r="383" customFormat="false" ht="15" hidden="false" customHeight="true" outlineLevel="0" collapsed="false">
      <c r="A383" s="14" t="n">
        <v>2022</v>
      </c>
      <c r="B383" s="14" t="n">
        <v>10</v>
      </c>
      <c r="C383" s="11" t="s">
        <v>53</v>
      </c>
      <c r="D383" s="11" t="s">
        <v>54</v>
      </c>
      <c r="E383" s="15" t="s">
        <v>20</v>
      </c>
      <c r="F383" s="11" t="s">
        <v>21</v>
      </c>
      <c r="G383" s="12" t="s">
        <v>22</v>
      </c>
      <c r="H383" s="11" t="s">
        <v>58</v>
      </c>
      <c r="I383" s="16" t="n">
        <v>8237</v>
      </c>
      <c r="J383" s="16" t="n">
        <v>213555</v>
      </c>
    </row>
    <row r="384" customFormat="false" ht="15" hidden="false" customHeight="true" outlineLevel="0" collapsed="false">
      <c r="A384" s="14" t="n">
        <v>2022</v>
      </c>
      <c r="B384" s="14" t="n">
        <v>10</v>
      </c>
      <c r="C384" s="11" t="s">
        <v>53</v>
      </c>
      <c r="D384" s="11" t="s">
        <v>54</v>
      </c>
      <c r="E384" s="15" t="s">
        <v>23</v>
      </c>
      <c r="F384" s="11" t="s">
        <v>24</v>
      </c>
      <c r="G384" s="12" t="s">
        <v>25</v>
      </c>
      <c r="H384" s="11" t="s">
        <v>59</v>
      </c>
      <c r="I384" s="16" t="n">
        <v>6508</v>
      </c>
      <c r="J384" s="16" t="n">
        <v>863820</v>
      </c>
    </row>
    <row r="385" customFormat="false" ht="15" hidden="false" customHeight="true" outlineLevel="0" collapsed="false">
      <c r="A385" s="14" t="n">
        <v>2022</v>
      </c>
      <c r="B385" s="14" t="n">
        <v>10</v>
      </c>
      <c r="C385" s="11" t="s">
        <v>53</v>
      </c>
      <c r="D385" s="11" t="s">
        <v>54</v>
      </c>
      <c r="E385" s="15" t="s">
        <v>31</v>
      </c>
      <c r="F385" s="11" t="s">
        <v>64</v>
      </c>
      <c r="G385" s="12" t="s">
        <v>33</v>
      </c>
      <c r="H385" s="11" t="s">
        <v>60</v>
      </c>
      <c r="I385" s="16" t="n">
        <v>30</v>
      </c>
      <c r="J385" s="16" t="n">
        <v>18334</v>
      </c>
    </row>
    <row r="386" customFormat="false" ht="15" hidden="false" customHeight="true" outlineLevel="0" collapsed="false">
      <c r="A386" s="14" t="n">
        <v>2022</v>
      </c>
      <c r="B386" s="14" t="n">
        <v>11</v>
      </c>
      <c r="C386" s="11" t="s">
        <v>53</v>
      </c>
      <c r="D386" s="11" t="s">
        <v>54</v>
      </c>
      <c r="E386" s="15" t="s">
        <v>23</v>
      </c>
      <c r="F386" s="11" t="s">
        <v>24</v>
      </c>
      <c r="G386" s="12" t="s">
        <v>25</v>
      </c>
      <c r="H386" s="11" t="s">
        <v>55</v>
      </c>
      <c r="I386" s="16" t="n">
        <v>8570</v>
      </c>
      <c r="J386" s="16" t="n">
        <v>1139710</v>
      </c>
    </row>
    <row r="387" customFormat="false" ht="15" hidden="false" customHeight="true" outlineLevel="0" collapsed="false">
      <c r="A387" s="14" t="n">
        <v>2022</v>
      </c>
      <c r="B387" s="14" t="n">
        <v>11</v>
      </c>
      <c r="C387" s="11" t="s">
        <v>53</v>
      </c>
      <c r="D387" s="11" t="s">
        <v>54</v>
      </c>
      <c r="E387" s="15" t="s">
        <v>23</v>
      </c>
      <c r="F387" s="11" t="s">
        <v>24</v>
      </c>
      <c r="G387" s="12" t="s">
        <v>25</v>
      </c>
      <c r="H387" s="11" t="s">
        <v>56</v>
      </c>
      <c r="I387" s="16" t="n">
        <v>5000</v>
      </c>
      <c r="J387" s="16" t="n">
        <v>550000</v>
      </c>
    </row>
    <row r="388" customFormat="false" ht="15" hidden="false" customHeight="true" outlineLevel="0" collapsed="false">
      <c r="A388" s="14" t="n">
        <v>2022</v>
      </c>
      <c r="B388" s="14" t="n">
        <v>11</v>
      </c>
      <c r="C388" s="11" t="s">
        <v>53</v>
      </c>
      <c r="D388" s="11" t="s">
        <v>54</v>
      </c>
      <c r="E388" s="15" t="s">
        <v>20</v>
      </c>
      <c r="F388" s="11" t="s">
        <v>21</v>
      </c>
      <c r="G388" s="12" t="s">
        <v>22</v>
      </c>
      <c r="H388" s="11" t="s">
        <v>57</v>
      </c>
      <c r="I388" s="16" t="n">
        <v>793</v>
      </c>
      <c r="J388" s="16" t="n">
        <v>52852</v>
      </c>
    </row>
    <row r="389" customFormat="false" ht="15" hidden="false" customHeight="true" outlineLevel="0" collapsed="false">
      <c r="A389" s="14" t="n">
        <v>2022</v>
      </c>
      <c r="B389" s="14" t="n">
        <v>11</v>
      </c>
      <c r="C389" s="11" t="s">
        <v>53</v>
      </c>
      <c r="D389" s="11" t="s">
        <v>54</v>
      </c>
      <c r="E389" s="15" t="s">
        <v>27</v>
      </c>
      <c r="F389" s="11" t="s">
        <v>28</v>
      </c>
      <c r="G389" s="12" t="s">
        <v>29</v>
      </c>
      <c r="H389" s="11" t="s">
        <v>57</v>
      </c>
      <c r="I389" s="16" t="n">
        <v>6</v>
      </c>
      <c r="J389" s="16" t="n">
        <v>6105</v>
      </c>
    </row>
    <row r="390" customFormat="false" ht="15" hidden="false" customHeight="true" outlineLevel="0" collapsed="false">
      <c r="A390" s="14" t="n">
        <v>2022</v>
      </c>
      <c r="B390" s="14" t="n">
        <v>11</v>
      </c>
      <c r="C390" s="11" t="s">
        <v>53</v>
      </c>
      <c r="D390" s="11" t="s">
        <v>54</v>
      </c>
      <c r="E390" s="15" t="s">
        <v>20</v>
      </c>
      <c r="F390" s="11" t="s">
        <v>21</v>
      </c>
      <c r="G390" s="12" t="s">
        <v>22</v>
      </c>
      <c r="H390" s="11" t="s">
        <v>58</v>
      </c>
      <c r="I390" s="16" t="n">
        <v>4968</v>
      </c>
      <c r="J390" s="16" t="n">
        <v>125658</v>
      </c>
    </row>
    <row r="391" customFormat="false" ht="15" hidden="false" customHeight="true" outlineLevel="0" collapsed="false">
      <c r="A391" s="14" t="n">
        <v>2022</v>
      </c>
      <c r="B391" s="14" t="n">
        <v>11</v>
      </c>
      <c r="C391" s="11" t="s">
        <v>53</v>
      </c>
      <c r="D391" s="11" t="s">
        <v>54</v>
      </c>
      <c r="E391" s="15" t="s">
        <v>27</v>
      </c>
      <c r="F391" s="11" t="s">
        <v>28</v>
      </c>
      <c r="G391" s="12" t="s">
        <v>29</v>
      </c>
      <c r="H391" s="11" t="s">
        <v>59</v>
      </c>
      <c r="I391" s="16" t="n">
        <v>42</v>
      </c>
      <c r="J391" s="16" t="n">
        <v>35406</v>
      </c>
    </row>
    <row r="392" customFormat="false" ht="15" hidden="false" customHeight="true" outlineLevel="0" collapsed="false">
      <c r="A392" s="14" t="n">
        <v>2022</v>
      </c>
      <c r="B392" s="14" t="n">
        <v>11</v>
      </c>
      <c r="C392" s="11" t="s">
        <v>53</v>
      </c>
      <c r="D392" s="11" t="s">
        <v>54</v>
      </c>
      <c r="E392" s="15" t="s">
        <v>27</v>
      </c>
      <c r="F392" s="11" t="s">
        <v>28</v>
      </c>
      <c r="G392" s="12" t="s">
        <v>29</v>
      </c>
      <c r="H392" s="11" t="s">
        <v>60</v>
      </c>
      <c r="I392" s="16" t="n">
        <v>25</v>
      </c>
      <c r="J392" s="16" t="n">
        <v>12500</v>
      </c>
    </row>
    <row r="393" customFormat="false" ht="15" hidden="false" customHeight="true" outlineLevel="0" collapsed="false">
      <c r="A393" s="14" t="n">
        <v>2022</v>
      </c>
      <c r="B393" s="14" t="n">
        <v>11</v>
      </c>
      <c r="C393" s="11" t="s">
        <v>53</v>
      </c>
      <c r="D393" s="11" t="s">
        <v>54</v>
      </c>
      <c r="E393" s="15" t="s">
        <v>27</v>
      </c>
      <c r="F393" s="11" t="s">
        <v>28</v>
      </c>
      <c r="G393" s="12" t="s">
        <v>29</v>
      </c>
      <c r="H393" s="11" t="s">
        <v>61</v>
      </c>
      <c r="I393" s="16" t="n">
        <v>100</v>
      </c>
      <c r="J393" s="16" t="n">
        <v>40000</v>
      </c>
    </row>
    <row r="394" customFormat="false" ht="15" hidden="false" customHeight="true" outlineLevel="0" collapsed="false">
      <c r="A394" s="14" t="n">
        <v>2022</v>
      </c>
      <c r="B394" s="14" t="n">
        <v>12</v>
      </c>
      <c r="C394" s="11" t="s">
        <v>53</v>
      </c>
      <c r="D394" s="11" t="s">
        <v>54</v>
      </c>
      <c r="E394" s="15" t="s">
        <v>20</v>
      </c>
      <c r="F394" s="11" t="s">
        <v>21</v>
      </c>
      <c r="G394" s="12" t="s">
        <v>22</v>
      </c>
      <c r="H394" s="11" t="s">
        <v>55</v>
      </c>
      <c r="I394" s="16" t="n">
        <v>9413</v>
      </c>
      <c r="J394" s="16" t="n">
        <v>1120672</v>
      </c>
    </row>
    <row r="395" customFormat="false" ht="15" hidden="false" customHeight="true" outlineLevel="0" collapsed="false">
      <c r="A395" s="14" t="n">
        <v>2022</v>
      </c>
      <c r="B395" s="14" t="n">
        <v>12</v>
      </c>
      <c r="C395" s="11" t="s">
        <v>53</v>
      </c>
      <c r="D395" s="11" t="s">
        <v>54</v>
      </c>
      <c r="E395" s="15" t="s">
        <v>23</v>
      </c>
      <c r="F395" s="11" t="s">
        <v>24</v>
      </c>
      <c r="G395" s="12" t="s">
        <v>25</v>
      </c>
      <c r="H395" s="11" t="s">
        <v>55</v>
      </c>
      <c r="I395" s="16" t="n">
        <v>46410</v>
      </c>
      <c r="J395" s="16" t="n">
        <v>4038356</v>
      </c>
    </row>
    <row r="396" customFormat="false" ht="15" hidden="false" customHeight="true" outlineLevel="0" collapsed="false">
      <c r="A396" s="14" t="n">
        <v>2022</v>
      </c>
      <c r="B396" s="14" t="n">
        <v>12</v>
      </c>
      <c r="C396" s="11" t="s">
        <v>53</v>
      </c>
      <c r="D396" s="11" t="s">
        <v>54</v>
      </c>
      <c r="E396" s="15" t="s">
        <v>20</v>
      </c>
      <c r="F396" s="11" t="s">
        <v>21</v>
      </c>
      <c r="G396" s="12" t="s">
        <v>22</v>
      </c>
      <c r="H396" s="11" t="s">
        <v>56</v>
      </c>
      <c r="I396" s="16" t="n">
        <v>2000</v>
      </c>
      <c r="J396" s="16" t="n">
        <v>172424</v>
      </c>
    </row>
    <row r="397" customFormat="false" ht="15" hidden="false" customHeight="true" outlineLevel="0" collapsed="false">
      <c r="A397" s="14" t="n">
        <v>2022</v>
      </c>
      <c r="B397" s="14" t="n">
        <v>12</v>
      </c>
      <c r="C397" s="11" t="s">
        <v>53</v>
      </c>
      <c r="D397" s="11" t="s">
        <v>54</v>
      </c>
      <c r="E397" s="15" t="s">
        <v>23</v>
      </c>
      <c r="F397" s="11" t="s">
        <v>24</v>
      </c>
      <c r="G397" s="12" t="s">
        <v>25</v>
      </c>
      <c r="H397" s="11" t="s">
        <v>56</v>
      </c>
      <c r="I397" s="16" t="n">
        <v>17720</v>
      </c>
      <c r="J397" s="16" t="n">
        <v>1768891</v>
      </c>
    </row>
    <row r="398" customFormat="false" ht="15" hidden="false" customHeight="true" outlineLevel="0" collapsed="false">
      <c r="A398" s="14" t="n">
        <v>2022</v>
      </c>
      <c r="B398" s="14" t="n">
        <v>12</v>
      </c>
      <c r="C398" s="11" t="s">
        <v>53</v>
      </c>
      <c r="D398" s="11" t="s">
        <v>54</v>
      </c>
      <c r="E398" s="15" t="s">
        <v>23</v>
      </c>
      <c r="F398" s="11" t="s">
        <v>24</v>
      </c>
      <c r="G398" s="12" t="s">
        <v>25</v>
      </c>
      <c r="H398" s="11" t="s">
        <v>58</v>
      </c>
      <c r="I398" s="16" t="n">
        <v>303</v>
      </c>
      <c r="J398" s="16" t="n">
        <v>39225</v>
      </c>
    </row>
    <row r="399" customFormat="false" ht="15" hidden="false" customHeight="true" outlineLevel="0" collapsed="false">
      <c r="A399" s="14" t="n">
        <v>2023</v>
      </c>
      <c r="B399" s="14" t="n">
        <v>1</v>
      </c>
      <c r="C399" s="11" t="s">
        <v>53</v>
      </c>
      <c r="D399" s="11" t="s">
        <v>54</v>
      </c>
      <c r="E399" s="15" t="s">
        <v>20</v>
      </c>
      <c r="F399" s="11" t="s">
        <v>21</v>
      </c>
      <c r="G399" s="12" t="s">
        <v>22</v>
      </c>
      <c r="H399" s="11" t="s">
        <v>55</v>
      </c>
      <c r="I399" s="16" t="n">
        <v>9858</v>
      </c>
      <c r="J399" s="16" t="n">
        <v>1174299</v>
      </c>
    </row>
    <row r="400" customFormat="false" ht="15" hidden="false" customHeight="true" outlineLevel="0" collapsed="false">
      <c r="A400" s="14" t="n">
        <v>2023</v>
      </c>
      <c r="B400" s="14" t="n">
        <v>1</v>
      </c>
      <c r="C400" s="11" t="s">
        <v>53</v>
      </c>
      <c r="D400" s="11" t="s">
        <v>54</v>
      </c>
      <c r="E400" s="15" t="s">
        <v>23</v>
      </c>
      <c r="F400" s="11" t="s">
        <v>24</v>
      </c>
      <c r="G400" s="12" t="s">
        <v>25</v>
      </c>
      <c r="H400" s="11" t="s">
        <v>55</v>
      </c>
      <c r="I400" s="16" t="n">
        <v>72553</v>
      </c>
      <c r="J400" s="16" t="n">
        <v>6139350</v>
      </c>
    </row>
    <row r="401" customFormat="false" ht="15" hidden="false" customHeight="true" outlineLevel="0" collapsed="false">
      <c r="A401" s="14" t="n">
        <v>2023</v>
      </c>
      <c r="B401" s="14" t="n">
        <v>1</v>
      </c>
      <c r="C401" s="11" t="s">
        <v>53</v>
      </c>
      <c r="D401" s="11" t="s">
        <v>54</v>
      </c>
      <c r="E401" s="15" t="s">
        <v>23</v>
      </c>
      <c r="F401" s="11" t="s">
        <v>24</v>
      </c>
      <c r="G401" s="12" t="s">
        <v>25</v>
      </c>
      <c r="H401" s="11" t="s">
        <v>56</v>
      </c>
      <c r="I401" s="16" t="n">
        <v>10500</v>
      </c>
      <c r="J401" s="16" t="n">
        <v>1094175</v>
      </c>
    </row>
    <row r="402" customFormat="false" ht="15" hidden="false" customHeight="true" outlineLevel="0" collapsed="false">
      <c r="A402" s="14" t="n">
        <v>2023</v>
      </c>
      <c r="B402" s="14" t="n">
        <v>1</v>
      </c>
      <c r="C402" s="11" t="s">
        <v>53</v>
      </c>
      <c r="D402" s="11" t="s">
        <v>54</v>
      </c>
      <c r="E402" s="15" t="s">
        <v>27</v>
      </c>
      <c r="F402" s="11" t="s">
        <v>28</v>
      </c>
      <c r="G402" s="12" t="s">
        <v>29</v>
      </c>
      <c r="H402" s="11" t="s">
        <v>56</v>
      </c>
      <c r="I402" s="16" t="n">
        <v>3593</v>
      </c>
      <c r="J402" s="16" t="n">
        <v>1904177</v>
      </c>
    </row>
    <row r="403" customFormat="false" ht="15" hidden="false" customHeight="true" outlineLevel="0" collapsed="false">
      <c r="A403" s="14" t="n">
        <v>2023</v>
      </c>
      <c r="B403" s="14" t="n">
        <v>1</v>
      </c>
      <c r="C403" s="11" t="s">
        <v>53</v>
      </c>
      <c r="D403" s="11" t="s">
        <v>54</v>
      </c>
      <c r="E403" s="15" t="s">
        <v>31</v>
      </c>
      <c r="F403" s="11" t="s">
        <v>64</v>
      </c>
      <c r="G403" s="12" t="s">
        <v>33</v>
      </c>
      <c r="H403" s="11" t="s">
        <v>56</v>
      </c>
      <c r="I403" s="16" t="n">
        <v>1000</v>
      </c>
      <c r="J403" s="16" t="n">
        <v>395208</v>
      </c>
    </row>
    <row r="404" customFormat="false" ht="15" hidden="false" customHeight="true" outlineLevel="0" collapsed="false">
      <c r="A404" s="14" t="n">
        <v>2023</v>
      </c>
      <c r="B404" s="14" t="n">
        <v>1</v>
      </c>
      <c r="C404" s="11" t="s">
        <v>53</v>
      </c>
      <c r="D404" s="11" t="s">
        <v>54</v>
      </c>
      <c r="E404" s="15" t="s">
        <v>20</v>
      </c>
      <c r="F404" s="11" t="s">
        <v>21</v>
      </c>
      <c r="G404" s="12" t="s">
        <v>22</v>
      </c>
      <c r="H404" s="11" t="s">
        <v>57</v>
      </c>
      <c r="I404" s="16" t="n">
        <v>1215</v>
      </c>
      <c r="J404" s="16" t="n">
        <v>77739</v>
      </c>
    </row>
    <row r="405" customFormat="false" ht="15" hidden="false" customHeight="true" outlineLevel="0" collapsed="false">
      <c r="A405" s="14" t="n">
        <v>2023</v>
      </c>
      <c r="B405" s="14" t="n">
        <v>2</v>
      </c>
      <c r="C405" s="11" t="s">
        <v>53</v>
      </c>
      <c r="D405" s="11" t="s">
        <v>54</v>
      </c>
      <c r="E405" s="15" t="s">
        <v>20</v>
      </c>
      <c r="F405" s="11" t="s">
        <v>21</v>
      </c>
      <c r="G405" s="12" t="s">
        <v>22</v>
      </c>
      <c r="H405" s="11" t="s">
        <v>55</v>
      </c>
      <c r="I405" s="16" t="n">
        <v>25172</v>
      </c>
      <c r="J405" s="16" t="n">
        <v>2982767</v>
      </c>
    </row>
    <row r="406" customFormat="false" ht="15" hidden="false" customHeight="true" outlineLevel="0" collapsed="false">
      <c r="A406" s="14" t="n">
        <v>2023</v>
      </c>
      <c r="B406" s="14" t="n">
        <v>2</v>
      </c>
      <c r="C406" s="11" t="s">
        <v>53</v>
      </c>
      <c r="D406" s="11" t="s">
        <v>54</v>
      </c>
      <c r="E406" s="15" t="s">
        <v>23</v>
      </c>
      <c r="F406" s="11" t="s">
        <v>24</v>
      </c>
      <c r="G406" s="12" t="s">
        <v>25</v>
      </c>
      <c r="H406" s="11" t="s">
        <v>55</v>
      </c>
      <c r="I406" s="16" t="n">
        <v>78991</v>
      </c>
      <c r="J406" s="16" t="n">
        <v>7742809</v>
      </c>
    </row>
    <row r="407" customFormat="false" ht="15" hidden="false" customHeight="true" outlineLevel="0" collapsed="false">
      <c r="A407" s="14" t="n">
        <v>2023</v>
      </c>
      <c r="B407" s="14" t="n">
        <v>2</v>
      </c>
      <c r="C407" s="11" t="s">
        <v>53</v>
      </c>
      <c r="D407" s="11" t="s">
        <v>54</v>
      </c>
      <c r="E407" s="15" t="s">
        <v>23</v>
      </c>
      <c r="F407" s="11" t="s">
        <v>24</v>
      </c>
      <c r="G407" s="12" t="s">
        <v>25</v>
      </c>
      <c r="H407" s="11" t="s">
        <v>56</v>
      </c>
      <c r="I407" s="16" t="n">
        <v>28490</v>
      </c>
      <c r="J407" s="16" t="n">
        <v>2862346</v>
      </c>
    </row>
    <row r="408" customFormat="false" ht="15" hidden="false" customHeight="true" outlineLevel="0" collapsed="false">
      <c r="A408" s="14" t="n">
        <v>2023</v>
      </c>
      <c r="B408" s="14" t="n">
        <v>2</v>
      </c>
      <c r="C408" s="11" t="s">
        <v>53</v>
      </c>
      <c r="D408" s="11" t="s">
        <v>54</v>
      </c>
      <c r="E408" s="15" t="s">
        <v>27</v>
      </c>
      <c r="F408" s="11" t="s">
        <v>28</v>
      </c>
      <c r="G408" s="12" t="s">
        <v>29</v>
      </c>
      <c r="H408" s="11" t="s">
        <v>56</v>
      </c>
      <c r="I408" s="16" t="n">
        <v>3447</v>
      </c>
      <c r="J408" s="16" t="n">
        <v>1734239</v>
      </c>
    </row>
    <row r="409" customFormat="false" ht="15" hidden="false" customHeight="true" outlineLevel="0" collapsed="false">
      <c r="A409" s="14" t="n">
        <v>2023</v>
      </c>
      <c r="B409" s="14" t="n">
        <v>2</v>
      </c>
      <c r="C409" s="11" t="s">
        <v>53</v>
      </c>
      <c r="D409" s="11" t="s">
        <v>54</v>
      </c>
      <c r="E409" s="15" t="s">
        <v>20</v>
      </c>
      <c r="F409" s="11" t="s">
        <v>21</v>
      </c>
      <c r="G409" s="12" t="s">
        <v>22</v>
      </c>
      <c r="H409" s="11" t="s">
        <v>57</v>
      </c>
      <c r="I409" s="16" t="n">
        <v>1024</v>
      </c>
      <c r="J409" s="16" t="n">
        <v>65986</v>
      </c>
    </row>
    <row r="410" customFormat="false" ht="15" hidden="false" customHeight="true" outlineLevel="0" collapsed="false">
      <c r="A410" s="14" t="n">
        <v>2023</v>
      </c>
      <c r="B410" s="14" t="n">
        <v>2</v>
      </c>
      <c r="C410" s="11" t="s">
        <v>53</v>
      </c>
      <c r="D410" s="11" t="s">
        <v>54</v>
      </c>
      <c r="E410" s="15" t="s">
        <v>27</v>
      </c>
      <c r="F410" s="11" t="s">
        <v>28</v>
      </c>
      <c r="G410" s="12" t="s">
        <v>29</v>
      </c>
      <c r="H410" s="11" t="s">
        <v>58</v>
      </c>
      <c r="I410" s="16" t="n">
        <v>120</v>
      </c>
      <c r="J410" s="16" t="n">
        <v>51500</v>
      </c>
    </row>
    <row r="411" customFormat="false" ht="15" hidden="false" customHeight="true" outlineLevel="0" collapsed="false">
      <c r="A411" s="14" t="n">
        <v>2023</v>
      </c>
      <c r="B411" s="14" t="n">
        <v>2</v>
      </c>
      <c r="C411" s="11" t="s">
        <v>53</v>
      </c>
      <c r="D411" s="11" t="s">
        <v>54</v>
      </c>
      <c r="E411" s="15" t="s">
        <v>31</v>
      </c>
      <c r="F411" s="11" t="s">
        <v>64</v>
      </c>
      <c r="G411" s="12" t="s">
        <v>33</v>
      </c>
      <c r="H411" s="11" t="s">
        <v>58</v>
      </c>
      <c r="I411" s="16" t="n">
        <v>11</v>
      </c>
      <c r="J411" s="16" t="n">
        <v>1400</v>
      </c>
    </row>
    <row r="412" customFormat="false" ht="15" hidden="false" customHeight="true" outlineLevel="0" collapsed="false">
      <c r="A412" s="14" t="n">
        <v>2023</v>
      </c>
      <c r="B412" s="14" t="n">
        <v>2</v>
      </c>
      <c r="C412" s="11" t="s">
        <v>53</v>
      </c>
      <c r="D412" s="11" t="s">
        <v>54</v>
      </c>
      <c r="E412" s="15" t="s">
        <v>27</v>
      </c>
      <c r="F412" s="11" t="s">
        <v>28</v>
      </c>
      <c r="G412" s="12" t="s">
        <v>29</v>
      </c>
      <c r="H412" s="11" t="s">
        <v>59</v>
      </c>
      <c r="I412" s="16" t="n">
        <v>95</v>
      </c>
      <c r="J412" s="16" t="n">
        <v>82296</v>
      </c>
    </row>
    <row r="413" customFormat="false" ht="15" hidden="false" customHeight="true" outlineLevel="0" collapsed="false">
      <c r="A413" s="14" t="n">
        <v>2023</v>
      </c>
      <c r="B413" s="14" t="n">
        <v>2</v>
      </c>
      <c r="C413" s="11" t="s">
        <v>53</v>
      </c>
      <c r="D413" s="11" t="s">
        <v>54</v>
      </c>
      <c r="E413" s="15" t="s">
        <v>31</v>
      </c>
      <c r="F413" s="11" t="s">
        <v>64</v>
      </c>
      <c r="G413" s="12" t="s">
        <v>33</v>
      </c>
      <c r="H413" s="11" t="s">
        <v>62</v>
      </c>
      <c r="I413" s="16" t="n">
        <v>17</v>
      </c>
      <c r="J413" s="16" t="n">
        <v>9450</v>
      </c>
    </row>
    <row r="414" customFormat="false" ht="15" hidden="false" customHeight="true" outlineLevel="0" collapsed="false">
      <c r="A414" s="14" t="n">
        <v>2023</v>
      </c>
      <c r="B414" s="14" t="n">
        <v>3</v>
      </c>
      <c r="C414" s="11" t="s">
        <v>53</v>
      </c>
      <c r="D414" s="11" t="s">
        <v>54</v>
      </c>
      <c r="E414" s="15" t="s">
        <v>20</v>
      </c>
      <c r="F414" s="11" t="s">
        <v>21</v>
      </c>
      <c r="G414" s="12" t="s">
        <v>22</v>
      </c>
      <c r="H414" s="11" t="s">
        <v>55</v>
      </c>
      <c r="I414" s="16" t="n">
        <v>15095</v>
      </c>
      <c r="J414" s="16" t="n">
        <v>1476507</v>
      </c>
    </row>
    <row r="415" customFormat="false" ht="15" hidden="false" customHeight="true" outlineLevel="0" collapsed="false">
      <c r="A415" s="14" t="n">
        <v>2023</v>
      </c>
      <c r="B415" s="14" t="n">
        <v>3</v>
      </c>
      <c r="C415" s="11" t="s">
        <v>53</v>
      </c>
      <c r="D415" s="11" t="s">
        <v>54</v>
      </c>
      <c r="E415" s="15" t="s">
        <v>23</v>
      </c>
      <c r="F415" s="11" t="s">
        <v>24</v>
      </c>
      <c r="G415" s="12" t="s">
        <v>25</v>
      </c>
      <c r="H415" s="11" t="s">
        <v>55</v>
      </c>
      <c r="I415" s="16" t="n">
        <v>114667</v>
      </c>
      <c r="J415" s="16" t="n">
        <v>11780267</v>
      </c>
    </row>
    <row r="416" customFormat="false" ht="15" hidden="false" customHeight="true" outlineLevel="0" collapsed="false">
      <c r="A416" s="14" t="n">
        <v>2023</v>
      </c>
      <c r="B416" s="14" t="n">
        <v>3</v>
      </c>
      <c r="C416" s="11" t="s">
        <v>53</v>
      </c>
      <c r="D416" s="11" t="s">
        <v>54</v>
      </c>
      <c r="E416" s="15" t="s">
        <v>20</v>
      </c>
      <c r="F416" s="11" t="s">
        <v>21</v>
      </c>
      <c r="G416" s="12" t="s">
        <v>22</v>
      </c>
      <c r="H416" s="11" t="s">
        <v>56</v>
      </c>
      <c r="I416" s="16" t="n">
        <v>500</v>
      </c>
      <c r="J416" s="16" t="n">
        <v>42710</v>
      </c>
    </row>
    <row r="417" customFormat="false" ht="15" hidden="false" customHeight="true" outlineLevel="0" collapsed="false">
      <c r="A417" s="14" t="n">
        <v>2023</v>
      </c>
      <c r="B417" s="14" t="n">
        <v>3</v>
      </c>
      <c r="C417" s="11" t="s">
        <v>53</v>
      </c>
      <c r="D417" s="11" t="s">
        <v>54</v>
      </c>
      <c r="E417" s="15" t="s">
        <v>23</v>
      </c>
      <c r="F417" s="11" t="s">
        <v>24</v>
      </c>
      <c r="G417" s="12" t="s">
        <v>25</v>
      </c>
      <c r="H417" s="11" t="s">
        <v>56</v>
      </c>
      <c r="I417" s="16" t="n">
        <v>18000</v>
      </c>
      <c r="J417" s="16" t="n">
        <v>2111000</v>
      </c>
    </row>
    <row r="418" customFormat="false" ht="15" hidden="false" customHeight="true" outlineLevel="0" collapsed="false">
      <c r="A418" s="14" t="n">
        <v>2023</v>
      </c>
      <c r="B418" s="14" t="n">
        <v>3</v>
      </c>
      <c r="C418" s="11" t="s">
        <v>53</v>
      </c>
      <c r="D418" s="11" t="s">
        <v>54</v>
      </c>
      <c r="E418" s="15" t="s">
        <v>27</v>
      </c>
      <c r="F418" s="11" t="s">
        <v>28</v>
      </c>
      <c r="G418" s="12" t="s">
        <v>29</v>
      </c>
      <c r="H418" s="11" t="s">
        <v>56</v>
      </c>
      <c r="I418" s="16" t="n">
        <v>6090</v>
      </c>
      <c r="J418" s="16" t="n">
        <v>2469498</v>
      </c>
    </row>
    <row r="419" customFormat="false" ht="15" hidden="false" customHeight="true" outlineLevel="0" collapsed="false">
      <c r="A419" s="14" t="n">
        <v>2023</v>
      </c>
      <c r="B419" s="14" t="n">
        <v>3</v>
      </c>
      <c r="C419" s="11" t="s">
        <v>53</v>
      </c>
      <c r="D419" s="11" t="s">
        <v>54</v>
      </c>
      <c r="E419" s="15" t="s">
        <v>20</v>
      </c>
      <c r="F419" s="11" t="s">
        <v>21</v>
      </c>
      <c r="G419" s="12" t="s">
        <v>22</v>
      </c>
      <c r="H419" s="11" t="s">
        <v>57</v>
      </c>
      <c r="I419" s="16" t="n">
        <v>1781</v>
      </c>
      <c r="J419" s="16" t="n">
        <v>120075</v>
      </c>
    </row>
    <row r="420" customFormat="false" ht="15" hidden="false" customHeight="true" outlineLevel="0" collapsed="false">
      <c r="A420" s="14" t="n">
        <v>2023</v>
      </c>
      <c r="B420" s="14" t="n">
        <v>3</v>
      </c>
      <c r="C420" s="11" t="s">
        <v>53</v>
      </c>
      <c r="D420" s="11" t="s">
        <v>54</v>
      </c>
      <c r="E420" s="15" t="s">
        <v>23</v>
      </c>
      <c r="F420" s="11" t="s">
        <v>24</v>
      </c>
      <c r="G420" s="12" t="s">
        <v>25</v>
      </c>
      <c r="H420" s="11" t="s">
        <v>58</v>
      </c>
      <c r="I420" s="16" t="n">
        <v>521</v>
      </c>
      <c r="J420" s="16" t="n">
        <v>60116</v>
      </c>
    </row>
    <row r="421" customFormat="false" ht="15" hidden="false" customHeight="true" outlineLevel="0" collapsed="false">
      <c r="A421" s="14" t="n">
        <v>2023</v>
      </c>
      <c r="B421" s="14" t="n">
        <v>3</v>
      </c>
      <c r="C421" s="11" t="s">
        <v>53</v>
      </c>
      <c r="D421" s="11" t="s">
        <v>54</v>
      </c>
      <c r="E421" s="15" t="s">
        <v>27</v>
      </c>
      <c r="F421" s="11" t="s">
        <v>28</v>
      </c>
      <c r="G421" s="12" t="s">
        <v>29</v>
      </c>
      <c r="H421" s="11" t="s">
        <v>58</v>
      </c>
      <c r="I421" s="16" t="n">
        <v>1056</v>
      </c>
      <c r="J421" s="16" t="n">
        <v>422000</v>
      </c>
    </row>
    <row r="422" customFormat="false" ht="15" hidden="false" customHeight="true" outlineLevel="0" collapsed="false">
      <c r="A422" s="14" t="n">
        <v>2023</v>
      </c>
      <c r="B422" s="14" t="n">
        <v>3</v>
      </c>
      <c r="C422" s="11" t="s">
        <v>53</v>
      </c>
      <c r="D422" s="11" t="s">
        <v>54</v>
      </c>
      <c r="E422" s="15" t="s">
        <v>27</v>
      </c>
      <c r="F422" s="11" t="s">
        <v>28</v>
      </c>
      <c r="G422" s="12" t="s">
        <v>29</v>
      </c>
      <c r="H422" s="11" t="s">
        <v>59</v>
      </c>
      <c r="I422" s="16" t="n">
        <v>116</v>
      </c>
      <c r="J422" s="16" t="n">
        <v>20568</v>
      </c>
    </row>
    <row r="423" customFormat="false" ht="15" hidden="false" customHeight="true" outlineLevel="0" collapsed="false">
      <c r="A423" s="14" t="n">
        <v>2023</v>
      </c>
      <c r="B423" s="14" t="n">
        <v>4</v>
      </c>
      <c r="C423" s="11" t="s">
        <v>53</v>
      </c>
      <c r="D423" s="11" t="s">
        <v>54</v>
      </c>
      <c r="E423" s="15" t="s">
        <v>20</v>
      </c>
      <c r="F423" s="11" t="s">
        <v>21</v>
      </c>
      <c r="G423" s="12" t="s">
        <v>22</v>
      </c>
      <c r="H423" s="11" t="s">
        <v>55</v>
      </c>
      <c r="I423" s="16" t="n">
        <v>11643</v>
      </c>
      <c r="J423" s="16" t="n">
        <v>1426947</v>
      </c>
    </row>
    <row r="424" customFormat="false" ht="15" hidden="false" customHeight="true" outlineLevel="0" collapsed="false">
      <c r="A424" s="14" t="n">
        <v>2023</v>
      </c>
      <c r="B424" s="14" t="n">
        <v>4</v>
      </c>
      <c r="C424" s="11" t="s">
        <v>53</v>
      </c>
      <c r="D424" s="11" t="s">
        <v>54</v>
      </c>
      <c r="E424" s="15" t="s">
        <v>23</v>
      </c>
      <c r="F424" s="11" t="s">
        <v>24</v>
      </c>
      <c r="G424" s="12" t="s">
        <v>25</v>
      </c>
      <c r="H424" s="11" t="s">
        <v>55</v>
      </c>
      <c r="I424" s="16" t="n">
        <v>129589</v>
      </c>
      <c r="J424" s="16" t="n">
        <v>14302674</v>
      </c>
    </row>
    <row r="425" customFormat="false" ht="15" hidden="false" customHeight="true" outlineLevel="0" collapsed="false">
      <c r="A425" s="14" t="n">
        <v>2023</v>
      </c>
      <c r="B425" s="14" t="n">
        <v>4</v>
      </c>
      <c r="C425" s="11" t="s">
        <v>53</v>
      </c>
      <c r="D425" s="11" t="s">
        <v>54</v>
      </c>
      <c r="E425" s="15" t="s">
        <v>23</v>
      </c>
      <c r="F425" s="11" t="s">
        <v>24</v>
      </c>
      <c r="G425" s="12" t="s">
        <v>25</v>
      </c>
      <c r="H425" s="11" t="s">
        <v>56</v>
      </c>
      <c r="I425" s="16" t="n">
        <v>12775</v>
      </c>
      <c r="J425" s="16" t="n">
        <v>1321452</v>
      </c>
    </row>
    <row r="426" customFormat="false" ht="15" hidden="false" customHeight="true" outlineLevel="0" collapsed="false">
      <c r="A426" s="14" t="n">
        <v>2023</v>
      </c>
      <c r="B426" s="14" t="n">
        <v>4</v>
      </c>
      <c r="C426" s="11" t="s">
        <v>53</v>
      </c>
      <c r="D426" s="11" t="s">
        <v>54</v>
      </c>
      <c r="E426" s="15" t="s">
        <v>27</v>
      </c>
      <c r="F426" s="11" t="s">
        <v>28</v>
      </c>
      <c r="G426" s="12" t="s">
        <v>29</v>
      </c>
      <c r="H426" s="11" t="s">
        <v>56</v>
      </c>
      <c r="I426" s="16" t="n">
        <v>4128</v>
      </c>
      <c r="J426" s="16" t="n">
        <v>1455732</v>
      </c>
    </row>
    <row r="427" customFormat="false" ht="15" hidden="false" customHeight="true" outlineLevel="0" collapsed="false">
      <c r="A427" s="14" t="n">
        <v>2023</v>
      </c>
      <c r="B427" s="14" t="n">
        <v>4</v>
      </c>
      <c r="C427" s="11" t="s">
        <v>53</v>
      </c>
      <c r="D427" s="11" t="s">
        <v>54</v>
      </c>
      <c r="E427" s="15" t="s">
        <v>31</v>
      </c>
      <c r="F427" s="11" t="s">
        <v>64</v>
      </c>
      <c r="G427" s="12" t="s">
        <v>33</v>
      </c>
      <c r="H427" s="11" t="s">
        <v>56</v>
      </c>
      <c r="I427" s="16" t="n">
        <v>1000</v>
      </c>
      <c r="J427" s="16" t="n">
        <v>400174</v>
      </c>
    </row>
    <row r="428" customFormat="false" ht="15" hidden="false" customHeight="true" outlineLevel="0" collapsed="false">
      <c r="A428" s="14" t="n">
        <v>2023</v>
      </c>
      <c r="B428" s="14" t="n">
        <v>4</v>
      </c>
      <c r="C428" s="11" t="s">
        <v>53</v>
      </c>
      <c r="D428" s="11" t="s">
        <v>54</v>
      </c>
      <c r="E428" s="15" t="s">
        <v>20</v>
      </c>
      <c r="F428" s="11" t="s">
        <v>21</v>
      </c>
      <c r="G428" s="12" t="s">
        <v>22</v>
      </c>
      <c r="H428" s="11" t="s">
        <v>57</v>
      </c>
      <c r="I428" s="16" t="n">
        <v>1679</v>
      </c>
      <c r="J428" s="16" t="n">
        <v>110548</v>
      </c>
    </row>
    <row r="429" customFormat="false" ht="15" hidden="false" customHeight="true" outlineLevel="0" collapsed="false">
      <c r="A429" s="14" t="n">
        <v>2023</v>
      </c>
      <c r="B429" s="14" t="n">
        <v>4</v>
      </c>
      <c r="C429" s="11" t="s">
        <v>53</v>
      </c>
      <c r="D429" s="11" t="s">
        <v>54</v>
      </c>
      <c r="E429" s="15" t="s">
        <v>23</v>
      </c>
      <c r="F429" s="11" t="s">
        <v>24</v>
      </c>
      <c r="G429" s="12" t="s">
        <v>25</v>
      </c>
      <c r="H429" s="11" t="s">
        <v>58</v>
      </c>
      <c r="I429" s="16" t="n">
        <v>1545</v>
      </c>
      <c r="J429" s="16" t="n">
        <v>182803</v>
      </c>
    </row>
    <row r="430" customFormat="false" ht="15" hidden="false" customHeight="true" outlineLevel="0" collapsed="false">
      <c r="A430" s="14" t="n">
        <v>2023</v>
      </c>
      <c r="B430" s="14" t="n">
        <v>4</v>
      </c>
      <c r="C430" s="11" t="s">
        <v>53</v>
      </c>
      <c r="D430" s="11" t="s">
        <v>54</v>
      </c>
      <c r="E430" s="15" t="s">
        <v>31</v>
      </c>
      <c r="F430" s="11" t="s">
        <v>64</v>
      </c>
      <c r="G430" s="12" t="s">
        <v>33</v>
      </c>
      <c r="H430" s="11" t="s">
        <v>59</v>
      </c>
      <c r="I430" s="16" t="n">
        <v>10</v>
      </c>
      <c r="J430" s="16" t="n">
        <v>6500</v>
      </c>
    </row>
    <row r="431" customFormat="false" ht="15" hidden="false" customHeight="true" outlineLevel="0" collapsed="false">
      <c r="A431" s="14" t="n">
        <v>2023</v>
      </c>
      <c r="B431" s="14" t="n">
        <v>5</v>
      </c>
      <c r="C431" s="11" t="s">
        <v>53</v>
      </c>
      <c r="D431" s="11" t="s">
        <v>54</v>
      </c>
      <c r="E431" s="15" t="s">
        <v>20</v>
      </c>
      <c r="F431" s="11" t="s">
        <v>21</v>
      </c>
      <c r="G431" s="12" t="s">
        <v>22</v>
      </c>
      <c r="H431" s="11" t="s">
        <v>55</v>
      </c>
      <c r="I431" s="16" t="n">
        <v>24645</v>
      </c>
      <c r="J431" s="16" t="n">
        <v>1051503</v>
      </c>
    </row>
    <row r="432" customFormat="false" ht="15" hidden="false" customHeight="true" outlineLevel="0" collapsed="false">
      <c r="A432" s="14" t="n">
        <v>2023</v>
      </c>
      <c r="B432" s="14" t="n">
        <v>5</v>
      </c>
      <c r="C432" s="11" t="s">
        <v>53</v>
      </c>
      <c r="D432" s="11" t="s">
        <v>54</v>
      </c>
      <c r="E432" s="15" t="s">
        <v>23</v>
      </c>
      <c r="F432" s="11" t="s">
        <v>24</v>
      </c>
      <c r="G432" s="12" t="s">
        <v>25</v>
      </c>
      <c r="H432" s="11" t="s">
        <v>55</v>
      </c>
      <c r="I432" s="16" t="n">
        <v>80083</v>
      </c>
      <c r="J432" s="16" t="n">
        <v>6884664</v>
      </c>
    </row>
    <row r="433" customFormat="false" ht="15" hidden="false" customHeight="true" outlineLevel="0" collapsed="false">
      <c r="A433" s="14" t="n">
        <v>2023</v>
      </c>
      <c r="B433" s="14" t="n">
        <v>5</v>
      </c>
      <c r="C433" s="11" t="s">
        <v>53</v>
      </c>
      <c r="D433" s="11" t="s">
        <v>54</v>
      </c>
      <c r="E433" s="15" t="s">
        <v>20</v>
      </c>
      <c r="F433" s="11" t="s">
        <v>21</v>
      </c>
      <c r="G433" s="12" t="s">
        <v>22</v>
      </c>
      <c r="H433" s="11" t="s">
        <v>56</v>
      </c>
      <c r="I433" s="16" t="n">
        <v>4572</v>
      </c>
      <c r="J433" s="16" t="n">
        <v>426124</v>
      </c>
    </row>
    <row r="434" customFormat="false" ht="15" hidden="false" customHeight="true" outlineLevel="0" collapsed="false">
      <c r="A434" s="14" t="n">
        <v>2023</v>
      </c>
      <c r="B434" s="14" t="n">
        <v>5</v>
      </c>
      <c r="C434" s="11" t="s">
        <v>53</v>
      </c>
      <c r="D434" s="11" t="s">
        <v>54</v>
      </c>
      <c r="E434" s="15" t="s">
        <v>23</v>
      </c>
      <c r="F434" s="11" t="s">
        <v>24</v>
      </c>
      <c r="G434" s="12" t="s">
        <v>25</v>
      </c>
      <c r="H434" s="11" t="s">
        <v>56</v>
      </c>
      <c r="I434" s="16" t="n">
        <v>3293</v>
      </c>
      <c r="J434" s="16" t="n">
        <v>312330</v>
      </c>
    </row>
    <row r="435" customFormat="false" ht="15" hidden="false" customHeight="true" outlineLevel="0" collapsed="false">
      <c r="A435" s="14" t="n">
        <v>2023</v>
      </c>
      <c r="B435" s="14" t="n">
        <v>5</v>
      </c>
      <c r="C435" s="11" t="s">
        <v>53</v>
      </c>
      <c r="D435" s="11" t="s">
        <v>54</v>
      </c>
      <c r="E435" s="15" t="s">
        <v>27</v>
      </c>
      <c r="F435" s="11" t="s">
        <v>28</v>
      </c>
      <c r="G435" s="12" t="s">
        <v>29</v>
      </c>
      <c r="H435" s="11" t="s">
        <v>56</v>
      </c>
      <c r="I435" s="16" t="n">
        <v>4810</v>
      </c>
      <c r="J435" s="16" t="n">
        <v>2414617</v>
      </c>
    </row>
    <row r="436" customFormat="false" ht="15" hidden="false" customHeight="true" outlineLevel="0" collapsed="false">
      <c r="A436" s="14" t="n">
        <v>2023</v>
      </c>
      <c r="B436" s="14" t="n">
        <v>5</v>
      </c>
      <c r="C436" s="11" t="s">
        <v>53</v>
      </c>
      <c r="D436" s="11" t="s">
        <v>54</v>
      </c>
      <c r="E436" s="15" t="s">
        <v>34</v>
      </c>
      <c r="F436" s="11" t="s">
        <v>65</v>
      </c>
      <c r="G436" s="12" t="s">
        <v>36</v>
      </c>
      <c r="H436" s="11" t="s">
        <v>56</v>
      </c>
      <c r="I436" s="16" t="n">
        <v>126</v>
      </c>
      <c r="J436" s="16" t="n">
        <v>78438</v>
      </c>
    </row>
    <row r="437" customFormat="false" ht="15" hidden="false" customHeight="true" outlineLevel="0" collapsed="false">
      <c r="A437" s="14" t="n">
        <v>2023</v>
      </c>
      <c r="B437" s="14" t="n">
        <v>5</v>
      </c>
      <c r="C437" s="11" t="s">
        <v>53</v>
      </c>
      <c r="D437" s="11" t="s">
        <v>54</v>
      </c>
      <c r="E437" s="15" t="s">
        <v>20</v>
      </c>
      <c r="F437" s="11" t="s">
        <v>21</v>
      </c>
      <c r="G437" s="12" t="s">
        <v>22</v>
      </c>
      <c r="H437" s="11" t="s">
        <v>57</v>
      </c>
      <c r="I437" s="16" t="n">
        <v>660</v>
      </c>
      <c r="J437" s="16" t="n">
        <v>43614</v>
      </c>
    </row>
    <row r="438" customFormat="false" ht="15" hidden="false" customHeight="true" outlineLevel="0" collapsed="false">
      <c r="A438" s="14" t="n">
        <v>2023</v>
      </c>
      <c r="B438" s="14" t="n">
        <v>5</v>
      </c>
      <c r="C438" s="11" t="s">
        <v>53</v>
      </c>
      <c r="D438" s="11" t="s">
        <v>54</v>
      </c>
      <c r="E438" s="15" t="s">
        <v>23</v>
      </c>
      <c r="F438" s="11" t="s">
        <v>24</v>
      </c>
      <c r="G438" s="12" t="s">
        <v>25</v>
      </c>
      <c r="H438" s="11" t="s">
        <v>59</v>
      </c>
      <c r="I438" s="16" t="n">
        <v>1000</v>
      </c>
      <c r="J438" s="16" t="n">
        <v>53434</v>
      </c>
    </row>
    <row r="439" customFormat="false" ht="15" hidden="false" customHeight="true" outlineLevel="0" collapsed="false">
      <c r="A439" s="14" t="n">
        <v>2023</v>
      </c>
      <c r="B439" s="14" t="n">
        <v>5</v>
      </c>
      <c r="C439" s="11" t="s">
        <v>53</v>
      </c>
      <c r="D439" s="11" t="s">
        <v>54</v>
      </c>
      <c r="E439" s="15" t="s">
        <v>27</v>
      </c>
      <c r="F439" s="11" t="s">
        <v>28</v>
      </c>
      <c r="G439" s="12" t="s">
        <v>29</v>
      </c>
      <c r="H439" s="11" t="s">
        <v>61</v>
      </c>
      <c r="I439" s="16" t="n">
        <v>181</v>
      </c>
      <c r="J439" s="16" t="n">
        <v>99000</v>
      </c>
    </row>
    <row r="440" customFormat="false" ht="15" hidden="false" customHeight="true" outlineLevel="0" collapsed="false">
      <c r="A440" s="14" t="n">
        <v>2023</v>
      </c>
      <c r="B440" s="14" t="n">
        <v>6</v>
      </c>
      <c r="C440" s="11" t="s">
        <v>53</v>
      </c>
      <c r="D440" s="11" t="s">
        <v>54</v>
      </c>
      <c r="E440" s="15" t="s">
        <v>20</v>
      </c>
      <c r="F440" s="11" t="s">
        <v>21</v>
      </c>
      <c r="G440" s="12" t="s">
        <v>22</v>
      </c>
      <c r="H440" s="11" t="s">
        <v>55</v>
      </c>
      <c r="I440" s="16" t="n">
        <v>3519</v>
      </c>
      <c r="J440" s="16" t="n">
        <v>87970</v>
      </c>
    </row>
    <row r="441" customFormat="false" ht="15" hidden="false" customHeight="true" outlineLevel="0" collapsed="false">
      <c r="A441" s="14" t="n">
        <v>2023</v>
      </c>
      <c r="B441" s="14" t="n">
        <v>6</v>
      </c>
      <c r="C441" s="11" t="s">
        <v>53</v>
      </c>
      <c r="D441" s="11" t="s">
        <v>54</v>
      </c>
      <c r="E441" s="15" t="s">
        <v>23</v>
      </c>
      <c r="F441" s="11" t="s">
        <v>24</v>
      </c>
      <c r="G441" s="12" t="s">
        <v>25</v>
      </c>
      <c r="H441" s="11" t="s">
        <v>55</v>
      </c>
      <c r="I441" s="16" t="n">
        <v>4937</v>
      </c>
      <c r="J441" s="16" t="n">
        <v>92059</v>
      </c>
    </row>
    <row r="442" customFormat="false" ht="15" hidden="false" customHeight="true" outlineLevel="0" collapsed="false">
      <c r="A442" s="14" t="n">
        <v>2023</v>
      </c>
      <c r="B442" s="14" t="n">
        <v>6</v>
      </c>
      <c r="C442" s="11" t="s">
        <v>53</v>
      </c>
      <c r="D442" s="11" t="s">
        <v>54</v>
      </c>
      <c r="E442" s="15" t="s">
        <v>20</v>
      </c>
      <c r="F442" s="11" t="s">
        <v>21</v>
      </c>
      <c r="G442" s="12" t="s">
        <v>22</v>
      </c>
      <c r="H442" s="11" t="s">
        <v>56</v>
      </c>
      <c r="I442" s="16" t="n">
        <v>5000</v>
      </c>
      <c r="J442" s="16" t="n">
        <v>573885</v>
      </c>
    </row>
    <row r="443" customFormat="false" ht="15" hidden="false" customHeight="true" outlineLevel="0" collapsed="false">
      <c r="A443" s="14" t="n">
        <v>2023</v>
      </c>
      <c r="B443" s="14" t="n">
        <v>6</v>
      </c>
      <c r="C443" s="11" t="s">
        <v>53</v>
      </c>
      <c r="D443" s="11" t="s">
        <v>54</v>
      </c>
      <c r="E443" s="15" t="s">
        <v>23</v>
      </c>
      <c r="F443" s="11" t="s">
        <v>24</v>
      </c>
      <c r="G443" s="12" t="s">
        <v>25</v>
      </c>
      <c r="H443" s="11" t="s">
        <v>56</v>
      </c>
      <c r="I443" s="16" t="n">
        <v>5000</v>
      </c>
      <c r="J443" s="16" t="n">
        <v>550000</v>
      </c>
    </row>
    <row r="444" customFormat="false" ht="15" hidden="false" customHeight="true" outlineLevel="0" collapsed="false">
      <c r="A444" s="14" t="n">
        <v>2023</v>
      </c>
      <c r="B444" s="14" t="n">
        <v>6</v>
      </c>
      <c r="C444" s="11" t="s">
        <v>53</v>
      </c>
      <c r="D444" s="11" t="s">
        <v>54</v>
      </c>
      <c r="E444" s="15" t="s">
        <v>27</v>
      </c>
      <c r="F444" s="11" t="s">
        <v>28</v>
      </c>
      <c r="G444" s="12" t="s">
        <v>29</v>
      </c>
      <c r="H444" s="11" t="s">
        <v>56</v>
      </c>
      <c r="I444" s="16" t="n">
        <v>4210</v>
      </c>
      <c r="J444" s="16" t="n">
        <v>1318230</v>
      </c>
    </row>
    <row r="445" customFormat="false" ht="15" hidden="false" customHeight="true" outlineLevel="0" collapsed="false">
      <c r="A445" s="14" t="n">
        <v>2023</v>
      </c>
      <c r="B445" s="14" t="n">
        <v>6</v>
      </c>
      <c r="C445" s="11" t="s">
        <v>53</v>
      </c>
      <c r="D445" s="11" t="s">
        <v>54</v>
      </c>
      <c r="E445" s="15" t="s">
        <v>34</v>
      </c>
      <c r="F445" s="11" t="s">
        <v>65</v>
      </c>
      <c r="G445" s="12" t="s">
        <v>36</v>
      </c>
      <c r="H445" s="11" t="s">
        <v>56</v>
      </c>
      <c r="I445" s="16" t="n">
        <v>126</v>
      </c>
      <c r="J445" s="16" t="n">
        <v>78438</v>
      </c>
    </row>
    <row r="446" customFormat="false" ht="15" hidden="false" customHeight="true" outlineLevel="0" collapsed="false">
      <c r="A446" s="14" t="n">
        <v>2023</v>
      </c>
      <c r="B446" s="14" t="n">
        <v>6</v>
      </c>
      <c r="C446" s="11" t="s">
        <v>53</v>
      </c>
      <c r="D446" s="11" t="s">
        <v>54</v>
      </c>
      <c r="E446" s="15" t="s">
        <v>20</v>
      </c>
      <c r="F446" s="11" t="s">
        <v>21</v>
      </c>
      <c r="G446" s="12" t="s">
        <v>22</v>
      </c>
      <c r="H446" s="11" t="s">
        <v>57</v>
      </c>
      <c r="I446" s="16" t="n">
        <v>1544</v>
      </c>
      <c r="J446" s="16" t="n">
        <v>104288</v>
      </c>
    </row>
    <row r="447" customFormat="false" ht="15" hidden="false" customHeight="true" outlineLevel="0" collapsed="false">
      <c r="A447" s="14" t="n">
        <v>2023</v>
      </c>
      <c r="B447" s="14" t="n">
        <v>6</v>
      </c>
      <c r="C447" s="11" t="s">
        <v>53</v>
      </c>
      <c r="D447" s="11" t="s">
        <v>54</v>
      </c>
      <c r="E447" s="15" t="s">
        <v>27</v>
      </c>
      <c r="F447" s="11" t="s">
        <v>28</v>
      </c>
      <c r="G447" s="12" t="s">
        <v>29</v>
      </c>
      <c r="H447" s="11" t="s">
        <v>58</v>
      </c>
      <c r="I447" s="16" t="n">
        <v>349</v>
      </c>
      <c r="J447" s="16" t="n">
        <v>104757</v>
      </c>
    </row>
    <row r="448" customFormat="false" ht="15" hidden="false" customHeight="true" outlineLevel="0" collapsed="false">
      <c r="A448" s="14" t="n">
        <v>2023</v>
      </c>
      <c r="B448" s="14" t="n">
        <v>7</v>
      </c>
      <c r="C448" s="11" t="s">
        <v>53</v>
      </c>
      <c r="D448" s="11" t="s">
        <v>54</v>
      </c>
      <c r="E448" s="15" t="s">
        <v>20</v>
      </c>
      <c r="F448" s="11" t="s">
        <v>21</v>
      </c>
      <c r="G448" s="12" t="s">
        <v>22</v>
      </c>
      <c r="H448" s="11" t="s">
        <v>55</v>
      </c>
      <c r="I448" s="16" t="n">
        <v>6253</v>
      </c>
      <c r="J448" s="16" t="n">
        <v>213094</v>
      </c>
    </row>
    <row r="449" customFormat="false" ht="15" hidden="false" customHeight="true" outlineLevel="0" collapsed="false">
      <c r="A449" s="14" t="n">
        <v>2023</v>
      </c>
      <c r="B449" s="14" t="n">
        <v>7</v>
      </c>
      <c r="C449" s="11" t="s">
        <v>53</v>
      </c>
      <c r="D449" s="11" t="s">
        <v>54</v>
      </c>
      <c r="E449" s="15" t="s">
        <v>23</v>
      </c>
      <c r="F449" s="11" t="s">
        <v>24</v>
      </c>
      <c r="G449" s="12" t="s">
        <v>25</v>
      </c>
      <c r="H449" s="11" t="s">
        <v>55</v>
      </c>
      <c r="I449" s="16" t="n">
        <v>7132</v>
      </c>
      <c r="J449" s="16" t="n">
        <v>571959</v>
      </c>
    </row>
    <row r="450" customFormat="false" ht="15" hidden="false" customHeight="true" outlineLevel="0" collapsed="false">
      <c r="A450" s="14" t="n">
        <v>2023</v>
      </c>
      <c r="B450" s="14" t="n">
        <v>7</v>
      </c>
      <c r="C450" s="11" t="s">
        <v>53</v>
      </c>
      <c r="D450" s="11" t="s">
        <v>54</v>
      </c>
      <c r="E450" s="15" t="s">
        <v>20</v>
      </c>
      <c r="F450" s="11" t="s">
        <v>21</v>
      </c>
      <c r="G450" s="12" t="s">
        <v>22</v>
      </c>
      <c r="H450" s="11" t="s">
        <v>56</v>
      </c>
      <c r="I450" s="16" t="n">
        <v>2100</v>
      </c>
      <c r="J450" s="16" t="n">
        <v>181072</v>
      </c>
    </row>
    <row r="451" customFormat="false" ht="15" hidden="false" customHeight="true" outlineLevel="0" collapsed="false">
      <c r="A451" s="14" t="n">
        <v>2023</v>
      </c>
      <c r="B451" s="14" t="n">
        <v>7</v>
      </c>
      <c r="C451" s="11" t="s">
        <v>53</v>
      </c>
      <c r="D451" s="11" t="s">
        <v>54</v>
      </c>
      <c r="E451" s="15" t="s">
        <v>23</v>
      </c>
      <c r="F451" s="11" t="s">
        <v>24</v>
      </c>
      <c r="G451" s="12" t="s">
        <v>25</v>
      </c>
      <c r="H451" s="11" t="s">
        <v>56</v>
      </c>
      <c r="I451" s="16" t="n">
        <v>6362</v>
      </c>
      <c r="J451" s="16" t="n">
        <v>664826</v>
      </c>
    </row>
    <row r="452" customFormat="false" ht="15" hidden="false" customHeight="true" outlineLevel="0" collapsed="false">
      <c r="A452" s="14" t="n">
        <v>2023</v>
      </c>
      <c r="B452" s="14" t="n">
        <v>7</v>
      </c>
      <c r="C452" s="11" t="s">
        <v>53</v>
      </c>
      <c r="D452" s="11" t="s">
        <v>54</v>
      </c>
      <c r="E452" s="15" t="s">
        <v>27</v>
      </c>
      <c r="F452" s="11" t="s">
        <v>28</v>
      </c>
      <c r="G452" s="12" t="s">
        <v>29</v>
      </c>
      <c r="H452" s="11" t="s">
        <v>56</v>
      </c>
      <c r="I452" s="16" t="n">
        <v>4018</v>
      </c>
      <c r="J452" s="16" t="n">
        <v>1963564</v>
      </c>
    </row>
    <row r="453" customFormat="false" ht="15" hidden="false" customHeight="true" outlineLevel="0" collapsed="false">
      <c r="A453" s="14" t="n">
        <v>2023</v>
      </c>
      <c r="B453" s="14" t="n">
        <v>7</v>
      </c>
      <c r="C453" s="11" t="s">
        <v>53</v>
      </c>
      <c r="D453" s="11" t="s">
        <v>54</v>
      </c>
      <c r="E453" s="15" t="s">
        <v>20</v>
      </c>
      <c r="F453" s="11" t="s">
        <v>21</v>
      </c>
      <c r="G453" s="12" t="s">
        <v>22</v>
      </c>
      <c r="H453" s="11" t="s">
        <v>57</v>
      </c>
      <c r="I453" s="16" t="n">
        <v>2520</v>
      </c>
      <c r="J453" s="16" t="n">
        <v>174552</v>
      </c>
    </row>
    <row r="454" customFormat="false" ht="15" hidden="false" customHeight="true" outlineLevel="0" collapsed="false">
      <c r="A454" s="14" t="n">
        <v>2023</v>
      </c>
      <c r="B454" s="14" t="n">
        <v>7</v>
      </c>
      <c r="C454" s="11" t="s">
        <v>53</v>
      </c>
      <c r="D454" s="11" t="s">
        <v>54</v>
      </c>
      <c r="E454" s="15" t="s">
        <v>27</v>
      </c>
      <c r="F454" s="11" t="s">
        <v>28</v>
      </c>
      <c r="G454" s="12" t="s">
        <v>29</v>
      </c>
      <c r="H454" s="11" t="s">
        <v>57</v>
      </c>
      <c r="I454" s="16" t="n">
        <v>87</v>
      </c>
      <c r="J454" s="16" t="n">
        <v>37500</v>
      </c>
    </row>
    <row r="455" customFormat="false" ht="15" hidden="false" customHeight="true" outlineLevel="0" collapsed="false">
      <c r="A455" s="14" t="n">
        <v>2023</v>
      </c>
      <c r="B455" s="14" t="n">
        <v>7</v>
      </c>
      <c r="C455" s="11" t="s">
        <v>53</v>
      </c>
      <c r="D455" s="11" t="s">
        <v>54</v>
      </c>
      <c r="E455" s="15" t="s">
        <v>20</v>
      </c>
      <c r="F455" s="11" t="s">
        <v>21</v>
      </c>
      <c r="G455" s="12" t="s">
        <v>22</v>
      </c>
      <c r="H455" s="11" t="s">
        <v>60</v>
      </c>
      <c r="I455" s="16" t="n">
        <v>55</v>
      </c>
      <c r="J455" s="16" t="n">
        <v>1200</v>
      </c>
    </row>
    <row r="456" customFormat="false" ht="15" hidden="false" customHeight="true" outlineLevel="0" collapsed="false">
      <c r="A456" s="14" t="n">
        <v>2023</v>
      </c>
      <c r="B456" s="14" t="n">
        <v>8</v>
      </c>
      <c r="C456" s="11" t="s">
        <v>53</v>
      </c>
      <c r="D456" s="11" t="s">
        <v>54</v>
      </c>
      <c r="E456" s="15" t="s">
        <v>23</v>
      </c>
      <c r="F456" s="11" t="s">
        <v>24</v>
      </c>
      <c r="G456" s="12" t="s">
        <v>25</v>
      </c>
      <c r="H456" s="11" t="s">
        <v>56</v>
      </c>
      <c r="I456" s="16" t="n">
        <v>500</v>
      </c>
      <c r="J456" s="16" t="n">
        <v>45000</v>
      </c>
    </row>
    <row r="457" customFormat="false" ht="15" hidden="false" customHeight="true" outlineLevel="0" collapsed="false">
      <c r="A457" s="14" t="n">
        <v>2023</v>
      </c>
      <c r="B457" s="14" t="n">
        <v>8</v>
      </c>
      <c r="C457" s="11" t="s">
        <v>53</v>
      </c>
      <c r="D457" s="11" t="s">
        <v>54</v>
      </c>
      <c r="E457" s="15" t="s">
        <v>27</v>
      </c>
      <c r="F457" s="11" t="s">
        <v>28</v>
      </c>
      <c r="G457" s="12" t="s">
        <v>29</v>
      </c>
      <c r="H457" s="11" t="s">
        <v>56</v>
      </c>
      <c r="I457" s="16" t="n">
        <v>5709</v>
      </c>
      <c r="J457" s="16" t="n">
        <v>2094034</v>
      </c>
    </row>
    <row r="458" customFormat="false" ht="15" hidden="false" customHeight="true" outlineLevel="0" collapsed="false">
      <c r="A458" s="14" t="n">
        <v>2023</v>
      </c>
      <c r="B458" s="14" t="n">
        <v>8</v>
      </c>
      <c r="C458" s="11" t="s">
        <v>53</v>
      </c>
      <c r="D458" s="11" t="s">
        <v>54</v>
      </c>
      <c r="E458" s="15" t="s">
        <v>20</v>
      </c>
      <c r="F458" s="11" t="s">
        <v>21</v>
      </c>
      <c r="G458" s="12" t="s">
        <v>22</v>
      </c>
      <c r="H458" s="11" t="s">
        <v>57</v>
      </c>
      <c r="I458" s="16" t="n">
        <v>5646</v>
      </c>
      <c r="J458" s="16" t="n">
        <v>366664</v>
      </c>
    </row>
    <row r="459" customFormat="false" ht="15" hidden="false" customHeight="true" outlineLevel="0" collapsed="false">
      <c r="A459" s="14" t="n">
        <v>2023</v>
      </c>
      <c r="B459" s="14" t="n">
        <v>8</v>
      </c>
      <c r="C459" s="11" t="s">
        <v>53</v>
      </c>
      <c r="D459" s="11" t="s">
        <v>54</v>
      </c>
      <c r="E459" s="15" t="s">
        <v>20</v>
      </c>
      <c r="F459" s="11" t="s">
        <v>21</v>
      </c>
      <c r="G459" s="12" t="s">
        <v>22</v>
      </c>
      <c r="H459" s="11" t="s">
        <v>58</v>
      </c>
      <c r="I459" s="16" t="n">
        <v>55</v>
      </c>
      <c r="J459" s="16" t="n">
        <v>1100</v>
      </c>
    </row>
    <row r="460" customFormat="false" ht="15" hidden="false" customHeight="true" outlineLevel="0" collapsed="false">
      <c r="A460" s="14" t="n">
        <v>2023</v>
      </c>
      <c r="B460" s="14" t="n">
        <v>8</v>
      </c>
      <c r="C460" s="11" t="s">
        <v>53</v>
      </c>
      <c r="D460" s="11" t="s">
        <v>54</v>
      </c>
      <c r="E460" s="15" t="s">
        <v>31</v>
      </c>
      <c r="F460" s="11" t="s">
        <v>64</v>
      </c>
      <c r="G460" s="12" t="s">
        <v>33</v>
      </c>
      <c r="H460" s="11" t="s">
        <v>58</v>
      </c>
      <c r="I460" s="16" t="n">
        <v>41</v>
      </c>
      <c r="J460" s="16" t="n">
        <v>36738</v>
      </c>
    </row>
    <row r="461" customFormat="false" ht="15" hidden="false" customHeight="true" outlineLevel="0" collapsed="false">
      <c r="A461" s="14" t="n">
        <v>2023</v>
      </c>
      <c r="B461" s="14" t="n">
        <v>8</v>
      </c>
      <c r="C461" s="11" t="s">
        <v>53</v>
      </c>
      <c r="D461" s="11" t="s">
        <v>54</v>
      </c>
      <c r="E461" s="15" t="s">
        <v>27</v>
      </c>
      <c r="F461" s="11" t="s">
        <v>28</v>
      </c>
      <c r="G461" s="12" t="s">
        <v>29</v>
      </c>
      <c r="H461" s="11" t="s">
        <v>62</v>
      </c>
      <c r="I461" s="16" t="n">
        <v>23</v>
      </c>
      <c r="J461" s="16" t="n">
        <v>12600</v>
      </c>
    </row>
    <row r="462" customFormat="false" ht="15" hidden="false" customHeight="true" outlineLevel="0" collapsed="false">
      <c r="A462" s="14" t="n">
        <v>2023</v>
      </c>
      <c r="B462" s="14" t="n">
        <v>8</v>
      </c>
      <c r="C462" s="11" t="s">
        <v>53</v>
      </c>
      <c r="D462" s="11" t="s">
        <v>54</v>
      </c>
      <c r="E462" s="15" t="s">
        <v>34</v>
      </c>
      <c r="F462" s="11" t="s">
        <v>65</v>
      </c>
      <c r="G462" s="12" t="s">
        <v>36</v>
      </c>
      <c r="H462" s="11" t="s">
        <v>62</v>
      </c>
      <c r="I462" s="16" t="n">
        <v>5</v>
      </c>
      <c r="J462" s="16" t="n">
        <v>12600</v>
      </c>
    </row>
    <row r="463" customFormat="false" ht="15" hidden="false" customHeight="true" outlineLevel="0" collapsed="false">
      <c r="A463" s="14" t="n">
        <v>2023</v>
      </c>
      <c r="B463" s="14" t="n">
        <v>9</v>
      </c>
      <c r="C463" s="11" t="s">
        <v>53</v>
      </c>
      <c r="D463" s="11" t="s">
        <v>54</v>
      </c>
      <c r="E463" s="15" t="s">
        <v>23</v>
      </c>
      <c r="F463" s="11" t="s">
        <v>24</v>
      </c>
      <c r="G463" s="12" t="s">
        <v>25</v>
      </c>
      <c r="H463" s="11" t="s">
        <v>56</v>
      </c>
      <c r="I463" s="16" t="n">
        <v>5079</v>
      </c>
      <c r="J463" s="16" t="n">
        <v>502773</v>
      </c>
    </row>
    <row r="464" customFormat="false" ht="15" hidden="false" customHeight="true" outlineLevel="0" collapsed="false">
      <c r="A464" s="14" t="n">
        <v>2023</v>
      </c>
      <c r="B464" s="14" t="n">
        <v>9</v>
      </c>
      <c r="C464" s="11" t="s">
        <v>53</v>
      </c>
      <c r="D464" s="11" t="s">
        <v>54</v>
      </c>
      <c r="E464" s="15" t="s">
        <v>27</v>
      </c>
      <c r="F464" s="11" t="s">
        <v>28</v>
      </c>
      <c r="G464" s="12" t="s">
        <v>29</v>
      </c>
      <c r="H464" s="11" t="s">
        <v>56</v>
      </c>
      <c r="I464" s="16" t="n">
        <v>4278</v>
      </c>
      <c r="J464" s="16" t="n">
        <v>1480878</v>
      </c>
    </row>
    <row r="465" customFormat="false" ht="15" hidden="false" customHeight="true" outlineLevel="0" collapsed="false">
      <c r="A465" s="14" t="n">
        <v>2023</v>
      </c>
      <c r="B465" s="14" t="n">
        <v>9</v>
      </c>
      <c r="C465" s="11" t="s">
        <v>53</v>
      </c>
      <c r="D465" s="11" t="s">
        <v>54</v>
      </c>
      <c r="E465" s="15" t="s">
        <v>27</v>
      </c>
      <c r="F465" s="11" t="s">
        <v>28</v>
      </c>
      <c r="G465" s="12" t="s">
        <v>29</v>
      </c>
      <c r="H465" s="11" t="s">
        <v>60</v>
      </c>
      <c r="I465" s="16" t="n">
        <v>100</v>
      </c>
      <c r="J465" s="16" t="n">
        <v>53204</v>
      </c>
    </row>
    <row r="466" customFormat="false" ht="15" hidden="false" customHeight="true" outlineLevel="0" collapsed="false">
      <c r="A466" s="14" t="n">
        <v>2023</v>
      </c>
      <c r="B466" s="14" t="n">
        <v>10</v>
      </c>
      <c r="C466" s="11" t="s">
        <v>53</v>
      </c>
      <c r="D466" s="11" t="s">
        <v>54</v>
      </c>
      <c r="E466" s="15" t="s">
        <v>23</v>
      </c>
      <c r="F466" s="11" t="s">
        <v>24</v>
      </c>
      <c r="G466" s="12" t="s">
        <v>25</v>
      </c>
      <c r="H466" s="11" t="s">
        <v>55</v>
      </c>
      <c r="I466" s="16" t="n">
        <v>3300</v>
      </c>
      <c r="J466" s="16" t="n">
        <v>297000</v>
      </c>
    </row>
    <row r="467" customFormat="false" ht="15" hidden="false" customHeight="true" outlineLevel="0" collapsed="false">
      <c r="A467" s="14" t="n">
        <v>2023</v>
      </c>
      <c r="B467" s="14" t="n">
        <v>10</v>
      </c>
      <c r="C467" s="11" t="s">
        <v>53</v>
      </c>
      <c r="D467" s="11" t="s">
        <v>54</v>
      </c>
      <c r="E467" s="15" t="s">
        <v>27</v>
      </c>
      <c r="F467" s="11" t="s">
        <v>28</v>
      </c>
      <c r="G467" s="12" t="s">
        <v>29</v>
      </c>
      <c r="H467" s="11" t="s">
        <v>56</v>
      </c>
      <c r="I467" s="16" t="n">
        <v>1584</v>
      </c>
      <c r="J467" s="16" t="n">
        <v>794585</v>
      </c>
    </row>
    <row r="468" customFormat="false" ht="15" hidden="false" customHeight="true" outlineLevel="0" collapsed="false">
      <c r="A468" s="14" t="n">
        <v>2023</v>
      </c>
      <c r="B468" s="14" t="n">
        <v>10</v>
      </c>
      <c r="C468" s="11" t="s">
        <v>53</v>
      </c>
      <c r="D468" s="11" t="s">
        <v>54</v>
      </c>
      <c r="E468" s="15" t="s">
        <v>34</v>
      </c>
      <c r="F468" s="11" t="s">
        <v>65</v>
      </c>
      <c r="G468" s="12" t="s">
        <v>36</v>
      </c>
      <c r="H468" s="11" t="s">
        <v>56</v>
      </c>
      <c r="I468" s="16" t="n">
        <v>500</v>
      </c>
      <c r="J468" s="16" t="n">
        <v>280000</v>
      </c>
    </row>
    <row r="469" customFormat="false" ht="15" hidden="false" customHeight="true" outlineLevel="0" collapsed="false">
      <c r="A469" s="14" t="n">
        <v>2023</v>
      </c>
      <c r="B469" s="14" t="n">
        <v>10</v>
      </c>
      <c r="C469" s="11" t="s">
        <v>53</v>
      </c>
      <c r="D469" s="11" t="s">
        <v>54</v>
      </c>
      <c r="E469" s="15" t="s">
        <v>20</v>
      </c>
      <c r="F469" s="11" t="s">
        <v>21</v>
      </c>
      <c r="G469" s="12" t="s">
        <v>22</v>
      </c>
      <c r="H469" s="11" t="s">
        <v>57</v>
      </c>
      <c r="I469" s="16" t="n">
        <v>1716</v>
      </c>
      <c r="J469" s="16" t="n">
        <v>113569</v>
      </c>
    </row>
    <row r="470" customFormat="false" ht="15" hidden="false" customHeight="true" outlineLevel="0" collapsed="false">
      <c r="A470" s="14" t="n">
        <v>2023</v>
      </c>
      <c r="B470" s="14" t="n">
        <v>10</v>
      </c>
      <c r="C470" s="11" t="s">
        <v>53</v>
      </c>
      <c r="D470" s="11" t="s">
        <v>54</v>
      </c>
      <c r="E470" s="15" t="s">
        <v>31</v>
      </c>
      <c r="F470" s="11" t="s">
        <v>64</v>
      </c>
      <c r="G470" s="12" t="s">
        <v>33</v>
      </c>
      <c r="H470" s="11" t="s">
        <v>57</v>
      </c>
      <c r="I470" s="16" t="n">
        <v>6</v>
      </c>
      <c r="J470" s="16" t="n">
        <v>3715</v>
      </c>
    </row>
    <row r="471" customFormat="false" ht="15" hidden="false" customHeight="true" outlineLevel="0" collapsed="false">
      <c r="A471" s="14" t="n">
        <v>2023</v>
      </c>
      <c r="B471" s="14" t="n">
        <v>10</v>
      </c>
      <c r="C471" s="11" t="s">
        <v>53</v>
      </c>
      <c r="D471" s="11" t="s">
        <v>54</v>
      </c>
      <c r="E471" s="15" t="s">
        <v>23</v>
      </c>
      <c r="F471" s="11" t="s">
        <v>24</v>
      </c>
      <c r="G471" s="12" t="s">
        <v>25</v>
      </c>
      <c r="H471" s="11" t="s">
        <v>58</v>
      </c>
      <c r="I471" s="16" t="n">
        <v>356</v>
      </c>
      <c r="J471" s="16" t="n">
        <v>48176</v>
      </c>
    </row>
    <row r="472" customFormat="false" ht="15" hidden="false" customHeight="true" outlineLevel="0" collapsed="false">
      <c r="A472" s="14" t="n">
        <v>2023</v>
      </c>
      <c r="B472" s="14" t="n">
        <v>10</v>
      </c>
      <c r="C472" s="11" t="s">
        <v>53</v>
      </c>
      <c r="D472" s="11" t="s">
        <v>54</v>
      </c>
      <c r="E472" s="15" t="s">
        <v>27</v>
      </c>
      <c r="F472" s="11" t="s">
        <v>28</v>
      </c>
      <c r="G472" s="12" t="s">
        <v>29</v>
      </c>
      <c r="H472" s="11" t="s">
        <v>59</v>
      </c>
      <c r="I472" s="16" t="n">
        <v>1344</v>
      </c>
      <c r="J472" s="16" t="n">
        <v>326673</v>
      </c>
    </row>
    <row r="473" customFormat="false" ht="15" hidden="false" customHeight="true" outlineLevel="0" collapsed="false">
      <c r="A473" s="14" t="n">
        <v>2023</v>
      </c>
      <c r="B473" s="14" t="n">
        <v>11</v>
      </c>
      <c r="C473" s="11" t="s">
        <v>53</v>
      </c>
      <c r="D473" s="11" t="s">
        <v>54</v>
      </c>
      <c r="E473" s="15" t="s">
        <v>20</v>
      </c>
      <c r="F473" s="11" t="s">
        <v>21</v>
      </c>
      <c r="G473" s="12" t="s">
        <v>22</v>
      </c>
      <c r="H473" s="11" t="s">
        <v>55</v>
      </c>
      <c r="I473" s="16" t="n">
        <v>33418</v>
      </c>
      <c r="J473" s="16" t="n">
        <v>3179028</v>
      </c>
    </row>
    <row r="474" customFormat="false" ht="15" hidden="false" customHeight="true" outlineLevel="0" collapsed="false">
      <c r="A474" s="14" t="n">
        <v>2023</v>
      </c>
      <c r="B474" s="14" t="n">
        <v>11</v>
      </c>
      <c r="C474" s="11" t="s">
        <v>53</v>
      </c>
      <c r="D474" s="11" t="s">
        <v>54</v>
      </c>
      <c r="E474" s="15" t="s">
        <v>23</v>
      </c>
      <c r="F474" s="11" t="s">
        <v>24</v>
      </c>
      <c r="G474" s="12" t="s">
        <v>25</v>
      </c>
      <c r="H474" s="11" t="s">
        <v>55</v>
      </c>
      <c r="I474" s="16" t="n">
        <v>50150</v>
      </c>
      <c r="J474" s="16" t="n">
        <v>4949788</v>
      </c>
    </row>
    <row r="475" customFormat="false" ht="15" hidden="false" customHeight="true" outlineLevel="0" collapsed="false">
      <c r="A475" s="14" t="n">
        <v>2023</v>
      </c>
      <c r="B475" s="14" t="n">
        <v>11</v>
      </c>
      <c r="C475" s="11" t="s">
        <v>53</v>
      </c>
      <c r="D475" s="11" t="s">
        <v>54</v>
      </c>
      <c r="E475" s="15" t="s">
        <v>23</v>
      </c>
      <c r="F475" s="11" t="s">
        <v>24</v>
      </c>
      <c r="G475" s="12" t="s">
        <v>25</v>
      </c>
      <c r="H475" s="11" t="s">
        <v>56</v>
      </c>
      <c r="I475" s="16" t="n">
        <v>300</v>
      </c>
      <c r="J475" s="16" t="n">
        <v>27000</v>
      </c>
    </row>
    <row r="476" customFormat="false" ht="15" hidden="false" customHeight="true" outlineLevel="0" collapsed="false">
      <c r="A476" s="14" t="n">
        <v>2023</v>
      </c>
      <c r="B476" s="14" t="n">
        <v>11</v>
      </c>
      <c r="C476" s="11" t="s">
        <v>53</v>
      </c>
      <c r="D476" s="11" t="s">
        <v>54</v>
      </c>
      <c r="E476" s="15" t="s">
        <v>27</v>
      </c>
      <c r="F476" s="11" t="s">
        <v>28</v>
      </c>
      <c r="G476" s="12" t="s">
        <v>29</v>
      </c>
      <c r="H476" s="11" t="s">
        <v>56</v>
      </c>
      <c r="I476" s="16" t="n">
        <v>2435</v>
      </c>
      <c r="J476" s="16" t="n">
        <v>1206241</v>
      </c>
    </row>
    <row r="477" customFormat="false" ht="15" hidden="false" customHeight="true" outlineLevel="0" collapsed="false">
      <c r="A477" s="14" t="n">
        <v>2023</v>
      </c>
      <c r="B477" s="14" t="n">
        <v>11</v>
      </c>
      <c r="C477" s="11" t="s">
        <v>53</v>
      </c>
      <c r="D477" s="11" t="s">
        <v>54</v>
      </c>
      <c r="E477" s="15" t="s">
        <v>20</v>
      </c>
      <c r="F477" s="11" t="s">
        <v>21</v>
      </c>
      <c r="G477" s="12" t="s">
        <v>22</v>
      </c>
      <c r="H477" s="11" t="s">
        <v>57</v>
      </c>
      <c r="I477" s="16" t="n">
        <v>5884</v>
      </c>
      <c r="J477" s="16" t="n">
        <v>379044</v>
      </c>
    </row>
    <row r="478" customFormat="false" ht="15" hidden="false" customHeight="true" outlineLevel="0" collapsed="false">
      <c r="A478" s="14" t="n">
        <v>2023</v>
      </c>
      <c r="B478" s="14" t="n">
        <v>11</v>
      </c>
      <c r="C478" s="11" t="s">
        <v>53</v>
      </c>
      <c r="D478" s="11" t="s">
        <v>54</v>
      </c>
      <c r="E478" s="15" t="s">
        <v>27</v>
      </c>
      <c r="F478" s="11" t="s">
        <v>28</v>
      </c>
      <c r="G478" s="12" t="s">
        <v>29</v>
      </c>
      <c r="H478" s="11" t="s">
        <v>59</v>
      </c>
      <c r="I478" s="16" t="n">
        <v>1831</v>
      </c>
      <c r="J478" s="16" t="n">
        <v>340289</v>
      </c>
    </row>
    <row r="479" customFormat="false" ht="15" hidden="false" customHeight="true" outlineLevel="0" collapsed="false">
      <c r="A479" s="14" t="n">
        <v>2023</v>
      </c>
      <c r="B479" s="14" t="n">
        <v>11</v>
      </c>
      <c r="C479" s="11" t="s">
        <v>53</v>
      </c>
      <c r="D479" s="11" t="s">
        <v>54</v>
      </c>
      <c r="E479" s="15" t="s">
        <v>34</v>
      </c>
      <c r="F479" s="11" t="s">
        <v>65</v>
      </c>
      <c r="G479" s="12" t="s">
        <v>36</v>
      </c>
      <c r="H479" s="11" t="s">
        <v>60</v>
      </c>
      <c r="I479" s="16" t="n">
        <v>25</v>
      </c>
      <c r="J479" s="16" t="n">
        <v>17347</v>
      </c>
    </row>
    <row r="480" customFormat="false" ht="15" hidden="false" customHeight="true" outlineLevel="0" collapsed="false">
      <c r="A480" s="14" t="n">
        <v>2023</v>
      </c>
      <c r="B480" s="14" t="n">
        <v>12</v>
      </c>
      <c r="C480" s="11" t="s">
        <v>53</v>
      </c>
      <c r="D480" s="11" t="s">
        <v>54</v>
      </c>
      <c r="E480" s="15" t="s">
        <v>20</v>
      </c>
      <c r="F480" s="11" t="s">
        <v>21</v>
      </c>
      <c r="G480" s="12" t="s">
        <v>22</v>
      </c>
      <c r="H480" s="11" t="s">
        <v>55</v>
      </c>
      <c r="I480" s="16" t="n">
        <v>81156</v>
      </c>
      <c r="J480" s="16" t="n">
        <v>6987787</v>
      </c>
    </row>
    <row r="481" customFormat="false" ht="15" hidden="false" customHeight="true" outlineLevel="0" collapsed="false">
      <c r="A481" s="14" t="n">
        <v>2023</v>
      </c>
      <c r="B481" s="14" t="n">
        <v>12</v>
      </c>
      <c r="C481" s="11" t="s">
        <v>53</v>
      </c>
      <c r="D481" s="11" t="s">
        <v>54</v>
      </c>
      <c r="E481" s="15" t="s">
        <v>23</v>
      </c>
      <c r="F481" s="11" t="s">
        <v>24</v>
      </c>
      <c r="G481" s="12" t="s">
        <v>25</v>
      </c>
      <c r="H481" s="11" t="s">
        <v>55</v>
      </c>
      <c r="I481" s="16" t="n">
        <v>170454</v>
      </c>
      <c r="J481" s="16" t="n">
        <v>17091361</v>
      </c>
    </row>
    <row r="482" customFormat="false" ht="15" hidden="false" customHeight="true" outlineLevel="0" collapsed="false">
      <c r="A482" s="14" t="n">
        <v>2023</v>
      </c>
      <c r="B482" s="14" t="n">
        <v>12</v>
      </c>
      <c r="C482" s="11" t="s">
        <v>53</v>
      </c>
      <c r="D482" s="11" t="s">
        <v>54</v>
      </c>
      <c r="E482" s="15" t="s">
        <v>20</v>
      </c>
      <c r="F482" s="11" t="s">
        <v>21</v>
      </c>
      <c r="G482" s="12" t="s">
        <v>22</v>
      </c>
      <c r="H482" s="11" t="s">
        <v>56</v>
      </c>
      <c r="I482" s="16" t="n">
        <v>5000</v>
      </c>
      <c r="J482" s="16" t="n">
        <v>494881</v>
      </c>
    </row>
    <row r="483" customFormat="false" ht="15" hidden="false" customHeight="true" outlineLevel="0" collapsed="false">
      <c r="A483" s="14" t="n">
        <v>2023</v>
      </c>
      <c r="B483" s="14" t="n">
        <v>12</v>
      </c>
      <c r="C483" s="11" t="s">
        <v>53</v>
      </c>
      <c r="D483" s="11" t="s">
        <v>54</v>
      </c>
      <c r="E483" s="15" t="s">
        <v>23</v>
      </c>
      <c r="F483" s="11" t="s">
        <v>24</v>
      </c>
      <c r="G483" s="12" t="s">
        <v>25</v>
      </c>
      <c r="H483" s="11" t="s">
        <v>56</v>
      </c>
      <c r="I483" s="16" t="n">
        <v>5321</v>
      </c>
      <c r="J483" s="16" t="n">
        <v>532110</v>
      </c>
    </row>
    <row r="484" customFormat="false" ht="15" hidden="false" customHeight="true" outlineLevel="0" collapsed="false">
      <c r="A484" s="14" t="n">
        <v>2024</v>
      </c>
      <c r="B484" s="14" t="n">
        <v>1</v>
      </c>
      <c r="C484" s="11" t="s">
        <v>53</v>
      </c>
      <c r="D484" s="11" t="s">
        <v>54</v>
      </c>
      <c r="E484" s="15" t="s">
        <v>20</v>
      </c>
      <c r="F484" s="11" t="s">
        <v>21</v>
      </c>
      <c r="G484" s="12" t="s">
        <v>22</v>
      </c>
      <c r="H484" s="11" t="s">
        <v>55</v>
      </c>
      <c r="I484" s="16" t="n">
        <v>11068</v>
      </c>
      <c r="J484" s="16" t="n">
        <v>991721</v>
      </c>
    </row>
    <row r="485" customFormat="false" ht="15" hidden="false" customHeight="true" outlineLevel="0" collapsed="false">
      <c r="A485" s="14" t="n">
        <v>2024</v>
      </c>
      <c r="B485" s="14" t="n">
        <v>1</v>
      </c>
      <c r="C485" s="11" t="s">
        <v>53</v>
      </c>
      <c r="D485" s="11" t="s">
        <v>54</v>
      </c>
      <c r="E485" s="15" t="s">
        <v>23</v>
      </c>
      <c r="F485" s="11" t="s">
        <v>24</v>
      </c>
      <c r="G485" s="12" t="s">
        <v>25</v>
      </c>
      <c r="H485" s="11" t="s">
        <v>55</v>
      </c>
      <c r="I485" s="16" t="n">
        <v>73033</v>
      </c>
      <c r="J485" s="16" t="n">
        <v>7477114</v>
      </c>
    </row>
    <row r="486" customFormat="false" ht="15" hidden="false" customHeight="true" outlineLevel="0" collapsed="false">
      <c r="A486" s="14" t="n">
        <v>2024</v>
      </c>
      <c r="B486" s="14" t="n">
        <v>1</v>
      </c>
      <c r="C486" s="11" t="s">
        <v>53</v>
      </c>
      <c r="D486" s="11" t="s">
        <v>54</v>
      </c>
      <c r="E486" s="15" t="s">
        <v>23</v>
      </c>
      <c r="F486" s="11" t="s">
        <v>24</v>
      </c>
      <c r="G486" s="12" t="s">
        <v>25</v>
      </c>
      <c r="H486" s="11" t="s">
        <v>56</v>
      </c>
      <c r="I486" s="16" t="n">
        <v>1000</v>
      </c>
      <c r="J486" s="16" t="n">
        <v>121000</v>
      </c>
    </row>
    <row r="487" customFormat="false" ht="15" hidden="false" customHeight="true" outlineLevel="0" collapsed="false">
      <c r="A487" s="14" t="n">
        <v>2024</v>
      </c>
      <c r="B487" s="14" t="n">
        <v>1</v>
      </c>
      <c r="C487" s="11" t="s">
        <v>53</v>
      </c>
      <c r="D487" s="11" t="s">
        <v>54</v>
      </c>
      <c r="E487" s="15" t="s">
        <v>27</v>
      </c>
      <c r="F487" s="11" t="s">
        <v>28</v>
      </c>
      <c r="G487" s="12" t="s">
        <v>29</v>
      </c>
      <c r="H487" s="11" t="s">
        <v>56</v>
      </c>
      <c r="I487" s="16" t="n">
        <v>5640</v>
      </c>
      <c r="J487" s="16" t="n">
        <v>2814432</v>
      </c>
    </row>
    <row r="488" customFormat="false" ht="15" hidden="false" customHeight="true" outlineLevel="0" collapsed="false">
      <c r="A488" s="14" t="n">
        <v>2024</v>
      </c>
      <c r="B488" s="14" t="n">
        <v>1</v>
      </c>
      <c r="C488" s="11" t="s">
        <v>53</v>
      </c>
      <c r="D488" s="11" t="s">
        <v>54</v>
      </c>
      <c r="E488" s="15" t="s">
        <v>27</v>
      </c>
      <c r="F488" s="11" t="s">
        <v>28</v>
      </c>
      <c r="G488" s="12" t="s">
        <v>29</v>
      </c>
      <c r="H488" s="11" t="s">
        <v>59</v>
      </c>
      <c r="I488" s="16" t="n">
        <v>908</v>
      </c>
      <c r="J488" s="16" t="n">
        <v>52272</v>
      </c>
    </row>
    <row r="489" customFormat="false" ht="15" hidden="false" customHeight="true" outlineLevel="0" collapsed="false">
      <c r="A489" s="14" t="n">
        <v>2024</v>
      </c>
      <c r="B489" s="14" t="n">
        <v>1</v>
      </c>
      <c r="C489" s="11" t="s">
        <v>53</v>
      </c>
      <c r="D489" s="11" t="s">
        <v>54</v>
      </c>
      <c r="E489" s="15" t="s">
        <v>34</v>
      </c>
      <c r="F489" s="11" t="s">
        <v>65</v>
      </c>
      <c r="G489" s="12" t="s">
        <v>36</v>
      </c>
      <c r="H489" s="11" t="s">
        <v>66</v>
      </c>
      <c r="I489" s="16" t="n">
        <v>10</v>
      </c>
      <c r="J489" s="16" t="n">
        <v>29630</v>
      </c>
    </row>
    <row r="490" customFormat="false" ht="15" hidden="false" customHeight="true" outlineLevel="0" collapsed="false">
      <c r="A490" s="14" t="n">
        <v>2024</v>
      </c>
      <c r="B490" s="14" t="n">
        <v>2</v>
      </c>
      <c r="C490" s="11" t="s">
        <v>53</v>
      </c>
      <c r="D490" s="11" t="s">
        <v>54</v>
      </c>
      <c r="E490" s="15" t="s">
        <v>20</v>
      </c>
      <c r="F490" s="11" t="s">
        <v>21</v>
      </c>
      <c r="G490" s="12" t="s">
        <v>22</v>
      </c>
      <c r="H490" s="11" t="s">
        <v>55</v>
      </c>
      <c r="I490" s="16" t="n">
        <v>48216</v>
      </c>
      <c r="J490" s="16" t="n">
        <v>4992868</v>
      </c>
    </row>
    <row r="491" customFormat="false" ht="15" hidden="false" customHeight="true" outlineLevel="0" collapsed="false">
      <c r="A491" s="14" t="n">
        <v>2024</v>
      </c>
      <c r="B491" s="14" t="n">
        <v>2</v>
      </c>
      <c r="C491" s="11" t="s">
        <v>53</v>
      </c>
      <c r="D491" s="11" t="s">
        <v>54</v>
      </c>
      <c r="E491" s="15" t="s">
        <v>23</v>
      </c>
      <c r="F491" s="11" t="s">
        <v>24</v>
      </c>
      <c r="G491" s="12" t="s">
        <v>25</v>
      </c>
      <c r="H491" s="11" t="s">
        <v>55</v>
      </c>
      <c r="I491" s="16" t="n">
        <v>194263</v>
      </c>
      <c r="J491" s="16" t="n">
        <v>21190340</v>
      </c>
    </row>
    <row r="492" customFormat="false" ht="15" hidden="false" customHeight="true" outlineLevel="0" collapsed="false">
      <c r="A492" s="14" t="n">
        <v>2024</v>
      </c>
      <c r="B492" s="14" t="n">
        <v>2</v>
      </c>
      <c r="C492" s="11" t="s">
        <v>53</v>
      </c>
      <c r="D492" s="11" t="s">
        <v>54</v>
      </c>
      <c r="E492" s="15" t="s">
        <v>20</v>
      </c>
      <c r="F492" s="11" t="s">
        <v>21</v>
      </c>
      <c r="G492" s="12" t="s">
        <v>22</v>
      </c>
      <c r="H492" s="11" t="s">
        <v>56</v>
      </c>
      <c r="I492" s="16" t="n">
        <v>10000</v>
      </c>
      <c r="J492" s="16" t="n">
        <v>995574</v>
      </c>
    </row>
    <row r="493" customFormat="false" ht="15" hidden="false" customHeight="true" outlineLevel="0" collapsed="false">
      <c r="A493" s="14" t="n">
        <v>2024</v>
      </c>
      <c r="B493" s="14" t="n">
        <v>2</v>
      </c>
      <c r="C493" s="11" t="s">
        <v>53</v>
      </c>
      <c r="D493" s="11" t="s">
        <v>54</v>
      </c>
      <c r="E493" s="15" t="s">
        <v>23</v>
      </c>
      <c r="F493" s="11" t="s">
        <v>24</v>
      </c>
      <c r="G493" s="12" t="s">
        <v>25</v>
      </c>
      <c r="H493" s="11" t="s">
        <v>56</v>
      </c>
      <c r="I493" s="16" t="n">
        <v>13000</v>
      </c>
      <c r="J493" s="16" t="n">
        <v>1264447</v>
      </c>
    </row>
    <row r="494" customFormat="false" ht="15" hidden="false" customHeight="true" outlineLevel="0" collapsed="false">
      <c r="A494" s="14" t="n">
        <v>2024</v>
      </c>
      <c r="B494" s="14" t="n">
        <v>2</v>
      </c>
      <c r="C494" s="11" t="s">
        <v>53</v>
      </c>
      <c r="D494" s="11" t="s">
        <v>54</v>
      </c>
      <c r="E494" s="15" t="s">
        <v>27</v>
      </c>
      <c r="F494" s="11" t="s">
        <v>28</v>
      </c>
      <c r="G494" s="12" t="s">
        <v>29</v>
      </c>
      <c r="H494" s="11" t="s">
        <v>56</v>
      </c>
      <c r="I494" s="16" t="n">
        <v>1185</v>
      </c>
      <c r="J494" s="16" t="n">
        <v>512701</v>
      </c>
    </row>
    <row r="495" customFormat="false" ht="15" hidden="false" customHeight="true" outlineLevel="0" collapsed="false">
      <c r="A495" s="14" t="n">
        <v>2024</v>
      </c>
      <c r="B495" s="14" t="n">
        <v>2</v>
      </c>
      <c r="C495" s="11" t="s">
        <v>53</v>
      </c>
      <c r="D495" s="11" t="s">
        <v>54</v>
      </c>
      <c r="E495" s="15" t="s">
        <v>20</v>
      </c>
      <c r="F495" s="11" t="s">
        <v>21</v>
      </c>
      <c r="G495" s="12" t="s">
        <v>22</v>
      </c>
      <c r="H495" s="11" t="s">
        <v>57</v>
      </c>
      <c r="I495" s="16" t="n">
        <v>3072</v>
      </c>
      <c r="J495" s="16" t="n">
        <v>212868</v>
      </c>
    </row>
    <row r="496" customFormat="false" ht="15" hidden="false" customHeight="true" outlineLevel="0" collapsed="false">
      <c r="A496" s="14" t="n">
        <v>2024</v>
      </c>
      <c r="B496" s="14" t="n">
        <v>2</v>
      </c>
      <c r="C496" s="11" t="s">
        <v>53</v>
      </c>
      <c r="D496" s="11" t="s">
        <v>54</v>
      </c>
      <c r="E496" s="15" t="s">
        <v>27</v>
      </c>
      <c r="F496" s="11" t="s">
        <v>28</v>
      </c>
      <c r="G496" s="12" t="s">
        <v>29</v>
      </c>
      <c r="H496" s="11" t="s">
        <v>57</v>
      </c>
      <c r="I496" s="16" t="n">
        <v>22</v>
      </c>
      <c r="J496" s="16" t="n">
        <v>13000</v>
      </c>
    </row>
    <row r="497" customFormat="false" ht="15" hidden="false" customHeight="true" outlineLevel="0" collapsed="false">
      <c r="A497" s="14" t="n">
        <v>2024</v>
      </c>
      <c r="B497" s="14" t="n">
        <v>2</v>
      </c>
      <c r="C497" s="11" t="s">
        <v>53</v>
      </c>
      <c r="D497" s="11" t="s">
        <v>54</v>
      </c>
      <c r="E497" s="15" t="s">
        <v>20</v>
      </c>
      <c r="F497" s="11" t="s">
        <v>21</v>
      </c>
      <c r="G497" s="12" t="s">
        <v>22</v>
      </c>
      <c r="H497" s="11" t="s">
        <v>58</v>
      </c>
      <c r="I497" s="16" t="n">
        <v>40</v>
      </c>
      <c r="J497" s="16" t="n">
        <v>39540</v>
      </c>
    </row>
    <row r="498" customFormat="false" ht="15" hidden="false" customHeight="true" outlineLevel="0" collapsed="false">
      <c r="A498" s="14" t="n">
        <v>2024</v>
      </c>
      <c r="B498" s="14" t="n">
        <v>2</v>
      </c>
      <c r="C498" s="11" t="s">
        <v>53</v>
      </c>
      <c r="D498" s="11" t="s">
        <v>54</v>
      </c>
      <c r="E498" s="15" t="s">
        <v>31</v>
      </c>
      <c r="F498" s="11" t="s">
        <v>64</v>
      </c>
      <c r="G498" s="12" t="s">
        <v>33</v>
      </c>
      <c r="H498" s="11" t="s">
        <v>60</v>
      </c>
      <c r="I498" s="16" t="n">
        <v>200</v>
      </c>
      <c r="J498" s="16" t="n">
        <v>160217</v>
      </c>
    </row>
    <row r="499" customFormat="false" ht="15" hidden="false" customHeight="true" outlineLevel="0" collapsed="false">
      <c r="A499" s="14" t="n">
        <v>2024</v>
      </c>
      <c r="B499" s="14" t="n">
        <v>2</v>
      </c>
      <c r="C499" s="11" t="s">
        <v>53</v>
      </c>
      <c r="D499" s="11" t="s">
        <v>54</v>
      </c>
      <c r="E499" s="15" t="s">
        <v>27</v>
      </c>
      <c r="F499" s="11" t="s">
        <v>28</v>
      </c>
      <c r="G499" s="12" t="s">
        <v>29</v>
      </c>
      <c r="H499" s="11" t="s">
        <v>61</v>
      </c>
      <c r="I499" s="16" t="n">
        <v>433</v>
      </c>
      <c r="J499" s="16" t="n">
        <v>233000</v>
      </c>
    </row>
    <row r="500" customFormat="false" ht="15" hidden="false" customHeight="true" outlineLevel="0" collapsed="false">
      <c r="A500" s="14" t="n">
        <v>2024</v>
      </c>
      <c r="B500" s="14" t="n">
        <v>3</v>
      </c>
      <c r="C500" s="11" t="s">
        <v>53</v>
      </c>
      <c r="D500" s="11" t="s">
        <v>54</v>
      </c>
      <c r="E500" s="15" t="s">
        <v>20</v>
      </c>
      <c r="F500" s="11" t="s">
        <v>21</v>
      </c>
      <c r="G500" s="12" t="s">
        <v>22</v>
      </c>
      <c r="H500" s="11" t="s">
        <v>55</v>
      </c>
      <c r="I500" s="16" t="n">
        <v>32135</v>
      </c>
      <c r="J500" s="16" t="n">
        <v>2437401</v>
      </c>
    </row>
    <row r="501" customFormat="false" ht="15" hidden="false" customHeight="true" outlineLevel="0" collapsed="false">
      <c r="A501" s="14" t="n">
        <v>2024</v>
      </c>
      <c r="B501" s="14" t="n">
        <v>3</v>
      </c>
      <c r="C501" s="11" t="s">
        <v>53</v>
      </c>
      <c r="D501" s="11" t="s">
        <v>54</v>
      </c>
      <c r="E501" s="15" t="s">
        <v>23</v>
      </c>
      <c r="F501" s="11" t="s">
        <v>24</v>
      </c>
      <c r="G501" s="12" t="s">
        <v>25</v>
      </c>
      <c r="H501" s="11" t="s">
        <v>55</v>
      </c>
      <c r="I501" s="16" t="n">
        <v>165970</v>
      </c>
      <c r="J501" s="16" t="n">
        <v>14402665</v>
      </c>
    </row>
    <row r="502" customFormat="false" ht="15" hidden="false" customHeight="true" outlineLevel="0" collapsed="false">
      <c r="A502" s="14" t="n">
        <v>2024</v>
      </c>
      <c r="B502" s="14" t="n">
        <v>3</v>
      </c>
      <c r="C502" s="11" t="s">
        <v>53</v>
      </c>
      <c r="D502" s="11" t="s">
        <v>54</v>
      </c>
      <c r="E502" s="15" t="s">
        <v>23</v>
      </c>
      <c r="F502" s="11" t="s">
        <v>24</v>
      </c>
      <c r="G502" s="12" t="s">
        <v>25</v>
      </c>
      <c r="H502" s="11" t="s">
        <v>56</v>
      </c>
      <c r="I502" s="16" t="n">
        <v>2000</v>
      </c>
      <c r="J502" s="16" t="n">
        <v>180000</v>
      </c>
    </row>
    <row r="503" customFormat="false" ht="15" hidden="false" customHeight="true" outlineLevel="0" collapsed="false">
      <c r="A503" s="14" t="n">
        <v>2024</v>
      </c>
      <c r="B503" s="14" t="n">
        <v>3</v>
      </c>
      <c r="C503" s="11" t="s">
        <v>53</v>
      </c>
      <c r="D503" s="11" t="s">
        <v>54</v>
      </c>
      <c r="E503" s="15" t="s">
        <v>27</v>
      </c>
      <c r="F503" s="11" t="s">
        <v>28</v>
      </c>
      <c r="G503" s="12" t="s">
        <v>29</v>
      </c>
      <c r="H503" s="11" t="s">
        <v>56</v>
      </c>
      <c r="I503" s="16" t="n">
        <v>2073</v>
      </c>
      <c r="J503" s="16" t="n">
        <v>324500</v>
      </c>
    </row>
    <row r="504" customFormat="false" ht="15" hidden="false" customHeight="true" outlineLevel="0" collapsed="false">
      <c r="A504" s="14" t="n">
        <v>2024</v>
      </c>
      <c r="B504" s="14" t="n">
        <v>3</v>
      </c>
      <c r="C504" s="11" t="s">
        <v>53</v>
      </c>
      <c r="D504" s="11" t="s">
        <v>54</v>
      </c>
      <c r="E504" s="15" t="s">
        <v>20</v>
      </c>
      <c r="F504" s="11" t="s">
        <v>21</v>
      </c>
      <c r="G504" s="12" t="s">
        <v>22</v>
      </c>
      <c r="H504" s="11" t="s">
        <v>57</v>
      </c>
      <c r="I504" s="16" t="n">
        <v>1001</v>
      </c>
      <c r="J504" s="16" t="n">
        <v>61095</v>
      </c>
    </row>
    <row r="505" customFormat="false" ht="15" hidden="false" customHeight="true" outlineLevel="0" collapsed="false">
      <c r="A505" s="14" t="n">
        <v>2024</v>
      </c>
      <c r="B505" s="14" t="n">
        <v>3</v>
      </c>
      <c r="C505" s="11" t="s">
        <v>53</v>
      </c>
      <c r="D505" s="11" t="s">
        <v>54</v>
      </c>
      <c r="E505" s="15" t="s">
        <v>23</v>
      </c>
      <c r="F505" s="11" t="s">
        <v>24</v>
      </c>
      <c r="G505" s="12" t="s">
        <v>25</v>
      </c>
      <c r="H505" s="11" t="s">
        <v>58</v>
      </c>
      <c r="I505" s="16" t="n">
        <v>853</v>
      </c>
      <c r="J505" s="16" t="n">
        <v>119433</v>
      </c>
    </row>
    <row r="506" customFormat="false" ht="15" hidden="false" customHeight="true" outlineLevel="0" collapsed="false">
      <c r="A506" s="14" t="n">
        <v>2024</v>
      </c>
      <c r="B506" s="14" t="n">
        <v>3</v>
      </c>
      <c r="C506" s="11" t="s">
        <v>53</v>
      </c>
      <c r="D506" s="11" t="s">
        <v>54</v>
      </c>
      <c r="E506" s="15" t="s">
        <v>27</v>
      </c>
      <c r="F506" s="11" t="s">
        <v>28</v>
      </c>
      <c r="G506" s="12" t="s">
        <v>29</v>
      </c>
      <c r="H506" s="11" t="s">
        <v>58</v>
      </c>
      <c r="I506" s="16" t="n">
        <v>600</v>
      </c>
      <c r="J506" s="16" t="n">
        <v>374000</v>
      </c>
    </row>
    <row r="507" customFormat="false" ht="15" hidden="false" customHeight="true" outlineLevel="0" collapsed="false">
      <c r="A507" s="14" t="n">
        <v>2024</v>
      </c>
      <c r="B507" s="14" t="n">
        <v>3</v>
      </c>
      <c r="C507" s="11" t="s">
        <v>53</v>
      </c>
      <c r="D507" s="11" t="s">
        <v>54</v>
      </c>
      <c r="E507" s="15" t="s">
        <v>20</v>
      </c>
      <c r="F507" s="11" t="s">
        <v>21</v>
      </c>
      <c r="G507" s="12" t="s">
        <v>22</v>
      </c>
      <c r="H507" s="11" t="s">
        <v>59</v>
      </c>
      <c r="I507" s="16" t="n">
        <v>416</v>
      </c>
      <c r="J507" s="16" t="n">
        <v>16838</v>
      </c>
    </row>
    <row r="508" customFormat="false" ht="15" hidden="false" customHeight="true" outlineLevel="0" collapsed="false">
      <c r="A508" s="14" t="n">
        <v>2024</v>
      </c>
      <c r="B508" s="14" t="n">
        <v>3</v>
      </c>
      <c r="C508" s="11" t="s">
        <v>53</v>
      </c>
      <c r="D508" s="11" t="s">
        <v>54</v>
      </c>
      <c r="E508" s="15" t="s">
        <v>27</v>
      </c>
      <c r="F508" s="11" t="s">
        <v>28</v>
      </c>
      <c r="G508" s="12" t="s">
        <v>29</v>
      </c>
      <c r="H508" s="11" t="s">
        <v>59</v>
      </c>
      <c r="I508" s="16" t="n">
        <v>2015</v>
      </c>
      <c r="J508" s="16" t="n">
        <v>200989</v>
      </c>
    </row>
    <row r="509" customFormat="false" ht="15" hidden="false" customHeight="true" outlineLevel="0" collapsed="false">
      <c r="A509" s="14" t="n">
        <v>2024</v>
      </c>
      <c r="B509" s="14" t="n">
        <v>4</v>
      </c>
      <c r="C509" s="11" t="s">
        <v>53</v>
      </c>
      <c r="D509" s="11" t="s">
        <v>54</v>
      </c>
      <c r="E509" s="15" t="s">
        <v>20</v>
      </c>
      <c r="F509" s="11" t="s">
        <v>21</v>
      </c>
      <c r="G509" s="12" t="s">
        <v>22</v>
      </c>
      <c r="H509" s="11" t="s">
        <v>55</v>
      </c>
      <c r="I509" s="16" t="n">
        <v>1335</v>
      </c>
      <c r="J509" s="16" t="n">
        <v>26705</v>
      </c>
    </row>
    <row r="510" customFormat="false" ht="15" hidden="false" customHeight="true" outlineLevel="0" collapsed="false">
      <c r="A510" s="14" t="n">
        <v>2024</v>
      </c>
      <c r="B510" s="14" t="n">
        <v>4</v>
      </c>
      <c r="C510" s="11" t="s">
        <v>53</v>
      </c>
      <c r="D510" s="11" t="s">
        <v>54</v>
      </c>
      <c r="E510" s="15" t="s">
        <v>23</v>
      </c>
      <c r="F510" s="11" t="s">
        <v>24</v>
      </c>
      <c r="G510" s="12" t="s">
        <v>25</v>
      </c>
      <c r="H510" s="11" t="s">
        <v>55</v>
      </c>
      <c r="I510" s="16" t="n">
        <v>11238</v>
      </c>
      <c r="J510" s="16" t="n">
        <v>1042473</v>
      </c>
    </row>
    <row r="511" customFormat="false" ht="15" hidden="false" customHeight="true" outlineLevel="0" collapsed="false">
      <c r="A511" s="14" t="n">
        <v>2024</v>
      </c>
      <c r="B511" s="14" t="n">
        <v>4</v>
      </c>
      <c r="C511" s="11" t="s">
        <v>53</v>
      </c>
      <c r="D511" s="11" t="s">
        <v>54</v>
      </c>
      <c r="E511" s="15" t="s">
        <v>23</v>
      </c>
      <c r="F511" s="11" t="s">
        <v>24</v>
      </c>
      <c r="G511" s="12" t="s">
        <v>25</v>
      </c>
      <c r="H511" s="11" t="s">
        <v>56</v>
      </c>
      <c r="I511" s="16" t="n">
        <v>9096</v>
      </c>
      <c r="J511" s="16" t="n">
        <v>879805</v>
      </c>
    </row>
    <row r="512" customFormat="false" ht="15" hidden="false" customHeight="true" outlineLevel="0" collapsed="false">
      <c r="A512" s="14" t="n">
        <v>2024</v>
      </c>
      <c r="B512" s="14" t="n">
        <v>4</v>
      </c>
      <c r="C512" s="11" t="s">
        <v>53</v>
      </c>
      <c r="D512" s="11" t="s">
        <v>54</v>
      </c>
      <c r="E512" s="15" t="s">
        <v>27</v>
      </c>
      <c r="F512" s="11" t="s">
        <v>28</v>
      </c>
      <c r="G512" s="12" t="s">
        <v>29</v>
      </c>
      <c r="H512" s="11" t="s">
        <v>56</v>
      </c>
      <c r="I512" s="16" t="n">
        <v>997</v>
      </c>
      <c r="J512" s="16" t="n">
        <v>378061</v>
      </c>
    </row>
    <row r="513" customFormat="false" ht="15" hidden="false" customHeight="true" outlineLevel="0" collapsed="false">
      <c r="A513" s="14" t="n">
        <v>2024</v>
      </c>
      <c r="B513" s="14" t="n">
        <v>4</v>
      </c>
      <c r="C513" s="11" t="s">
        <v>53</v>
      </c>
      <c r="D513" s="11" t="s">
        <v>54</v>
      </c>
      <c r="E513" s="15" t="s">
        <v>34</v>
      </c>
      <c r="F513" s="11" t="s">
        <v>65</v>
      </c>
      <c r="G513" s="12" t="s">
        <v>36</v>
      </c>
      <c r="H513" s="11" t="s">
        <v>56</v>
      </c>
      <c r="I513" s="16" t="n">
        <v>33</v>
      </c>
      <c r="J513" s="16" t="n">
        <v>4050</v>
      </c>
    </row>
    <row r="514" customFormat="false" ht="15" hidden="false" customHeight="true" outlineLevel="0" collapsed="false">
      <c r="A514" s="14" t="n">
        <v>2024</v>
      </c>
      <c r="B514" s="14" t="n">
        <v>4</v>
      </c>
      <c r="C514" s="11" t="s">
        <v>53</v>
      </c>
      <c r="D514" s="11" t="s">
        <v>54</v>
      </c>
      <c r="E514" s="15" t="s">
        <v>23</v>
      </c>
      <c r="F514" s="11" t="s">
        <v>24</v>
      </c>
      <c r="G514" s="12" t="s">
        <v>25</v>
      </c>
      <c r="H514" s="11" t="s">
        <v>58</v>
      </c>
      <c r="I514" s="16" t="n">
        <v>330</v>
      </c>
      <c r="J514" s="16" t="n">
        <v>44601</v>
      </c>
    </row>
    <row r="515" customFormat="false" ht="15" hidden="false" customHeight="true" outlineLevel="0" collapsed="false">
      <c r="A515" s="14" t="n">
        <v>2024</v>
      </c>
      <c r="B515" s="14" t="n">
        <v>4</v>
      </c>
      <c r="C515" s="11" t="s">
        <v>53</v>
      </c>
      <c r="D515" s="11" t="s">
        <v>54</v>
      </c>
      <c r="E515" s="15" t="s">
        <v>27</v>
      </c>
      <c r="F515" s="11" t="s">
        <v>28</v>
      </c>
      <c r="G515" s="12" t="s">
        <v>29</v>
      </c>
      <c r="H515" s="11" t="s">
        <v>59</v>
      </c>
      <c r="I515" s="16" t="n">
        <v>1121</v>
      </c>
      <c r="J515" s="16" t="n">
        <v>162210</v>
      </c>
    </row>
    <row r="516" customFormat="false" ht="15" hidden="false" customHeight="true" outlineLevel="0" collapsed="false">
      <c r="A516" s="14" t="n">
        <v>2024</v>
      </c>
      <c r="B516" s="14" t="n">
        <v>4</v>
      </c>
      <c r="C516" s="11" t="s">
        <v>53</v>
      </c>
      <c r="D516" s="11" t="s">
        <v>54</v>
      </c>
      <c r="E516" s="15" t="s">
        <v>27</v>
      </c>
      <c r="F516" s="11" t="s">
        <v>28</v>
      </c>
      <c r="G516" s="12" t="s">
        <v>29</v>
      </c>
      <c r="H516" s="11" t="s">
        <v>61</v>
      </c>
      <c r="I516" s="16" t="n">
        <v>101</v>
      </c>
      <c r="J516" s="16" t="n">
        <v>39000</v>
      </c>
    </row>
    <row r="517" customFormat="false" ht="15" hidden="false" customHeight="true" outlineLevel="0" collapsed="false">
      <c r="A517" s="14" t="n">
        <v>2024</v>
      </c>
      <c r="B517" s="14" t="n">
        <v>4</v>
      </c>
      <c r="C517" s="11" t="s">
        <v>53</v>
      </c>
      <c r="D517" s="11" t="s">
        <v>54</v>
      </c>
      <c r="E517" s="15" t="s">
        <v>27</v>
      </c>
      <c r="F517" s="11" t="s">
        <v>28</v>
      </c>
      <c r="G517" s="12" t="s">
        <v>29</v>
      </c>
      <c r="H517" s="11" t="s">
        <v>63</v>
      </c>
      <c r="I517" s="16" t="n">
        <v>250</v>
      </c>
      <c r="J517" s="16" t="n">
        <v>21901</v>
      </c>
    </row>
    <row r="518" customFormat="false" ht="15" hidden="false" customHeight="true" outlineLevel="0" collapsed="false">
      <c r="A518" s="14" t="n">
        <v>2024</v>
      </c>
      <c r="B518" s="14" t="n">
        <v>5</v>
      </c>
      <c r="C518" s="11" t="s">
        <v>53</v>
      </c>
      <c r="D518" s="11" t="s">
        <v>54</v>
      </c>
      <c r="E518" s="15" t="s">
        <v>20</v>
      </c>
      <c r="F518" s="11" t="s">
        <v>21</v>
      </c>
      <c r="G518" s="12" t="s">
        <v>22</v>
      </c>
      <c r="H518" s="11" t="s">
        <v>55</v>
      </c>
      <c r="I518" s="16" t="n">
        <v>2886</v>
      </c>
      <c r="J518" s="16" t="n">
        <v>86571</v>
      </c>
    </row>
    <row r="519" customFormat="false" ht="15" hidden="false" customHeight="true" outlineLevel="0" collapsed="false">
      <c r="A519" s="14" t="n">
        <v>2024</v>
      </c>
      <c r="B519" s="14" t="n">
        <v>5</v>
      </c>
      <c r="C519" s="11" t="s">
        <v>53</v>
      </c>
      <c r="D519" s="11" t="s">
        <v>54</v>
      </c>
      <c r="E519" s="15" t="s">
        <v>23</v>
      </c>
      <c r="F519" s="11" t="s">
        <v>24</v>
      </c>
      <c r="G519" s="12" t="s">
        <v>25</v>
      </c>
      <c r="H519" s="11" t="s">
        <v>56</v>
      </c>
      <c r="I519" s="16" t="n">
        <v>4723</v>
      </c>
      <c r="J519" s="16" t="n">
        <v>424484</v>
      </c>
    </row>
    <row r="520" customFormat="false" ht="15" hidden="false" customHeight="true" outlineLevel="0" collapsed="false">
      <c r="A520" s="14" t="n">
        <v>2024</v>
      </c>
      <c r="B520" s="14" t="n">
        <v>5</v>
      </c>
      <c r="C520" s="11" t="s">
        <v>53</v>
      </c>
      <c r="D520" s="11" t="s">
        <v>54</v>
      </c>
      <c r="E520" s="15" t="s">
        <v>27</v>
      </c>
      <c r="F520" s="11" t="s">
        <v>28</v>
      </c>
      <c r="G520" s="12" t="s">
        <v>29</v>
      </c>
      <c r="H520" s="11" t="s">
        <v>56</v>
      </c>
      <c r="I520" s="16" t="n">
        <v>1972</v>
      </c>
      <c r="J520" s="16" t="n">
        <v>831707</v>
      </c>
    </row>
    <row r="521" customFormat="false" ht="15" hidden="false" customHeight="true" outlineLevel="0" collapsed="false">
      <c r="A521" s="14" t="n">
        <v>2024</v>
      </c>
      <c r="B521" s="14" t="n">
        <v>5</v>
      </c>
      <c r="C521" s="11" t="s">
        <v>53</v>
      </c>
      <c r="D521" s="11" t="s">
        <v>54</v>
      </c>
      <c r="E521" s="15" t="s">
        <v>20</v>
      </c>
      <c r="F521" s="11" t="s">
        <v>21</v>
      </c>
      <c r="G521" s="12" t="s">
        <v>22</v>
      </c>
      <c r="H521" s="11" t="s">
        <v>57</v>
      </c>
      <c r="I521" s="16" t="n">
        <v>2469</v>
      </c>
      <c r="J521" s="16" t="n">
        <v>171257</v>
      </c>
    </row>
    <row r="522" customFormat="false" ht="15" hidden="false" customHeight="true" outlineLevel="0" collapsed="false">
      <c r="A522" s="14" t="n">
        <v>2024</v>
      </c>
      <c r="B522" s="14" t="n">
        <v>5</v>
      </c>
      <c r="C522" s="11" t="s">
        <v>53</v>
      </c>
      <c r="D522" s="11" t="s">
        <v>54</v>
      </c>
      <c r="E522" s="15" t="s">
        <v>27</v>
      </c>
      <c r="F522" s="11" t="s">
        <v>28</v>
      </c>
      <c r="G522" s="12" t="s">
        <v>29</v>
      </c>
      <c r="H522" s="11" t="s">
        <v>58</v>
      </c>
      <c r="I522" s="16" t="n">
        <v>172</v>
      </c>
      <c r="J522" s="16" t="n">
        <v>13095</v>
      </c>
    </row>
    <row r="523" customFormat="false" ht="15" hidden="false" customHeight="true" outlineLevel="0" collapsed="false">
      <c r="A523" s="14" t="n">
        <v>2024</v>
      </c>
      <c r="B523" s="14" t="n">
        <v>5</v>
      </c>
      <c r="C523" s="11" t="s">
        <v>53</v>
      </c>
      <c r="D523" s="11" t="s">
        <v>54</v>
      </c>
      <c r="E523" s="15" t="s">
        <v>27</v>
      </c>
      <c r="F523" s="11" t="s">
        <v>28</v>
      </c>
      <c r="G523" s="12" t="s">
        <v>29</v>
      </c>
      <c r="H523" s="11" t="s">
        <v>59</v>
      </c>
      <c r="I523" s="16" t="n">
        <v>1198</v>
      </c>
      <c r="J523" s="16" t="n">
        <v>180983</v>
      </c>
    </row>
    <row r="524" customFormat="false" ht="15" hidden="false" customHeight="true" outlineLevel="0" collapsed="false">
      <c r="A524" s="14" t="n">
        <v>2024</v>
      </c>
      <c r="B524" s="14" t="n">
        <v>6</v>
      </c>
      <c r="C524" s="11" t="s">
        <v>53</v>
      </c>
      <c r="D524" s="11" t="s">
        <v>54</v>
      </c>
      <c r="E524" s="15" t="s">
        <v>23</v>
      </c>
      <c r="F524" s="11" t="s">
        <v>24</v>
      </c>
      <c r="G524" s="12" t="s">
        <v>25</v>
      </c>
      <c r="H524" s="11" t="s">
        <v>55</v>
      </c>
      <c r="I524" s="16" t="n">
        <v>5535</v>
      </c>
      <c r="J524" s="16" t="n">
        <v>262979</v>
      </c>
    </row>
    <row r="525" customFormat="false" ht="15" hidden="false" customHeight="true" outlineLevel="0" collapsed="false">
      <c r="A525" s="14" t="n">
        <v>2024</v>
      </c>
      <c r="B525" s="14" t="n">
        <v>6</v>
      </c>
      <c r="C525" s="11" t="s">
        <v>53</v>
      </c>
      <c r="D525" s="11" t="s">
        <v>54</v>
      </c>
      <c r="E525" s="15" t="s">
        <v>34</v>
      </c>
      <c r="F525" s="11" t="s">
        <v>65</v>
      </c>
      <c r="G525" s="12" t="s">
        <v>36</v>
      </c>
      <c r="H525" s="11" t="s">
        <v>56</v>
      </c>
      <c r="I525" s="16" t="n">
        <v>51</v>
      </c>
      <c r="J525" s="16" t="n">
        <v>6818</v>
      </c>
    </row>
    <row r="526" customFormat="false" ht="15" hidden="false" customHeight="true" outlineLevel="0" collapsed="false">
      <c r="A526" s="14" t="n">
        <v>2024</v>
      </c>
      <c r="B526" s="14" t="n">
        <v>6</v>
      </c>
      <c r="C526" s="11" t="s">
        <v>53</v>
      </c>
      <c r="D526" s="11" t="s">
        <v>54</v>
      </c>
      <c r="E526" s="15" t="s">
        <v>20</v>
      </c>
      <c r="F526" s="11" t="s">
        <v>21</v>
      </c>
      <c r="G526" s="12" t="s">
        <v>22</v>
      </c>
      <c r="H526" s="11" t="s">
        <v>57</v>
      </c>
      <c r="I526" s="16" t="n">
        <v>7513</v>
      </c>
      <c r="J526" s="16" t="n">
        <v>493746</v>
      </c>
    </row>
    <row r="527" customFormat="false" ht="15" hidden="false" customHeight="true" outlineLevel="0" collapsed="false">
      <c r="A527" s="14" t="n">
        <v>2024</v>
      </c>
      <c r="B527" s="14" t="n">
        <v>6</v>
      </c>
      <c r="C527" s="11" t="s">
        <v>53</v>
      </c>
      <c r="D527" s="11" t="s">
        <v>54</v>
      </c>
      <c r="E527" s="15" t="s">
        <v>31</v>
      </c>
      <c r="F527" s="11" t="s">
        <v>64</v>
      </c>
      <c r="G527" s="12" t="s">
        <v>33</v>
      </c>
      <c r="H527" s="11" t="s">
        <v>57</v>
      </c>
      <c r="I527" s="16" t="n">
        <v>8</v>
      </c>
      <c r="J527" s="16" t="n">
        <v>7500</v>
      </c>
    </row>
    <row r="528" customFormat="false" ht="15" hidden="false" customHeight="true" outlineLevel="0" collapsed="false">
      <c r="A528" s="14" t="n">
        <v>2024</v>
      </c>
      <c r="B528" s="14" t="n">
        <v>7</v>
      </c>
      <c r="C528" s="11" t="s">
        <v>53</v>
      </c>
      <c r="D528" s="11" t="s">
        <v>54</v>
      </c>
      <c r="E528" s="15" t="s">
        <v>23</v>
      </c>
      <c r="F528" s="11" t="s">
        <v>24</v>
      </c>
      <c r="G528" s="12" t="s">
        <v>25</v>
      </c>
      <c r="H528" s="11" t="s">
        <v>56</v>
      </c>
      <c r="I528" s="16" t="n">
        <v>530</v>
      </c>
      <c r="J528" s="16" t="n">
        <v>45700</v>
      </c>
    </row>
    <row r="529" customFormat="false" ht="15" hidden="false" customHeight="true" outlineLevel="0" collapsed="false">
      <c r="A529" s="14" t="n">
        <v>2024</v>
      </c>
      <c r="B529" s="14" t="n">
        <v>7</v>
      </c>
      <c r="C529" s="11" t="s">
        <v>53</v>
      </c>
      <c r="D529" s="11" t="s">
        <v>54</v>
      </c>
      <c r="E529" s="15" t="s">
        <v>34</v>
      </c>
      <c r="F529" s="11" t="s">
        <v>65</v>
      </c>
      <c r="G529" s="12" t="s">
        <v>36</v>
      </c>
      <c r="H529" s="11" t="s">
        <v>56</v>
      </c>
      <c r="I529" s="16" t="n">
        <v>2890</v>
      </c>
      <c r="J529" s="16" t="n">
        <v>1400000</v>
      </c>
    </row>
    <row r="530" customFormat="false" ht="15" hidden="false" customHeight="true" outlineLevel="0" collapsed="false">
      <c r="A530" s="14" t="n">
        <v>2024</v>
      </c>
      <c r="B530" s="14" t="n">
        <v>7</v>
      </c>
      <c r="C530" s="11" t="s">
        <v>53</v>
      </c>
      <c r="D530" s="11" t="s">
        <v>54</v>
      </c>
      <c r="E530" s="15" t="s">
        <v>27</v>
      </c>
      <c r="F530" s="11" t="s">
        <v>28</v>
      </c>
      <c r="G530" s="12" t="s">
        <v>29</v>
      </c>
      <c r="H530" s="11" t="s">
        <v>57</v>
      </c>
      <c r="I530" s="16" t="n">
        <v>50</v>
      </c>
      <c r="J530" s="16" t="n">
        <v>21750</v>
      </c>
    </row>
    <row r="531" customFormat="false" ht="15" hidden="false" customHeight="true" outlineLevel="0" collapsed="false">
      <c r="A531" s="14" t="n">
        <v>2024</v>
      </c>
      <c r="B531" s="14" t="n">
        <v>7</v>
      </c>
      <c r="C531" s="11" t="s">
        <v>53</v>
      </c>
      <c r="D531" s="11" t="s">
        <v>54</v>
      </c>
      <c r="E531" s="15" t="s">
        <v>23</v>
      </c>
      <c r="F531" s="11" t="s">
        <v>24</v>
      </c>
      <c r="G531" s="12" t="s">
        <v>25</v>
      </c>
      <c r="H531" s="11" t="s">
        <v>58</v>
      </c>
      <c r="I531" s="16" t="n">
        <v>440</v>
      </c>
      <c r="J531" s="16" t="n">
        <v>61635</v>
      </c>
    </row>
    <row r="532" customFormat="false" ht="15" hidden="false" customHeight="true" outlineLevel="0" collapsed="false">
      <c r="A532" s="14" t="n">
        <v>2024</v>
      </c>
      <c r="B532" s="14" t="n">
        <v>7</v>
      </c>
      <c r="C532" s="11" t="s">
        <v>53</v>
      </c>
      <c r="D532" s="11" t="s">
        <v>54</v>
      </c>
      <c r="E532" s="15" t="s">
        <v>27</v>
      </c>
      <c r="F532" s="11" t="s">
        <v>28</v>
      </c>
      <c r="G532" s="12" t="s">
        <v>29</v>
      </c>
      <c r="H532" s="11" t="s">
        <v>59</v>
      </c>
      <c r="I532" s="16" t="n">
        <v>3116</v>
      </c>
      <c r="J532" s="16" t="n">
        <v>297700</v>
      </c>
    </row>
    <row r="533" customFormat="false" ht="15" hidden="false" customHeight="true" outlineLevel="0" collapsed="false">
      <c r="A533" s="14" t="n">
        <v>2024</v>
      </c>
      <c r="B533" s="14" t="n">
        <v>7</v>
      </c>
      <c r="C533" s="11" t="s">
        <v>53</v>
      </c>
      <c r="D533" s="11" t="s">
        <v>54</v>
      </c>
      <c r="E533" s="15" t="s">
        <v>31</v>
      </c>
      <c r="F533" s="11" t="s">
        <v>64</v>
      </c>
      <c r="G533" s="12" t="s">
        <v>33</v>
      </c>
      <c r="H533" s="11" t="s">
        <v>60</v>
      </c>
      <c r="I533" s="16" t="n">
        <v>280</v>
      </c>
      <c r="J533" s="16" t="n">
        <v>203266</v>
      </c>
    </row>
    <row r="534" customFormat="false" ht="15" hidden="false" customHeight="true" outlineLevel="0" collapsed="false">
      <c r="A534" s="14" t="n">
        <v>2024</v>
      </c>
      <c r="B534" s="14" t="n">
        <v>8</v>
      </c>
      <c r="C534" s="11" t="s">
        <v>53</v>
      </c>
      <c r="D534" s="11" t="s">
        <v>54</v>
      </c>
      <c r="E534" s="15" t="s">
        <v>23</v>
      </c>
      <c r="F534" s="11" t="s">
        <v>24</v>
      </c>
      <c r="G534" s="12" t="s">
        <v>25</v>
      </c>
      <c r="H534" s="11" t="s">
        <v>56</v>
      </c>
      <c r="I534" s="16" t="n">
        <v>3002</v>
      </c>
      <c r="J534" s="16" t="n">
        <v>295218</v>
      </c>
    </row>
    <row r="535" customFormat="false" ht="15" hidden="false" customHeight="true" outlineLevel="0" collapsed="false">
      <c r="A535" s="14" t="n">
        <v>2024</v>
      </c>
      <c r="B535" s="14" t="n">
        <v>8</v>
      </c>
      <c r="C535" s="11" t="s">
        <v>53</v>
      </c>
      <c r="D535" s="11" t="s">
        <v>54</v>
      </c>
      <c r="E535" s="15" t="s">
        <v>20</v>
      </c>
      <c r="F535" s="11" t="s">
        <v>21</v>
      </c>
      <c r="G535" s="12" t="s">
        <v>22</v>
      </c>
      <c r="H535" s="11" t="s">
        <v>57</v>
      </c>
      <c r="I535" s="16" t="n">
        <v>324</v>
      </c>
      <c r="J535" s="16" t="n">
        <v>23553</v>
      </c>
    </row>
    <row r="536" customFormat="false" ht="15" hidden="false" customHeight="true" outlineLevel="0" collapsed="false">
      <c r="A536" s="14" t="n">
        <v>2024</v>
      </c>
      <c r="B536" s="14" t="n">
        <v>8</v>
      </c>
      <c r="C536" s="11" t="s">
        <v>53</v>
      </c>
      <c r="D536" s="11" t="s">
        <v>54</v>
      </c>
      <c r="E536" s="15" t="s">
        <v>27</v>
      </c>
      <c r="F536" s="11" t="s">
        <v>28</v>
      </c>
      <c r="G536" s="12" t="s">
        <v>29</v>
      </c>
      <c r="H536" s="11" t="s">
        <v>58</v>
      </c>
      <c r="I536" s="16" t="n">
        <v>5</v>
      </c>
      <c r="J536" s="16" t="n">
        <v>2900</v>
      </c>
    </row>
    <row r="537" customFormat="false" ht="15" hidden="false" customHeight="true" outlineLevel="0" collapsed="false">
      <c r="A537" s="14" t="n">
        <v>2024</v>
      </c>
      <c r="B537" s="14" t="n">
        <v>9</v>
      </c>
      <c r="C537" s="11" t="s">
        <v>53</v>
      </c>
      <c r="D537" s="11" t="s">
        <v>54</v>
      </c>
      <c r="E537" s="15" t="s">
        <v>27</v>
      </c>
      <c r="F537" s="11" t="s">
        <v>28</v>
      </c>
      <c r="G537" s="12" t="s">
        <v>29</v>
      </c>
      <c r="H537" s="11" t="s">
        <v>59</v>
      </c>
      <c r="I537" s="16" t="n">
        <v>1204</v>
      </c>
      <c r="J537" s="16" t="n">
        <v>69651</v>
      </c>
    </row>
    <row r="538" customFormat="false" ht="15" hidden="false" customHeight="true" outlineLevel="0" collapsed="false">
      <c r="A538" s="14" t="n">
        <v>2024</v>
      </c>
      <c r="B538" s="14" t="n">
        <v>10</v>
      </c>
      <c r="C538" s="11" t="s">
        <v>53</v>
      </c>
      <c r="D538" s="11" t="s">
        <v>54</v>
      </c>
      <c r="E538" s="15" t="s">
        <v>27</v>
      </c>
      <c r="F538" s="11" t="s">
        <v>28</v>
      </c>
      <c r="G538" s="12" t="s">
        <v>29</v>
      </c>
      <c r="H538" s="11" t="s">
        <v>56</v>
      </c>
      <c r="I538" s="16" t="n">
        <v>1000</v>
      </c>
      <c r="J538" s="16" t="n">
        <v>392000</v>
      </c>
    </row>
    <row r="539" customFormat="false" ht="15" hidden="false" customHeight="true" outlineLevel="0" collapsed="false">
      <c r="A539" s="14" t="n">
        <v>2024</v>
      </c>
      <c r="B539" s="14" t="n">
        <v>10</v>
      </c>
      <c r="C539" s="11" t="s">
        <v>53</v>
      </c>
      <c r="D539" s="11" t="s">
        <v>54</v>
      </c>
      <c r="E539" s="15" t="s">
        <v>27</v>
      </c>
      <c r="F539" s="11" t="s">
        <v>28</v>
      </c>
      <c r="G539" s="12" t="s">
        <v>29</v>
      </c>
      <c r="H539" s="11" t="s">
        <v>59</v>
      </c>
      <c r="I539" s="16" t="n">
        <v>1496</v>
      </c>
      <c r="J539" s="16" t="n">
        <v>181256</v>
      </c>
    </row>
    <row r="540" customFormat="false" ht="15" hidden="false" customHeight="true" outlineLevel="0" collapsed="false">
      <c r="A540" s="14" t="n">
        <v>2024</v>
      </c>
      <c r="B540" s="14" t="n">
        <v>10</v>
      </c>
      <c r="C540" s="11" t="s">
        <v>53</v>
      </c>
      <c r="D540" s="11" t="s">
        <v>54</v>
      </c>
      <c r="E540" s="15" t="s">
        <v>34</v>
      </c>
      <c r="F540" s="11" t="s">
        <v>65</v>
      </c>
      <c r="G540" s="12" t="s">
        <v>36</v>
      </c>
      <c r="H540" s="11" t="s">
        <v>60</v>
      </c>
      <c r="I540" s="16" t="n">
        <v>20</v>
      </c>
      <c r="J540" s="16" t="n">
        <v>10000</v>
      </c>
    </row>
    <row r="541" customFormat="false" ht="15" hidden="false" customHeight="true" outlineLevel="0" collapsed="false">
      <c r="A541" s="14" t="n">
        <v>2024</v>
      </c>
      <c r="B541" s="14" t="n">
        <v>11</v>
      </c>
      <c r="C541" s="11" t="s">
        <v>53</v>
      </c>
      <c r="D541" s="11" t="s">
        <v>54</v>
      </c>
      <c r="E541" s="15" t="s">
        <v>20</v>
      </c>
      <c r="F541" s="11" t="s">
        <v>21</v>
      </c>
      <c r="G541" s="12" t="s">
        <v>22</v>
      </c>
      <c r="H541" s="11" t="s">
        <v>56</v>
      </c>
      <c r="I541" s="16" t="n">
        <v>6625</v>
      </c>
      <c r="J541" s="16" t="n">
        <v>593745</v>
      </c>
    </row>
    <row r="542" customFormat="false" ht="15" hidden="false" customHeight="true" outlineLevel="0" collapsed="false">
      <c r="A542" s="14" t="n">
        <v>2024</v>
      </c>
      <c r="B542" s="14" t="n">
        <v>11</v>
      </c>
      <c r="C542" s="11" t="s">
        <v>53</v>
      </c>
      <c r="D542" s="11" t="s">
        <v>54</v>
      </c>
      <c r="E542" s="15" t="s">
        <v>23</v>
      </c>
      <c r="F542" s="11" t="s">
        <v>24</v>
      </c>
      <c r="G542" s="12" t="s">
        <v>25</v>
      </c>
      <c r="H542" s="11" t="s">
        <v>56</v>
      </c>
      <c r="I542" s="16" t="n">
        <v>5440</v>
      </c>
      <c r="J542" s="16" t="n">
        <v>440519</v>
      </c>
    </row>
    <row r="543" customFormat="false" ht="15" hidden="false" customHeight="true" outlineLevel="0" collapsed="false">
      <c r="A543" s="14" t="n">
        <v>2024</v>
      </c>
      <c r="B543" s="14" t="n">
        <v>11</v>
      </c>
      <c r="C543" s="11" t="s">
        <v>53</v>
      </c>
      <c r="D543" s="11" t="s">
        <v>54</v>
      </c>
      <c r="E543" s="15" t="s">
        <v>20</v>
      </c>
      <c r="F543" s="11" t="s">
        <v>21</v>
      </c>
      <c r="G543" s="12" t="s">
        <v>22</v>
      </c>
      <c r="H543" s="11" t="s">
        <v>57</v>
      </c>
      <c r="I543" s="16" t="n">
        <v>2211</v>
      </c>
      <c r="J543" s="16" t="n">
        <v>153793</v>
      </c>
    </row>
    <row r="544" customFormat="false" ht="15" hidden="false" customHeight="true" outlineLevel="0" collapsed="false">
      <c r="A544" s="14" t="n">
        <v>2024</v>
      </c>
      <c r="B544" s="14" t="n">
        <v>11</v>
      </c>
      <c r="C544" s="11" t="s">
        <v>53</v>
      </c>
      <c r="D544" s="11" t="s">
        <v>54</v>
      </c>
      <c r="E544" s="15" t="s">
        <v>27</v>
      </c>
      <c r="F544" s="11" t="s">
        <v>28</v>
      </c>
      <c r="G544" s="12" t="s">
        <v>29</v>
      </c>
      <c r="H544" s="11" t="s">
        <v>59</v>
      </c>
      <c r="I544" s="16" t="n">
        <v>1338</v>
      </c>
      <c r="J544" s="16" t="n">
        <v>127898</v>
      </c>
    </row>
    <row r="545" customFormat="false" ht="15" hidden="false" customHeight="true" outlineLevel="0" collapsed="false">
      <c r="A545" s="14" t="n">
        <v>2024</v>
      </c>
      <c r="B545" s="14" t="n">
        <v>11</v>
      </c>
      <c r="C545" s="11" t="s">
        <v>53</v>
      </c>
      <c r="D545" s="11" t="s">
        <v>54</v>
      </c>
      <c r="E545" s="15" t="s">
        <v>20</v>
      </c>
      <c r="F545" s="11" t="s">
        <v>21</v>
      </c>
      <c r="G545" s="12" t="s">
        <v>22</v>
      </c>
      <c r="H545" s="11" t="s">
        <v>60</v>
      </c>
      <c r="I545" s="16" t="n">
        <v>100</v>
      </c>
      <c r="J545" s="16" t="n">
        <v>43481</v>
      </c>
    </row>
    <row r="546" customFormat="false" ht="15" hidden="false" customHeight="true" outlineLevel="0" collapsed="false">
      <c r="A546" s="14" t="n">
        <v>2024</v>
      </c>
      <c r="B546" s="14" t="n">
        <v>11</v>
      </c>
      <c r="C546" s="11" t="s">
        <v>53</v>
      </c>
      <c r="D546" s="11" t="s">
        <v>54</v>
      </c>
      <c r="E546" s="15" t="s">
        <v>27</v>
      </c>
      <c r="F546" s="11" t="s">
        <v>28</v>
      </c>
      <c r="G546" s="12" t="s">
        <v>29</v>
      </c>
      <c r="H546" s="11" t="s">
        <v>61</v>
      </c>
      <c r="I546" s="16" t="n">
        <v>221</v>
      </c>
      <c r="J546" s="16" t="n">
        <v>118100</v>
      </c>
    </row>
    <row r="547" customFormat="false" ht="15" hidden="false" customHeight="true" outlineLevel="0" collapsed="false">
      <c r="A547" s="14" t="n">
        <v>2024</v>
      </c>
      <c r="B547" s="14" t="n">
        <v>12</v>
      </c>
      <c r="C547" s="11" t="s">
        <v>53</v>
      </c>
      <c r="D547" s="11" t="s">
        <v>54</v>
      </c>
      <c r="E547" s="15" t="s">
        <v>20</v>
      </c>
      <c r="F547" s="11" t="s">
        <v>21</v>
      </c>
      <c r="G547" s="12" t="s">
        <v>22</v>
      </c>
      <c r="H547" s="11" t="s">
        <v>55</v>
      </c>
      <c r="I547" s="16" t="n">
        <v>16245</v>
      </c>
      <c r="J547" s="16" t="n">
        <v>520890</v>
      </c>
    </row>
    <row r="548" customFormat="false" ht="15" hidden="false" customHeight="true" outlineLevel="0" collapsed="false">
      <c r="A548" s="14" t="n">
        <v>2024</v>
      </c>
      <c r="B548" s="14" t="n">
        <v>12</v>
      </c>
      <c r="C548" s="11" t="s">
        <v>53</v>
      </c>
      <c r="D548" s="11" t="s">
        <v>54</v>
      </c>
      <c r="E548" s="15" t="s">
        <v>23</v>
      </c>
      <c r="F548" s="11" t="s">
        <v>24</v>
      </c>
      <c r="G548" s="12" t="s">
        <v>25</v>
      </c>
      <c r="H548" s="11" t="s">
        <v>55</v>
      </c>
      <c r="I548" s="16" t="n">
        <v>138258</v>
      </c>
      <c r="J548" s="16" t="n">
        <v>11082574</v>
      </c>
    </row>
    <row r="549" customFormat="false" ht="15" hidden="false" customHeight="true" outlineLevel="0" collapsed="false">
      <c r="A549" s="14" t="n">
        <v>2024</v>
      </c>
      <c r="B549" s="14" t="n">
        <v>12</v>
      </c>
      <c r="C549" s="11" t="s">
        <v>53</v>
      </c>
      <c r="D549" s="11" t="s">
        <v>54</v>
      </c>
      <c r="E549" s="15" t="s">
        <v>20</v>
      </c>
      <c r="F549" s="11" t="s">
        <v>21</v>
      </c>
      <c r="G549" s="12" t="s">
        <v>22</v>
      </c>
      <c r="H549" s="11" t="s">
        <v>56</v>
      </c>
      <c r="I549" s="16" t="n">
        <v>500</v>
      </c>
      <c r="J549" s="16" t="n">
        <v>38500</v>
      </c>
    </row>
    <row r="550" customFormat="false" ht="15" hidden="false" customHeight="true" outlineLevel="0" collapsed="false">
      <c r="A550" s="14" t="n">
        <v>2024</v>
      </c>
      <c r="B550" s="14" t="n">
        <v>12</v>
      </c>
      <c r="C550" s="11" t="s">
        <v>53</v>
      </c>
      <c r="D550" s="11" t="s">
        <v>54</v>
      </c>
      <c r="E550" s="15" t="s">
        <v>23</v>
      </c>
      <c r="F550" s="11" t="s">
        <v>24</v>
      </c>
      <c r="G550" s="12" t="s">
        <v>25</v>
      </c>
      <c r="H550" s="11" t="s">
        <v>56</v>
      </c>
      <c r="I550" s="16" t="n">
        <v>19941</v>
      </c>
      <c r="J550" s="16" t="n">
        <v>1618960</v>
      </c>
    </row>
    <row r="551" customFormat="false" ht="15" hidden="false" customHeight="true" outlineLevel="0" collapsed="false">
      <c r="A551" s="14" t="n">
        <v>2024</v>
      </c>
      <c r="B551" s="14" t="n">
        <v>12</v>
      </c>
      <c r="C551" s="11" t="s">
        <v>53</v>
      </c>
      <c r="D551" s="11" t="s">
        <v>54</v>
      </c>
      <c r="E551" s="15" t="s">
        <v>20</v>
      </c>
      <c r="F551" s="11" t="s">
        <v>21</v>
      </c>
      <c r="G551" s="12" t="s">
        <v>22</v>
      </c>
      <c r="H551" s="11" t="s">
        <v>57</v>
      </c>
      <c r="I551" s="16" t="n">
        <v>2188</v>
      </c>
      <c r="J551" s="16" t="n">
        <v>153667</v>
      </c>
    </row>
    <row r="552" customFormat="false" ht="15" hidden="false" customHeight="true" outlineLevel="0" collapsed="false">
      <c r="A552" s="14" t="n">
        <v>2024</v>
      </c>
      <c r="B552" s="14" t="n">
        <v>12</v>
      </c>
      <c r="C552" s="11" t="s">
        <v>53</v>
      </c>
      <c r="D552" s="11" t="s">
        <v>54</v>
      </c>
      <c r="E552" s="15" t="s">
        <v>27</v>
      </c>
      <c r="F552" s="11" t="s">
        <v>28</v>
      </c>
      <c r="G552" s="12" t="s">
        <v>29</v>
      </c>
      <c r="H552" s="11" t="s">
        <v>57</v>
      </c>
      <c r="I552" s="16" t="n">
        <v>25</v>
      </c>
      <c r="J552" s="16" t="n">
        <v>17330</v>
      </c>
    </row>
    <row r="553" customFormat="false" ht="15" hidden="false" customHeight="true" outlineLevel="0" collapsed="false">
      <c r="A553" s="14" t="n">
        <v>2024</v>
      </c>
      <c r="B553" s="14" t="n">
        <v>12</v>
      </c>
      <c r="C553" s="11" t="s">
        <v>53</v>
      </c>
      <c r="D553" s="11" t="s">
        <v>54</v>
      </c>
      <c r="E553" s="15" t="s">
        <v>27</v>
      </c>
      <c r="F553" s="11" t="s">
        <v>28</v>
      </c>
      <c r="G553" s="12" t="s">
        <v>29</v>
      </c>
      <c r="H553" s="11" t="s">
        <v>59</v>
      </c>
      <c r="I553" s="16" t="n">
        <v>3391</v>
      </c>
      <c r="J553" s="16" t="n">
        <v>487990</v>
      </c>
    </row>
    <row r="554" customFormat="false" ht="15" hidden="false" customHeight="true" outlineLevel="0" collapsed="false">
      <c r="A554" s="14" t="n">
        <v>2025</v>
      </c>
      <c r="B554" s="14" t="n">
        <v>1</v>
      </c>
      <c r="C554" s="11" t="s">
        <v>53</v>
      </c>
      <c r="D554" s="11" t="s">
        <v>54</v>
      </c>
      <c r="E554" s="15" t="s">
        <v>23</v>
      </c>
      <c r="F554" s="11" t="s">
        <v>24</v>
      </c>
      <c r="G554" s="12" t="s">
        <v>25</v>
      </c>
      <c r="H554" s="11" t="s">
        <v>55</v>
      </c>
      <c r="I554" s="16" t="n">
        <v>29257</v>
      </c>
      <c r="J554" s="16" t="n">
        <v>2314606</v>
      </c>
    </row>
    <row r="555" customFormat="false" ht="15" hidden="false" customHeight="true" outlineLevel="0" collapsed="false">
      <c r="A555" s="14" t="n">
        <v>2025</v>
      </c>
      <c r="B555" s="14" t="n">
        <v>1</v>
      </c>
      <c r="C555" s="11" t="s">
        <v>53</v>
      </c>
      <c r="D555" s="11" t="s">
        <v>54</v>
      </c>
      <c r="E555" s="15" t="s">
        <v>23</v>
      </c>
      <c r="F555" s="11" t="s">
        <v>24</v>
      </c>
      <c r="G555" s="12" t="s">
        <v>25</v>
      </c>
      <c r="H555" s="11" t="s">
        <v>56</v>
      </c>
      <c r="I555" s="16" t="n">
        <v>6026</v>
      </c>
      <c r="J555" s="16" t="n">
        <v>641073</v>
      </c>
    </row>
    <row r="556" customFormat="false" ht="15" hidden="false" customHeight="true" outlineLevel="0" collapsed="false">
      <c r="A556" s="14" t="n">
        <v>2025</v>
      </c>
      <c r="B556" s="14" t="n">
        <v>1</v>
      </c>
      <c r="C556" s="11" t="s">
        <v>53</v>
      </c>
      <c r="D556" s="11" t="s">
        <v>54</v>
      </c>
      <c r="E556" s="15" t="s">
        <v>23</v>
      </c>
      <c r="F556" s="11" t="s">
        <v>24</v>
      </c>
      <c r="G556" s="12" t="s">
        <v>25</v>
      </c>
      <c r="H556" s="11" t="s">
        <v>59</v>
      </c>
      <c r="I556" s="16" t="n">
        <v>187</v>
      </c>
      <c r="J556" s="16" t="n">
        <v>68318</v>
      </c>
    </row>
    <row r="557" customFormat="false" ht="15" hidden="false" customHeight="true" outlineLevel="0" collapsed="false">
      <c r="A557" s="14" t="n">
        <v>2025</v>
      </c>
      <c r="B557" s="14" t="n">
        <v>1</v>
      </c>
      <c r="C557" s="11" t="s">
        <v>53</v>
      </c>
      <c r="D557" s="11" t="s">
        <v>54</v>
      </c>
      <c r="E557" s="15" t="s">
        <v>27</v>
      </c>
      <c r="F557" s="11" t="s">
        <v>28</v>
      </c>
      <c r="G557" s="12" t="s">
        <v>29</v>
      </c>
      <c r="H557" s="11" t="s">
        <v>59</v>
      </c>
      <c r="I557" s="16" t="n">
        <v>35</v>
      </c>
      <c r="J557" s="16" t="n">
        <v>35341</v>
      </c>
    </row>
    <row r="558" customFormat="false" ht="15" hidden="false" customHeight="true" outlineLevel="0" collapsed="false">
      <c r="A558" s="14" t="n">
        <v>2025</v>
      </c>
      <c r="B558" s="14" t="n">
        <v>2</v>
      </c>
      <c r="C558" s="11" t="s">
        <v>53</v>
      </c>
      <c r="D558" s="11" t="s">
        <v>54</v>
      </c>
      <c r="E558" s="15" t="s">
        <v>20</v>
      </c>
      <c r="F558" s="11" t="s">
        <v>21</v>
      </c>
      <c r="G558" s="12" t="s">
        <v>22</v>
      </c>
      <c r="H558" s="11" t="s">
        <v>55</v>
      </c>
      <c r="I558" s="16" t="n">
        <v>2201</v>
      </c>
      <c r="J558" s="16" t="n">
        <v>66068</v>
      </c>
    </row>
    <row r="559" customFormat="false" ht="15" hidden="false" customHeight="true" outlineLevel="0" collapsed="false">
      <c r="A559" s="14" t="n">
        <v>2025</v>
      </c>
      <c r="B559" s="14" t="n">
        <v>2</v>
      </c>
      <c r="C559" s="11" t="s">
        <v>53</v>
      </c>
      <c r="D559" s="11" t="s">
        <v>54</v>
      </c>
      <c r="E559" s="15" t="s">
        <v>23</v>
      </c>
      <c r="F559" s="11" t="s">
        <v>24</v>
      </c>
      <c r="G559" s="12" t="s">
        <v>25</v>
      </c>
      <c r="H559" s="11" t="s">
        <v>55</v>
      </c>
      <c r="I559" s="16" t="n">
        <v>194109</v>
      </c>
      <c r="J559" s="16" t="n">
        <v>16211186</v>
      </c>
    </row>
    <row r="560" customFormat="false" ht="15" hidden="false" customHeight="true" outlineLevel="0" collapsed="false">
      <c r="A560" s="14" t="n">
        <v>2025</v>
      </c>
      <c r="B560" s="14" t="n">
        <v>2</v>
      </c>
      <c r="C560" s="11" t="s">
        <v>53</v>
      </c>
      <c r="D560" s="11" t="s">
        <v>54</v>
      </c>
      <c r="E560" s="15" t="s">
        <v>23</v>
      </c>
      <c r="F560" s="11" t="s">
        <v>24</v>
      </c>
      <c r="G560" s="12" t="s">
        <v>25</v>
      </c>
      <c r="H560" s="11" t="s">
        <v>56</v>
      </c>
      <c r="I560" s="16" t="n">
        <v>33174</v>
      </c>
      <c r="J560" s="16" t="n">
        <v>2817673</v>
      </c>
    </row>
    <row r="561" customFormat="false" ht="15" hidden="false" customHeight="true" outlineLevel="0" collapsed="false">
      <c r="A561" s="14" t="n">
        <v>2025</v>
      </c>
      <c r="B561" s="14" t="n">
        <v>2</v>
      </c>
      <c r="C561" s="11" t="s">
        <v>53</v>
      </c>
      <c r="D561" s="11" t="s">
        <v>54</v>
      </c>
      <c r="E561" s="15" t="s">
        <v>27</v>
      </c>
      <c r="F561" s="11" t="s">
        <v>28</v>
      </c>
      <c r="G561" s="12" t="s">
        <v>29</v>
      </c>
      <c r="H561" s="11" t="s">
        <v>56</v>
      </c>
      <c r="I561" s="16" t="n">
        <v>323</v>
      </c>
      <c r="J561" s="16" t="n">
        <v>116902</v>
      </c>
    </row>
    <row r="562" customFormat="false" ht="15" hidden="false" customHeight="true" outlineLevel="0" collapsed="false">
      <c r="A562" s="14" t="n">
        <v>2025</v>
      </c>
      <c r="B562" s="14" t="n">
        <v>2</v>
      </c>
      <c r="C562" s="11" t="s">
        <v>53</v>
      </c>
      <c r="D562" s="11" t="s">
        <v>54</v>
      </c>
      <c r="E562" s="15" t="s">
        <v>34</v>
      </c>
      <c r="F562" s="11" t="s">
        <v>65</v>
      </c>
      <c r="G562" s="12" t="s">
        <v>36</v>
      </c>
      <c r="H562" s="11" t="s">
        <v>56</v>
      </c>
      <c r="I562" s="16" t="n">
        <v>131</v>
      </c>
      <c r="J562" s="16" t="n">
        <v>81563</v>
      </c>
    </row>
    <row r="563" customFormat="false" ht="15" hidden="false" customHeight="true" outlineLevel="0" collapsed="false">
      <c r="A563" s="14" t="n">
        <v>2025</v>
      </c>
      <c r="B563" s="14" t="n">
        <v>2</v>
      </c>
      <c r="C563" s="11" t="s">
        <v>53</v>
      </c>
      <c r="D563" s="11" t="s">
        <v>54</v>
      </c>
      <c r="E563" s="15" t="s">
        <v>20</v>
      </c>
      <c r="F563" s="11" t="s">
        <v>21</v>
      </c>
      <c r="G563" s="12" t="s">
        <v>22</v>
      </c>
      <c r="H563" s="11" t="s">
        <v>57</v>
      </c>
      <c r="I563" s="16" t="n">
        <v>5353</v>
      </c>
      <c r="J563" s="16" t="n">
        <v>347945</v>
      </c>
    </row>
    <row r="564" customFormat="false" ht="15" hidden="false" customHeight="true" outlineLevel="0" collapsed="false">
      <c r="A564" s="14" t="n">
        <v>2025</v>
      </c>
      <c r="B564" s="14" t="n">
        <v>2</v>
      </c>
      <c r="C564" s="11" t="s">
        <v>53</v>
      </c>
      <c r="D564" s="11" t="s">
        <v>54</v>
      </c>
      <c r="E564" s="15" t="s">
        <v>20</v>
      </c>
      <c r="F564" s="11" t="s">
        <v>21</v>
      </c>
      <c r="G564" s="12" t="s">
        <v>22</v>
      </c>
      <c r="H564" s="11" t="s">
        <v>58</v>
      </c>
      <c r="I564" s="16" t="n">
        <v>2854</v>
      </c>
      <c r="J564" s="16" t="n">
        <v>71939</v>
      </c>
    </row>
    <row r="565" customFormat="false" ht="15" hidden="false" customHeight="true" outlineLevel="0" collapsed="false">
      <c r="A565" s="14" t="n">
        <v>2025</v>
      </c>
      <c r="B565" s="14" t="n">
        <v>2</v>
      </c>
      <c r="C565" s="11" t="s">
        <v>53</v>
      </c>
      <c r="D565" s="11" t="s">
        <v>54</v>
      </c>
      <c r="E565" s="15" t="s">
        <v>23</v>
      </c>
      <c r="F565" s="11" t="s">
        <v>24</v>
      </c>
      <c r="G565" s="12" t="s">
        <v>25</v>
      </c>
      <c r="H565" s="11" t="s">
        <v>58</v>
      </c>
      <c r="I565" s="16" t="n">
        <v>536</v>
      </c>
      <c r="J565" s="16" t="n">
        <v>49975</v>
      </c>
    </row>
    <row r="566" customFormat="false" ht="15" hidden="false" customHeight="true" outlineLevel="0" collapsed="false">
      <c r="A566" s="14" t="n">
        <v>2025</v>
      </c>
      <c r="B566" s="14" t="n">
        <v>2</v>
      </c>
      <c r="C566" s="11" t="s">
        <v>53</v>
      </c>
      <c r="D566" s="11" t="s">
        <v>54</v>
      </c>
      <c r="E566" s="15" t="s">
        <v>27</v>
      </c>
      <c r="F566" s="11" t="s">
        <v>28</v>
      </c>
      <c r="G566" s="12" t="s">
        <v>29</v>
      </c>
      <c r="H566" s="11" t="s">
        <v>58</v>
      </c>
      <c r="I566" s="16" t="n">
        <v>600</v>
      </c>
      <c r="J566" s="16" t="n">
        <v>236249</v>
      </c>
    </row>
    <row r="567" customFormat="false" ht="15" hidden="false" customHeight="true" outlineLevel="0" collapsed="false">
      <c r="A567" s="14" t="n">
        <v>2025</v>
      </c>
      <c r="B567" s="14" t="n">
        <v>2</v>
      </c>
      <c r="C567" s="11" t="s">
        <v>53</v>
      </c>
      <c r="D567" s="11" t="s">
        <v>54</v>
      </c>
      <c r="E567" s="15" t="s">
        <v>27</v>
      </c>
      <c r="F567" s="11" t="s">
        <v>28</v>
      </c>
      <c r="G567" s="12" t="s">
        <v>29</v>
      </c>
      <c r="H567" s="11" t="s">
        <v>60</v>
      </c>
      <c r="I567" s="16" t="n">
        <v>70</v>
      </c>
      <c r="J567" s="16" t="n">
        <v>42000</v>
      </c>
    </row>
    <row r="568" customFormat="false" ht="15" hidden="false" customHeight="true" outlineLevel="0" collapsed="false">
      <c r="A568" s="14" t="n">
        <v>2025</v>
      </c>
      <c r="B568" s="14" t="n">
        <v>2</v>
      </c>
      <c r="C568" s="11" t="s">
        <v>53</v>
      </c>
      <c r="D568" s="11" t="s">
        <v>54</v>
      </c>
      <c r="E568" s="15" t="s">
        <v>27</v>
      </c>
      <c r="F568" s="11" t="s">
        <v>28</v>
      </c>
      <c r="G568" s="12" t="s">
        <v>29</v>
      </c>
      <c r="H568" s="11" t="s">
        <v>62</v>
      </c>
      <c r="I568" s="16" t="n">
        <v>40</v>
      </c>
      <c r="J568" s="16" t="n">
        <v>26800</v>
      </c>
    </row>
    <row r="569" customFormat="false" ht="15" hidden="false" customHeight="true" outlineLevel="0" collapsed="false">
      <c r="A569" s="14" t="n">
        <v>2025</v>
      </c>
      <c r="B569" s="14" t="n">
        <v>2</v>
      </c>
      <c r="C569" s="11" t="s">
        <v>53</v>
      </c>
      <c r="D569" s="11" t="s">
        <v>54</v>
      </c>
      <c r="E569" s="15" t="s">
        <v>34</v>
      </c>
      <c r="F569" s="11" t="s">
        <v>65</v>
      </c>
      <c r="G569" s="12" t="s">
        <v>36</v>
      </c>
      <c r="H569" s="11" t="s">
        <v>67</v>
      </c>
      <c r="I569" s="16" t="n">
        <v>159</v>
      </c>
      <c r="J569" s="16" t="n">
        <v>20807</v>
      </c>
    </row>
    <row r="570" customFormat="false" ht="15" hidden="false" customHeight="true" outlineLevel="0" collapsed="false">
      <c r="A570" s="14" t="n">
        <v>2025</v>
      </c>
      <c r="B570" s="14" t="n">
        <v>3</v>
      </c>
      <c r="C570" s="11" t="s">
        <v>53</v>
      </c>
      <c r="D570" s="11" t="s">
        <v>54</v>
      </c>
      <c r="E570" s="15" t="s">
        <v>20</v>
      </c>
      <c r="F570" s="11" t="s">
        <v>21</v>
      </c>
      <c r="G570" s="12" t="s">
        <v>22</v>
      </c>
      <c r="H570" s="11" t="s">
        <v>55</v>
      </c>
      <c r="I570" s="16" t="n">
        <v>928</v>
      </c>
      <c r="J570" s="16" t="n">
        <v>35875</v>
      </c>
    </row>
    <row r="571" customFormat="false" ht="15" hidden="false" customHeight="true" outlineLevel="0" collapsed="false">
      <c r="A571" s="14" t="n">
        <v>2025</v>
      </c>
      <c r="B571" s="14" t="n">
        <v>3</v>
      </c>
      <c r="C571" s="11" t="s">
        <v>53</v>
      </c>
      <c r="D571" s="11" t="s">
        <v>54</v>
      </c>
      <c r="E571" s="15" t="s">
        <v>23</v>
      </c>
      <c r="F571" s="11" t="s">
        <v>24</v>
      </c>
      <c r="G571" s="12" t="s">
        <v>25</v>
      </c>
      <c r="H571" s="11" t="s">
        <v>55</v>
      </c>
      <c r="I571" s="16" t="n">
        <v>197825</v>
      </c>
      <c r="J571" s="16" t="n">
        <v>17011478</v>
      </c>
    </row>
    <row r="572" customFormat="false" ht="15" hidden="false" customHeight="true" outlineLevel="0" collapsed="false">
      <c r="A572" s="14" t="n">
        <v>2025</v>
      </c>
      <c r="B572" s="14" t="n">
        <v>3</v>
      </c>
      <c r="C572" s="11" t="s">
        <v>53</v>
      </c>
      <c r="D572" s="11" t="s">
        <v>54</v>
      </c>
      <c r="E572" s="15" t="s">
        <v>23</v>
      </c>
      <c r="F572" s="11" t="s">
        <v>24</v>
      </c>
      <c r="G572" s="12" t="s">
        <v>25</v>
      </c>
      <c r="H572" s="11" t="s">
        <v>56</v>
      </c>
      <c r="I572" s="16" t="n">
        <v>6565</v>
      </c>
      <c r="J572" s="16" t="n">
        <v>463024</v>
      </c>
    </row>
    <row r="573" customFormat="false" ht="15" hidden="false" customHeight="true" outlineLevel="0" collapsed="false">
      <c r="A573" s="14" t="n">
        <v>2025</v>
      </c>
      <c r="B573" s="14" t="n">
        <v>3</v>
      </c>
      <c r="C573" s="11" t="s">
        <v>53</v>
      </c>
      <c r="D573" s="11" t="s">
        <v>54</v>
      </c>
      <c r="E573" s="15" t="s">
        <v>27</v>
      </c>
      <c r="F573" s="11" t="s">
        <v>28</v>
      </c>
      <c r="G573" s="12" t="s">
        <v>29</v>
      </c>
      <c r="H573" s="11" t="s">
        <v>56</v>
      </c>
      <c r="I573" s="16" t="n">
        <v>1454</v>
      </c>
      <c r="J573" s="16" t="n">
        <v>368050</v>
      </c>
    </row>
    <row r="574" customFormat="false" ht="15" hidden="false" customHeight="true" outlineLevel="0" collapsed="false">
      <c r="A574" s="14" t="n">
        <v>2025</v>
      </c>
      <c r="B574" s="14" t="n">
        <v>3</v>
      </c>
      <c r="C574" s="11" t="s">
        <v>53</v>
      </c>
      <c r="D574" s="11" t="s">
        <v>54</v>
      </c>
      <c r="E574" s="15" t="s">
        <v>23</v>
      </c>
      <c r="F574" s="11" t="s">
        <v>24</v>
      </c>
      <c r="G574" s="12" t="s">
        <v>25</v>
      </c>
      <c r="H574" s="11" t="s">
        <v>58</v>
      </c>
      <c r="I574" s="16" t="n">
        <v>286</v>
      </c>
      <c r="J574" s="16" t="n">
        <v>28562</v>
      </c>
    </row>
    <row r="575" customFormat="false" ht="15" hidden="false" customHeight="true" outlineLevel="0" collapsed="false">
      <c r="A575" s="14" t="n">
        <v>2025</v>
      </c>
      <c r="B575" s="14" t="n">
        <v>3</v>
      </c>
      <c r="C575" s="11" t="s">
        <v>53</v>
      </c>
      <c r="D575" s="11" t="s">
        <v>54</v>
      </c>
      <c r="E575" s="15" t="s">
        <v>27</v>
      </c>
      <c r="F575" s="11" t="s">
        <v>28</v>
      </c>
      <c r="G575" s="12" t="s">
        <v>29</v>
      </c>
      <c r="H575" s="11" t="s">
        <v>58</v>
      </c>
      <c r="I575" s="16" t="n">
        <v>317</v>
      </c>
      <c r="J575" s="16" t="n">
        <v>125100</v>
      </c>
    </row>
    <row r="576" customFormat="false" ht="15" hidden="false" customHeight="true" outlineLevel="0" collapsed="false">
      <c r="A576" s="14" t="n">
        <v>2025</v>
      </c>
      <c r="B576" s="14" t="n">
        <v>3</v>
      </c>
      <c r="C576" s="11" t="s">
        <v>53</v>
      </c>
      <c r="D576" s="11" t="s">
        <v>54</v>
      </c>
      <c r="E576" s="15" t="s">
        <v>27</v>
      </c>
      <c r="F576" s="11" t="s">
        <v>28</v>
      </c>
      <c r="G576" s="12" t="s">
        <v>29</v>
      </c>
      <c r="H576" s="11" t="s">
        <v>61</v>
      </c>
      <c r="I576" s="16" t="n">
        <v>100</v>
      </c>
      <c r="J576" s="16" t="n">
        <v>39000</v>
      </c>
    </row>
    <row r="577" customFormat="false" ht="15" hidden="false" customHeight="true" outlineLevel="0" collapsed="false">
      <c r="A577" s="14" t="n">
        <v>2025</v>
      </c>
      <c r="B577" s="14" t="n">
        <v>4</v>
      </c>
      <c r="C577" s="11" t="s">
        <v>53</v>
      </c>
      <c r="D577" s="11" t="s">
        <v>54</v>
      </c>
      <c r="E577" s="15" t="s">
        <v>20</v>
      </c>
      <c r="F577" s="11" t="s">
        <v>21</v>
      </c>
      <c r="G577" s="12" t="s">
        <v>22</v>
      </c>
      <c r="H577" s="11" t="s">
        <v>55</v>
      </c>
      <c r="I577" s="16" t="n">
        <v>1696</v>
      </c>
      <c r="J577" s="16" t="n">
        <v>101675</v>
      </c>
    </row>
    <row r="578" customFormat="false" ht="15" hidden="false" customHeight="true" outlineLevel="0" collapsed="false">
      <c r="A578" s="14" t="n">
        <v>2025</v>
      </c>
      <c r="B578" s="14" t="n">
        <v>4</v>
      </c>
      <c r="C578" s="11" t="s">
        <v>53</v>
      </c>
      <c r="D578" s="11" t="s">
        <v>54</v>
      </c>
      <c r="E578" s="15" t="s">
        <v>23</v>
      </c>
      <c r="F578" s="11" t="s">
        <v>24</v>
      </c>
      <c r="G578" s="12" t="s">
        <v>25</v>
      </c>
      <c r="H578" s="11" t="s">
        <v>55</v>
      </c>
      <c r="I578" s="16" t="n">
        <v>163758</v>
      </c>
      <c r="J578" s="16" t="n">
        <v>14836277</v>
      </c>
    </row>
    <row r="579" customFormat="false" ht="15" hidden="false" customHeight="true" outlineLevel="0" collapsed="false">
      <c r="A579" s="14" t="n">
        <v>2025</v>
      </c>
      <c r="B579" s="14" t="n">
        <v>4</v>
      </c>
      <c r="C579" s="11" t="s">
        <v>53</v>
      </c>
      <c r="D579" s="11" t="s">
        <v>54</v>
      </c>
      <c r="E579" s="15" t="s">
        <v>27</v>
      </c>
      <c r="F579" s="11" t="s">
        <v>28</v>
      </c>
      <c r="G579" s="12" t="s">
        <v>29</v>
      </c>
      <c r="H579" s="11" t="s">
        <v>55</v>
      </c>
      <c r="I579" s="16" t="n">
        <v>132</v>
      </c>
      <c r="J579" s="16" t="n">
        <v>31105</v>
      </c>
    </row>
    <row r="580" customFormat="false" ht="15" hidden="false" customHeight="true" outlineLevel="0" collapsed="false">
      <c r="A580" s="14" t="n">
        <v>2025</v>
      </c>
      <c r="B580" s="14" t="n">
        <v>4</v>
      </c>
      <c r="C580" s="11" t="s">
        <v>53</v>
      </c>
      <c r="D580" s="11" t="s">
        <v>54</v>
      </c>
      <c r="E580" s="15" t="s">
        <v>23</v>
      </c>
      <c r="F580" s="11" t="s">
        <v>24</v>
      </c>
      <c r="G580" s="12" t="s">
        <v>25</v>
      </c>
      <c r="H580" s="11" t="s">
        <v>56</v>
      </c>
      <c r="I580" s="16" t="n">
        <v>8196</v>
      </c>
      <c r="J580" s="16" t="n">
        <v>602033</v>
      </c>
    </row>
    <row r="581" customFormat="false" ht="15" hidden="false" customHeight="true" outlineLevel="0" collapsed="false">
      <c r="A581" s="14" t="n">
        <v>2025</v>
      </c>
      <c r="B581" s="14" t="n">
        <v>4</v>
      </c>
      <c r="C581" s="11" t="s">
        <v>53</v>
      </c>
      <c r="D581" s="11" t="s">
        <v>54</v>
      </c>
      <c r="E581" s="15" t="s">
        <v>27</v>
      </c>
      <c r="F581" s="11" t="s">
        <v>28</v>
      </c>
      <c r="G581" s="12" t="s">
        <v>29</v>
      </c>
      <c r="H581" s="11" t="s">
        <v>56</v>
      </c>
      <c r="I581" s="16" t="n">
        <v>1024</v>
      </c>
      <c r="J581" s="16" t="n">
        <v>420614</v>
      </c>
    </row>
    <row r="582" customFormat="false" ht="15" hidden="false" customHeight="true" outlineLevel="0" collapsed="false">
      <c r="A582" s="14" t="n">
        <v>2025</v>
      </c>
      <c r="B582" s="14" t="n">
        <v>4</v>
      </c>
      <c r="C582" s="11" t="s">
        <v>53</v>
      </c>
      <c r="D582" s="11" t="s">
        <v>54</v>
      </c>
      <c r="E582" s="15" t="s">
        <v>20</v>
      </c>
      <c r="F582" s="11" t="s">
        <v>21</v>
      </c>
      <c r="G582" s="12" t="s">
        <v>22</v>
      </c>
      <c r="H582" s="11" t="s">
        <v>57</v>
      </c>
      <c r="I582" s="16" t="n">
        <v>1109</v>
      </c>
      <c r="J582" s="16" t="n">
        <v>75351</v>
      </c>
    </row>
    <row r="583" customFormat="false" ht="15" hidden="false" customHeight="true" outlineLevel="0" collapsed="false">
      <c r="A583" s="14" t="n">
        <v>2025</v>
      </c>
      <c r="B583" s="14" t="n">
        <v>4</v>
      </c>
      <c r="C583" s="11" t="s">
        <v>53</v>
      </c>
      <c r="D583" s="11" t="s">
        <v>54</v>
      </c>
      <c r="E583" s="15" t="s">
        <v>23</v>
      </c>
      <c r="F583" s="11" t="s">
        <v>24</v>
      </c>
      <c r="G583" s="12" t="s">
        <v>25</v>
      </c>
      <c r="H583" s="11" t="s">
        <v>58</v>
      </c>
      <c r="I583" s="16" t="n">
        <v>450</v>
      </c>
      <c r="J583" s="16" t="n">
        <v>47250</v>
      </c>
    </row>
    <row r="584" customFormat="false" ht="15" hidden="false" customHeight="true" outlineLevel="0" collapsed="false">
      <c r="A584" s="14" t="n">
        <v>2025</v>
      </c>
      <c r="B584" s="14" t="n">
        <v>4</v>
      </c>
      <c r="C584" s="11" t="s">
        <v>53</v>
      </c>
      <c r="D584" s="11" t="s">
        <v>54</v>
      </c>
      <c r="E584" s="15" t="s">
        <v>27</v>
      </c>
      <c r="F584" s="11" t="s">
        <v>28</v>
      </c>
      <c r="G584" s="12" t="s">
        <v>29</v>
      </c>
      <c r="H584" s="11" t="s">
        <v>58</v>
      </c>
      <c r="I584" s="16" t="n">
        <v>137</v>
      </c>
      <c r="J584" s="16" t="n">
        <v>27454</v>
      </c>
    </row>
    <row r="585" customFormat="false" ht="15" hidden="false" customHeight="true" outlineLevel="0" collapsed="false">
      <c r="A585" s="14" t="n">
        <v>2025</v>
      </c>
      <c r="B585" s="14" t="n">
        <v>4</v>
      </c>
      <c r="C585" s="11" t="s">
        <v>53</v>
      </c>
      <c r="D585" s="11" t="s">
        <v>54</v>
      </c>
      <c r="E585" s="15" t="s">
        <v>27</v>
      </c>
      <c r="F585" s="11" t="s">
        <v>28</v>
      </c>
      <c r="G585" s="12" t="s">
        <v>29</v>
      </c>
      <c r="H585" s="11" t="s">
        <v>59</v>
      </c>
      <c r="I585" s="16" t="n">
        <v>1794</v>
      </c>
      <c r="J585" s="16" t="n">
        <v>194500</v>
      </c>
    </row>
    <row r="586" customFormat="false" ht="15" hidden="false" customHeight="true" outlineLevel="0" collapsed="false">
      <c r="A586" s="14" t="n">
        <v>2025</v>
      </c>
      <c r="B586" s="14" t="n">
        <v>5</v>
      </c>
      <c r="C586" s="11" t="s">
        <v>53</v>
      </c>
      <c r="D586" s="11" t="s">
        <v>54</v>
      </c>
      <c r="E586" s="15" t="s">
        <v>20</v>
      </c>
      <c r="F586" s="11" t="s">
        <v>21</v>
      </c>
      <c r="G586" s="12" t="s">
        <v>22</v>
      </c>
      <c r="H586" s="11" t="s">
        <v>55</v>
      </c>
      <c r="I586" s="16" t="n">
        <v>643</v>
      </c>
      <c r="J586" s="16" t="n">
        <v>27979</v>
      </c>
    </row>
    <row r="587" customFormat="false" ht="15" hidden="false" customHeight="true" outlineLevel="0" collapsed="false">
      <c r="A587" s="14" t="n">
        <v>2025</v>
      </c>
      <c r="B587" s="14" t="n">
        <v>5</v>
      </c>
      <c r="C587" s="11" t="s">
        <v>53</v>
      </c>
      <c r="D587" s="11" t="s">
        <v>54</v>
      </c>
      <c r="E587" s="15" t="s">
        <v>23</v>
      </c>
      <c r="F587" s="11" t="s">
        <v>24</v>
      </c>
      <c r="G587" s="12" t="s">
        <v>25</v>
      </c>
      <c r="H587" s="11" t="s">
        <v>55</v>
      </c>
      <c r="I587" s="16" t="n">
        <v>99309</v>
      </c>
      <c r="J587" s="16" t="n">
        <v>7845316</v>
      </c>
    </row>
    <row r="588" customFormat="false" ht="15" hidden="false" customHeight="true" outlineLevel="0" collapsed="false">
      <c r="A588" s="14" t="n">
        <v>2025</v>
      </c>
      <c r="B588" s="14" t="n">
        <v>5</v>
      </c>
      <c r="C588" s="11" t="s">
        <v>53</v>
      </c>
      <c r="D588" s="11" t="s">
        <v>54</v>
      </c>
      <c r="E588" s="15" t="s">
        <v>23</v>
      </c>
      <c r="F588" s="11" t="s">
        <v>24</v>
      </c>
      <c r="G588" s="12" t="s">
        <v>25</v>
      </c>
      <c r="H588" s="11" t="s">
        <v>56</v>
      </c>
      <c r="I588" s="16" t="n">
        <v>1400</v>
      </c>
      <c r="J588" s="16" t="n">
        <v>115367</v>
      </c>
    </row>
    <row r="589" customFormat="false" ht="15" hidden="false" customHeight="true" outlineLevel="0" collapsed="false">
      <c r="A589" s="14" t="n">
        <v>2025</v>
      </c>
      <c r="B589" s="14" t="n">
        <v>5</v>
      </c>
      <c r="C589" s="11" t="s">
        <v>53</v>
      </c>
      <c r="D589" s="11" t="s">
        <v>54</v>
      </c>
      <c r="E589" s="15" t="s">
        <v>20</v>
      </c>
      <c r="F589" s="11" t="s">
        <v>21</v>
      </c>
      <c r="G589" s="12" t="s">
        <v>22</v>
      </c>
      <c r="H589" s="11" t="s">
        <v>57</v>
      </c>
      <c r="I589" s="16" t="n">
        <v>3733</v>
      </c>
      <c r="J589" s="16" t="n">
        <v>252063</v>
      </c>
    </row>
    <row r="590" customFormat="false" ht="15" hidden="false" customHeight="true" outlineLevel="0" collapsed="false">
      <c r="A590" s="14" t="n">
        <v>2025</v>
      </c>
      <c r="B590" s="14" t="n">
        <v>5</v>
      </c>
      <c r="C590" s="11" t="s">
        <v>53</v>
      </c>
      <c r="D590" s="11" t="s">
        <v>54</v>
      </c>
      <c r="E590" s="15" t="s">
        <v>23</v>
      </c>
      <c r="F590" s="11" t="s">
        <v>24</v>
      </c>
      <c r="G590" s="12" t="s">
        <v>25</v>
      </c>
      <c r="H590" s="11" t="s">
        <v>58</v>
      </c>
      <c r="I590" s="16" t="n">
        <v>349</v>
      </c>
      <c r="J590" s="16" t="n">
        <v>34923</v>
      </c>
    </row>
    <row r="591" customFormat="false" ht="15" hidden="false" customHeight="true" outlineLevel="0" collapsed="false">
      <c r="A591" s="14" t="n">
        <v>2025</v>
      </c>
      <c r="B591" s="14" t="n">
        <v>5</v>
      </c>
      <c r="C591" s="11" t="s">
        <v>53</v>
      </c>
      <c r="D591" s="11" t="s">
        <v>54</v>
      </c>
      <c r="E591" s="15" t="s">
        <v>27</v>
      </c>
      <c r="F591" s="11" t="s">
        <v>28</v>
      </c>
      <c r="G591" s="12" t="s">
        <v>29</v>
      </c>
      <c r="H591" s="11" t="s">
        <v>58</v>
      </c>
      <c r="I591" s="16" t="n">
        <v>78</v>
      </c>
      <c r="J591" s="16" t="n">
        <v>15522</v>
      </c>
    </row>
    <row r="592" customFormat="false" ht="15" hidden="false" customHeight="true" outlineLevel="0" collapsed="false">
      <c r="A592" s="14" t="n">
        <v>2025</v>
      </c>
      <c r="B592" s="14" t="n">
        <v>5</v>
      </c>
      <c r="C592" s="11" t="s">
        <v>53</v>
      </c>
      <c r="D592" s="11" t="s">
        <v>54</v>
      </c>
      <c r="E592" s="15" t="s">
        <v>34</v>
      </c>
      <c r="F592" s="11" t="s">
        <v>65</v>
      </c>
      <c r="G592" s="12" t="s">
        <v>36</v>
      </c>
      <c r="H592" s="11" t="s">
        <v>59</v>
      </c>
      <c r="I592" s="16" t="n">
        <v>77</v>
      </c>
      <c r="J592" s="16" t="n">
        <v>21186</v>
      </c>
    </row>
    <row r="593" customFormat="false" ht="15" hidden="false" customHeight="true" outlineLevel="0" collapsed="false">
      <c r="A593" s="14" t="n">
        <v>2025</v>
      </c>
      <c r="B593" s="14" t="n">
        <v>5</v>
      </c>
      <c r="C593" s="11" t="s">
        <v>53</v>
      </c>
      <c r="D593" s="11" t="s">
        <v>54</v>
      </c>
      <c r="E593" s="15" t="s">
        <v>27</v>
      </c>
      <c r="F593" s="11" t="s">
        <v>28</v>
      </c>
      <c r="G593" s="12" t="s">
        <v>29</v>
      </c>
      <c r="H593" s="11" t="s">
        <v>66</v>
      </c>
      <c r="I593" s="16" t="n">
        <v>20</v>
      </c>
      <c r="J593" s="16" t="n">
        <v>36000</v>
      </c>
    </row>
    <row r="594" customFormat="false" ht="15" hidden="false" customHeight="true" outlineLevel="0" collapsed="false">
      <c r="A594" s="14" t="n">
        <v>2025</v>
      </c>
      <c r="B594" s="14" t="n">
        <v>6</v>
      </c>
      <c r="C594" s="11" t="s">
        <v>53</v>
      </c>
      <c r="D594" s="11" t="s">
        <v>54</v>
      </c>
      <c r="E594" s="15" t="s">
        <v>20</v>
      </c>
      <c r="F594" s="11" t="s">
        <v>21</v>
      </c>
      <c r="G594" s="12" t="s">
        <v>22</v>
      </c>
      <c r="H594" s="11" t="s">
        <v>55</v>
      </c>
      <c r="I594" s="16" t="n">
        <v>4825</v>
      </c>
      <c r="J594" s="16" t="n">
        <v>240950</v>
      </c>
    </row>
    <row r="595" customFormat="false" ht="15" hidden="false" customHeight="true" outlineLevel="0" collapsed="false">
      <c r="A595" s="14" t="n">
        <v>2025</v>
      </c>
      <c r="B595" s="14" t="n">
        <v>6</v>
      </c>
      <c r="C595" s="11" t="s">
        <v>53</v>
      </c>
      <c r="D595" s="11" t="s">
        <v>54</v>
      </c>
      <c r="E595" s="15" t="s">
        <v>23</v>
      </c>
      <c r="F595" s="11" t="s">
        <v>24</v>
      </c>
      <c r="G595" s="12" t="s">
        <v>25</v>
      </c>
      <c r="H595" s="11" t="s">
        <v>55</v>
      </c>
      <c r="I595" s="16" t="n">
        <v>79449</v>
      </c>
      <c r="J595" s="16" t="n">
        <v>6662950</v>
      </c>
    </row>
    <row r="596" customFormat="false" ht="15" hidden="false" customHeight="true" outlineLevel="0" collapsed="false">
      <c r="A596" s="14" t="n">
        <v>2025</v>
      </c>
      <c r="B596" s="14" t="n">
        <v>6</v>
      </c>
      <c r="C596" s="11" t="s">
        <v>53</v>
      </c>
      <c r="D596" s="11" t="s">
        <v>54</v>
      </c>
      <c r="E596" s="15" t="s">
        <v>23</v>
      </c>
      <c r="F596" s="11" t="s">
        <v>24</v>
      </c>
      <c r="G596" s="12" t="s">
        <v>25</v>
      </c>
      <c r="H596" s="11" t="s">
        <v>56</v>
      </c>
      <c r="I596" s="16" t="n">
        <v>6994</v>
      </c>
      <c r="J596" s="16" t="n">
        <v>671263</v>
      </c>
    </row>
    <row r="597" customFormat="false" ht="15" hidden="false" customHeight="true" outlineLevel="0" collapsed="false">
      <c r="A597" s="14" t="n">
        <v>2025</v>
      </c>
      <c r="B597" s="14" t="n">
        <v>6</v>
      </c>
      <c r="C597" s="11" t="s">
        <v>53</v>
      </c>
      <c r="D597" s="11" t="s">
        <v>54</v>
      </c>
      <c r="E597" s="15" t="s">
        <v>27</v>
      </c>
      <c r="F597" s="11" t="s">
        <v>28</v>
      </c>
      <c r="G597" s="12" t="s">
        <v>29</v>
      </c>
      <c r="H597" s="11" t="s">
        <v>59</v>
      </c>
      <c r="I597" s="16" t="n">
        <v>12</v>
      </c>
      <c r="J597" s="16" t="n">
        <v>12338</v>
      </c>
    </row>
    <row r="598" customFormat="false" ht="15" hidden="false" customHeight="true" outlineLevel="0" collapsed="false">
      <c r="A598" s="14" t="n">
        <v>2025</v>
      </c>
      <c r="B598" s="14" t="n">
        <v>7</v>
      </c>
      <c r="C598" s="11" t="s">
        <v>53</v>
      </c>
      <c r="D598" s="11" t="s">
        <v>54</v>
      </c>
      <c r="E598" s="15" t="s">
        <v>20</v>
      </c>
      <c r="F598" s="11" t="s">
        <v>21</v>
      </c>
      <c r="G598" s="12" t="s">
        <v>22</v>
      </c>
      <c r="H598" s="11" t="s">
        <v>55</v>
      </c>
      <c r="I598" s="16" t="n">
        <v>5272</v>
      </c>
      <c r="J598" s="16" t="n">
        <v>215758</v>
      </c>
    </row>
    <row r="599" customFormat="false" ht="15" hidden="false" customHeight="true" outlineLevel="0" collapsed="false">
      <c r="A599" s="14" t="n">
        <v>2025</v>
      </c>
      <c r="B599" s="14" t="n">
        <v>7</v>
      </c>
      <c r="C599" s="11" t="s">
        <v>53</v>
      </c>
      <c r="D599" s="11" t="s">
        <v>54</v>
      </c>
      <c r="E599" s="15" t="s">
        <v>34</v>
      </c>
      <c r="F599" s="11" t="s">
        <v>65</v>
      </c>
      <c r="G599" s="12" t="s">
        <v>36</v>
      </c>
      <c r="H599" s="11" t="s">
        <v>56</v>
      </c>
      <c r="I599" s="16" t="n">
        <v>108</v>
      </c>
      <c r="J599" s="16" t="n">
        <v>13500</v>
      </c>
    </row>
    <row r="600" customFormat="false" ht="15" hidden="false" customHeight="true" outlineLevel="0" collapsed="false">
      <c r="A600" s="14" t="n">
        <v>2025</v>
      </c>
      <c r="B600" s="14" t="n">
        <v>7</v>
      </c>
      <c r="C600" s="11" t="s">
        <v>53</v>
      </c>
      <c r="D600" s="11" t="s">
        <v>54</v>
      </c>
      <c r="E600" s="15" t="s">
        <v>27</v>
      </c>
      <c r="F600" s="11" t="s">
        <v>28</v>
      </c>
      <c r="G600" s="12" t="s">
        <v>29</v>
      </c>
      <c r="H600" s="11" t="s">
        <v>61</v>
      </c>
      <c r="I600" s="16" t="n">
        <v>40</v>
      </c>
      <c r="J600" s="16" t="n">
        <v>15600</v>
      </c>
    </row>
    <row r="601" customFormat="false" ht="15" hidden="false" customHeight="true" outlineLevel="0" collapsed="false">
      <c r="A601" s="14" t="n">
        <v>2025</v>
      </c>
      <c r="B601" s="14" t="n">
        <v>8</v>
      </c>
      <c r="C601" s="11" t="s">
        <v>53</v>
      </c>
      <c r="D601" s="11" t="s">
        <v>54</v>
      </c>
      <c r="E601" s="15" t="s">
        <v>20</v>
      </c>
      <c r="F601" s="11" t="s">
        <v>21</v>
      </c>
      <c r="G601" s="12" t="s">
        <v>22</v>
      </c>
      <c r="H601" s="11" t="s">
        <v>55</v>
      </c>
      <c r="I601" s="16" t="n">
        <v>2628</v>
      </c>
      <c r="J601" s="16" t="n">
        <v>78846</v>
      </c>
    </row>
    <row r="602" customFormat="false" ht="15" hidden="false" customHeight="true" outlineLevel="0" collapsed="false">
      <c r="A602" s="14" t="n">
        <v>2025</v>
      </c>
      <c r="B602" s="14" t="n">
        <v>8</v>
      </c>
      <c r="C602" s="11" t="s">
        <v>53</v>
      </c>
      <c r="D602" s="11" t="s">
        <v>54</v>
      </c>
      <c r="E602" s="15" t="s">
        <v>27</v>
      </c>
      <c r="F602" s="11" t="s">
        <v>28</v>
      </c>
      <c r="G602" s="12" t="s">
        <v>29</v>
      </c>
      <c r="H602" s="11" t="s">
        <v>56</v>
      </c>
      <c r="I602" s="16" t="n">
        <v>1864</v>
      </c>
      <c r="J602" s="16" t="n">
        <v>686809</v>
      </c>
    </row>
    <row r="603" customFormat="false" ht="15" hidden="false" customHeight="true" outlineLevel="0" collapsed="false">
      <c r="A603" s="14" t="n">
        <v>2025</v>
      </c>
      <c r="B603" s="14" t="n">
        <v>8</v>
      </c>
      <c r="C603" s="11" t="s">
        <v>53</v>
      </c>
      <c r="D603" s="11" t="s">
        <v>54</v>
      </c>
      <c r="E603" s="15" t="s">
        <v>20</v>
      </c>
      <c r="F603" s="11" t="s">
        <v>21</v>
      </c>
      <c r="G603" s="12" t="s">
        <v>22</v>
      </c>
      <c r="H603" s="11" t="s">
        <v>57</v>
      </c>
      <c r="I603" s="16" t="n">
        <v>2008</v>
      </c>
      <c r="J603" s="16" t="n">
        <v>139647</v>
      </c>
    </row>
    <row r="604" customFormat="false" ht="15" hidden="false" customHeight="true" outlineLevel="0" collapsed="false">
      <c r="A604" s="14" t="n">
        <v>2025</v>
      </c>
      <c r="B604" s="14" t="n">
        <v>9</v>
      </c>
      <c r="C604" s="11" t="s">
        <v>53</v>
      </c>
      <c r="D604" s="11" t="s">
        <v>54</v>
      </c>
      <c r="E604" s="15" t="s">
        <v>20</v>
      </c>
      <c r="F604" s="11" t="s">
        <v>21</v>
      </c>
      <c r="G604" s="12" t="s">
        <v>22</v>
      </c>
      <c r="H604" s="11" t="s">
        <v>55</v>
      </c>
      <c r="I604" s="16" t="n">
        <v>5127</v>
      </c>
      <c r="J604" s="16" t="n">
        <v>267677</v>
      </c>
    </row>
    <row r="605" customFormat="false" ht="15" hidden="false" customHeight="true" outlineLevel="0" collapsed="false">
      <c r="A605" s="14" t="n">
        <v>2025</v>
      </c>
      <c r="B605" s="14" t="n">
        <v>9</v>
      </c>
      <c r="C605" s="11" t="s">
        <v>53</v>
      </c>
      <c r="D605" s="11" t="s">
        <v>54</v>
      </c>
      <c r="E605" s="15" t="s">
        <v>23</v>
      </c>
      <c r="F605" s="11" t="s">
        <v>24</v>
      </c>
      <c r="G605" s="12" t="s">
        <v>25</v>
      </c>
      <c r="H605" s="11" t="s">
        <v>56</v>
      </c>
      <c r="I605" s="16" t="n">
        <v>3204</v>
      </c>
      <c r="J605" s="16" t="n">
        <v>252071</v>
      </c>
    </row>
    <row r="606" customFormat="false" ht="15" hidden="false" customHeight="true" outlineLevel="0" collapsed="false">
      <c r="A606" s="14" t="n">
        <v>2025</v>
      </c>
      <c r="B606" s="14" t="n">
        <v>9</v>
      </c>
      <c r="C606" s="11" t="s">
        <v>53</v>
      </c>
      <c r="D606" s="11" t="s">
        <v>54</v>
      </c>
      <c r="E606" s="15" t="s">
        <v>27</v>
      </c>
      <c r="F606" s="11" t="s">
        <v>28</v>
      </c>
      <c r="G606" s="12" t="s">
        <v>29</v>
      </c>
      <c r="H606" s="11" t="s">
        <v>56</v>
      </c>
      <c r="I606" s="16" t="n">
        <v>3647</v>
      </c>
      <c r="J606" s="16" t="n">
        <v>1316594</v>
      </c>
    </row>
    <row r="607" customFormat="false" ht="15" hidden="false" customHeight="true" outlineLevel="0" collapsed="false">
      <c r="A607" s="14" t="n">
        <v>2025</v>
      </c>
      <c r="B607" s="14" t="n">
        <v>9</v>
      </c>
      <c r="C607" s="11" t="s">
        <v>53</v>
      </c>
      <c r="D607" s="11" t="s">
        <v>54</v>
      </c>
      <c r="E607" s="15" t="s">
        <v>20</v>
      </c>
      <c r="F607" s="11" t="s">
        <v>21</v>
      </c>
      <c r="G607" s="12" t="s">
        <v>22</v>
      </c>
      <c r="H607" s="11" t="s">
        <v>57</v>
      </c>
      <c r="I607" s="16" t="n">
        <v>1916</v>
      </c>
      <c r="J607" s="16" t="n">
        <v>122026</v>
      </c>
    </row>
    <row r="608" customFormat="false" ht="15" hidden="false" customHeight="true" outlineLevel="0" collapsed="false">
      <c r="A608" s="14" t="n">
        <v>2025</v>
      </c>
      <c r="B608" s="14" t="n">
        <v>9</v>
      </c>
      <c r="C608" s="11" t="s">
        <v>53</v>
      </c>
      <c r="D608" s="11" t="s">
        <v>54</v>
      </c>
      <c r="E608" s="15" t="s">
        <v>27</v>
      </c>
      <c r="F608" s="11" t="s">
        <v>28</v>
      </c>
      <c r="G608" s="12" t="s">
        <v>29</v>
      </c>
      <c r="H608" s="11" t="s">
        <v>58</v>
      </c>
      <c r="I608" s="16" t="n">
        <v>18</v>
      </c>
      <c r="J608" s="16" t="n">
        <v>7044</v>
      </c>
    </row>
    <row r="609" customFormat="false" ht="15" hidden="false" customHeight="true" outlineLevel="0" collapsed="false">
      <c r="A609" s="14" t="n">
        <v>2025</v>
      </c>
      <c r="B609" s="14" t="n">
        <v>9</v>
      </c>
      <c r="C609" s="11" t="s">
        <v>53</v>
      </c>
      <c r="D609" s="11" t="s">
        <v>54</v>
      </c>
      <c r="E609" s="15" t="s">
        <v>31</v>
      </c>
      <c r="F609" s="11" t="s">
        <v>64</v>
      </c>
      <c r="G609" s="12" t="s">
        <v>33</v>
      </c>
      <c r="H609" s="11" t="s">
        <v>60</v>
      </c>
      <c r="I609" s="16" t="n">
        <v>24</v>
      </c>
      <c r="J609" s="16" t="n">
        <v>19539</v>
      </c>
    </row>
    <row r="610" customFormat="false" ht="15" hidden="false" customHeight="true" outlineLevel="0" collapsed="false">
      <c r="A610" s="14" t="n">
        <v>2025</v>
      </c>
      <c r="B610" s="14" t="n">
        <v>10</v>
      </c>
      <c r="C610" s="11" t="s">
        <v>53</v>
      </c>
      <c r="D610" s="11" t="s">
        <v>54</v>
      </c>
      <c r="E610" s="15" t="s">
        <v>20</v>
      </c>
      <c r="F610" s="11" t="s">
        <v>21</v>
      </c>
      <c r="G610" s="12" t="s">
        <v>22</v>
      </c>
      <c r="H610" s="11" t="s">
        <v>55</v>
      </c>
      <c r="I610" s="16" t="n">
        <v>6912</v>
      </c>
      <c r="J610" s="16" t="n">
        <v>228310</v>
      </c>
    </row>
    <row r="611" customFormat="false" ht="15" hidden="false" customHeight="true" outlineLevel="0" collapsed="false">
      <c r="A611" s="14" t="n">
        <v>2025</v>
      </c>
      <c r="B611" s="14" t="n">
        <v>10</v>
      </c>
      <c r="C611" s="11" t="s">
        <v>53</v>
      </c>
      <c r="D611" s="11" t="s">
        <v>54</v>
      </c>
      <c r="E611" s="15" t="s">
        <v>23</v>
      </c>
      <c r="F611" s="11" t="s">
        <v>24</v>
      </c>
      <c r="G611" s="12" t="s">
        <v>25</v>
      </c>
      <c r="H611" s="11" t="s">
        <v>55</v>
      </c>
      <c r="I611" s="16" t="n">
        <v>1620</v>
      </c>
      <c r="J611" s="16" t="n">
        <v>36282</v>
      </c>
    </row>
    <row r="612" customFormat="false" ht="15" hidden="false" customHeight="true" outlineLevel="0" collapsed="false">
      <c r="A612" s="14" t="n">
        <v>2025</v>
      </c>
      <c r="B612" s="14" t="n">
        <v>10</v>
      </c>
      <c r="C612" s="11" t="s">
        <v>53</v>
      </c>
      <c r="D612" s="11" t="s">
        <v>54</v>
      </c>
      <c r="E612" s="15" t="s">
        <v>34</v>
      </c>
      <c r="F612" s="11" t="s">
        <v>65</v>
      </c>
      <c r="G612" s="12" t="s">
        <v>36</v>
      </c>
      <c r="H612" s="11" t="s">
        <v>56</v>
      </c>
      <c r="I612" s="16" t="n">
        <v>150</v>
      </c>
      <c r="J612" s="16" t="n">
        <v>93750</v>
      </c>
    </row>
    <row r="613" customFormat="false" ht="15" hidden="false" customHeight="true" outlineLevel="0" collapsed="false">
      <c r="A613" s="14" t="n">
        <v>2025</v>
      </c>
      <c r="B613" s="14" t="n">
        <v>10</v>
      </c>
      <c r="C613" s="11" t="s">
        <v>53</v>
      </c>
      <c r="D613" s="11" t="s">
        <v>54</v>
      </c>
      <c r="E613" s="15" t="s">
        <v>20</v>
      </c>
      <c r="F613" s="11" t="s">
        <v>21</v>
      </c>
      <c r="G613" s="12" t="s">
        <v>22</v>
      </c>
      <c r="H613" s="11" t="s">
        <v>57</v>
      </c>
      <c r="I613" s="16" t="n">
        <v>2991</v>
      </c>
      <c r="J613" s="16" t="n">
        <v>207944</v>
      </c>
    </row>
    <row r="614" customFormat="false" ht="15" hidden="false" customHeight="true" outlineLevel="0" collapsed="false">
      <c r="A614" s="14" t="n">
        <v>2025</v>
      </c>
      <c r="B614" s="14" t="n">
        <v>10</v>
      </c>
      <c r="C614" s="11" t="s">
        <v>53</v>
      </c>
      <c r="D614" s="11" t="s">
        <v>54</v>
      </c>
      <c r="E614" s="15" t="s">
        <v>31</v>
      </c>
      <c r="F614" s="11" t="s">
        <v>64</v>
      </c>
      <c r="G614" s="12" t="s">
        <v>33</v>
      </c>
      <c r="H614" s="11" t="s">
        <v>60</v>
      </c>
      <c r="I614" s="16" t="n">
        <v>250</v>
      </c>
      <c r="J614" s="16" t="n">
        <v>170519</v>
      </c>
    </row>
    <row r="615" customFormat="false" ht="15" hidden="false" customHeight="true" outlineLevel="0" collapsed="false">
      <c r="A615" s="14" t="n">
        <v>2025</v>
      </c>
      <c r="B615" s="14" t="n">
        <v>11</v>
      </c>
      <c r="C615" s="11" t="s">
        <v>53</v>
      </c>
      <c r="D615" s="11" t="s">
        <v>54</v>
      </c>
      <c r="E615" s="15" t="s">
        <v>20</v>
      </c>
      <c r="F615" s="11" t="s">
        <v>21</v>
      </c>
      <c r="G615" s="12" t="s">
        <v>22</v>
      </c>
      <c r="H615" s="11" t="s">
        <v>55</v>
      </c>
      <c r="I615" s="16" t="n">
        <v>7819</v>
      </c>
      <c r="J615" s="16" t="n">
        <v>228041</v>
      </c>
    </row>
    <row r="616" customFormat="false" ht="15" hidden="false" customHeight="true" outlineLevel="0" collapsed="false">
      <c r="A616" s="14" t="n">
        <v>2025</v>
      </c>
      <c r="B616" s="14" t="n">
        <v>11</v>
      </c>
      <c r="C616" s="11" t="s">
        <v>53</v>
      </c>
      <c r="D616" s="11" t="s">
        <v>54</v>
      </c>
      <c r="E616" s="15" t="s">
        <v>23</v>
      </c>
      <c r="F616" s="11" t="s">
        <v>24</v>
      </c>
      <c r="G616" s="12" t="s">
        <v>25</v>
      </c>
      <c r="H616" s="11" t="s">
        <v>55</v>
      </c>
      <c r="I616" s="16" t="n">
        <v>19942</v>
      </c>
      <c r="J616" s="16" t="n">
        <v>1149878</v>
      </c>
    </row>
    <row r="617" customFormat="false" ht="15" hidden="false" customHeight="true" outlineLevel="0" collapsed="false">
      <c r="A617" s="14" t="n">
        <v>2025</v>
      </c>
      <c r="B617" s="14" t="n">
        <v>11</v>
      </c>
      <c r="C617" s="11" t="s">
        <v>53</v>
      </c>
      <c r="D617" s="11" t="s">
        <v>54</v>
      </c>
      <c r="E617" s="15" t="s">
        <v>23</v>
      </c>
      <c r="F617" s="11" t="s">
        <v>24</v>
      </c>
      <c r="G617" s="12" t="s">
        <v>25</v>
      </c>
      <c r="H617" s="11" t="s">
        <v>56</v>
      </c>
      <c r="I617" s="16" t="n">
        <v>500</v>
      </c>
      <c r="J617" s="16" t="n">
        <v>28360</v>
      </c>
    </row>
    <row r="618" customFormat="false" ht="15" hidden="false" customHeight="true" outlineLevel="0" collapsed="false">
      <c r="A618" s="14" t="n">
        <v>2025</v>
      </c>
      <c r="B618" s="14" t="n">
        <v>11</v>
      </c>
      <c r="C618" s="11" t="s">
        <v>53</v>
      </c>
      <c r="D618" s="11" t="s">
        <v>54</v>
      </c>
      <c r="E618" s="15" t="s">
        <v>20</v>
      </c>
      <c r="F618" s="11" t="s">
        <v>21</v>
      </c>
      <c r="G618" s="12" t="s">
        <v>22</v>
      </c>
      <c r="H618" s="11" t="s">
        <v>57</v>
      </c>
      <c r="I618" s="16" t="n">
        <v>2327</v>
      </c>
      <c r="J618" s="16" t="n">
        <v>167128</v>
      </c>
    </row>
    <row r="619" customFormat="false" ht="15" hidden="false" customHeight="true" outlineLevel="0" collapsed="false">
      <c r="A619" s="14" t="n">
        <v>2025</v>
      </c>
      <c r="B619" s="14" t="n">
        <v>11</v>
      </c>
      <c r="C619" s="11" t="s">
        <v>53</v>
      </c>
      <c r="D619" s="11" t="s">
        <v>54</v>
      </c>
      <c r="E619" s="15" t="s">
        <v>23</v>
      </c>
      <c r="F619" s="11" t="s">
        <v>24</v>
      </c>
      <c r="G619" s="12" t="s">
        <v>25</v>
      </c>
      <c r="H619" s="11" t="s">
        <v>58</v>
      </c>
      <c r="I619" s="16" t="n">
        <v>355</v>
      </c>
      <c r="J619" s="16" t="n">
        <v>39103</v>
      </c>
    </row>
    <row r="620" customFormat="false" ht="15" hidden="false" customHeight="true" outlineLevel="0" collapsed="false">
      <c r="A620" s="14" t="n">
        <v>2025</v>
      </c>
      <c r="B620" s="14" t="n">
        <v>11</v>
      </c>
      <c r="C620" s="11" t="s">
        <v>53</v>
      </c>
      <c r="D620" s="11" t="s">
        <v>54</v>
      </c>
      <c r="E620" s="15" t="s">
        <v>27</v>
      </c>
      <c r="F620" s="11" t="s">
        <v>28</v>
      </c>
      <c r="G620" s="12" t="s">
        <v>29</v>
      </c>
      <c r="H620" s="11" t="s">
        <v>59</v>
      </c>
      <c r="I620" s="16" t="n">
        <v>1438</v>
      </c>
      <c r="J620" s="16" t="n">
        <v>172256</v>
      </c>
    </row>
    <row r="621" customFormat="false" ht="15" hidden="false" customHeight="true" outlineLevel="0" collapsed="false">
      <c r="A621" s="14" t="n">
        <v>2025</v>
      </c>
      <c r="B621" s="14" t="n">
        <v>11</v>
      </c>
      <c r="C621" s="11" t="s">
        <v>53</v>
      </c>
      <c r="D621" s="11" t="s">
        <v>54</v>
      </c>
      <c r="E621" s="15" t="s">
        <v>34</v>
      </c>
      <c r="F621" s="11" t="s">
        <v>65</v>
      </c>
      <c r="G621" s="12" t="s">
        <v>36</v>
      </c>
      <c r="H621" s="11" t="s">
        <v>59</v>
      </c>
      <c r="I621" s="16" t="n">
        <v>475</v>
      </c>
      <c r="J621" s="16" t="n">
        <v>143003</v>
      </c>
    </row>
    <row r="622" customFormat="false" ht="15" hidden="false" customHeight="true" outlineLevel="0" collapsed="false">
      <c r="A622" s="14" t="n">
        <v>2025</v>
      </c>
      <c r="B622" s="14" t="n">
        <v>12</v>
      </c>
      <c r="C622" s="11" t="s">
        <v>53</v>
      </c>
      <c r="D622" s="11" t="s">
        <v>54</v>
      </c>
      <c r="E622" s="15" t="s">
        <v>20</v>
      </c>
      <c r="F622" s="11" t="s">
        <v>21</v>
      </c>
      <c r="G622" s="12" t="s">
        <v>22</v>
      </c>
      <c r="H622" s="11" t="s">
        <v>55</v>
      </c>
      <c r="I622" s="16" t="n">
        <v>14844</v>
      </c>
      <c r="J622" s="16" t="n">
        <v>493759</v>
      </c>
    </row>
    <row r="623" customFormat="false" ht="15" hidden="false" customHeight="true" outlineLevel="0" collapsed="false">
      <c r="A623" s="14" t="n">
        <v>2025</v>
      </c>
      <c r="B623" s="14" t="n">
        <v>12</v>
      </c>
      <c r="C623" s="11" t="s">
        <v>53</v>
      </c>
      <c r="D623" s="11" t="s">
        <v>54</v>
      </c>
      <c r="E623" s="15" t="s">
        <v>23</v>
      </c>
      <c r="F623" s="11" t="s">
        <v>24</v>
      </c>
      <c r="G623" s="12" t="s">
        <v>25</v>
      </c>
      <c r="H623" s="11" t="s">
        <v>55</v>
      </c>
      <c r="I623" s="16" t="n">
        <v>113815</v>
      </c>
      <c r="J623" s="16" t="n">
        <v>7359872</v>
      </c>
    </row>
    <row r="624" customFormat="false" ht="15" hidden="false" customHeight="true" outlineLevel="0" collapsed="false">
      <c r="A624" s="14" t="n">
        <v>2025</v>
      </c>
      <c r="B624" s="14" t="n">
        <v>12</v>
      </c>
      <c r="C624" s="11" t="s">
        <v>53</v>
      </c>
      <c r="D624" s="11" t="s">
        <v>54</v>
      </c>
      <c r="E624" s="15" t="s">
        <v>23</v>
      </c>
      <c r="F624" s="11" t="s">
        <v>24</v>
      </c>
      <c r="G624" s="12" t="s">
        <v>25</v>
      </c>
      <c r="H624" s="11" t="s">
        <v>56</v>
      </c>
      <c r="I624" s="16" t="n">
        <v>10994</v>
      </c>
      <c r="J624" s="16" t="n">
        <v>898814</v>
      </c>
    </row>
    <row r="625" customFormat="false" ht="15" hidden="false" customHeight="true" outlineLevel="0" collapsed="false">
      <c r="A625" s="14" t="n">
        <v>2026</v>
      </c>
      <c r="B625" s="14" t="n">
        <v>1</v>
      </c>
      <c r="C625" s="11" t="s">
        <v>53</v>
      </c>
      <c r="D625" s="11" t="s">
        <v>54</v>
      </c>
      <c r="E625" s="15" t="s">
        <v>23</v>
      </c>
      <c r="F625" s="11" t="s">
        <v>24</v>
      </c>
      <c r="G625" s="12" t="s">
        <v>25</v>
      </c>
      <c r="H625" s="11" t="s">
        <v>55</v>
      </c>
      <c r="I625" s="16" t="n">
        <v>154383</v>
      </c>
      <c r="J625" s="16" t="n">
        <v>10132831</v>
      </c>
    </row>
    <row r="626" customFormat="false" ht="15" hidden="false" customHeight="true" outlineLevel="0" collapsed="false">
      <c r="A626" s="14" t="n">
        <v>2026</v>
      </c>
      <c r="B626" s="14" t="n">
        <v>1</v>
      </c>
      <c r="C626" s="11" t="s">
        <v>53</v>
      </c>
      <c r="D626" s="11" t="s">
        <v>54</v>
      </c>
      <c r="E626" s="15" t="s">
        <v>23</v>
      </c>
      <c r="F626" s="11" t="s">
        <v>24</v>
      </c>
      <c r="G626" s="12" t="s">
        <v>25</v>
      </c>
      <c r="H626" s="11" t="s">
        <v>56</v>
      </c>
      <c r="I626" s="16" t="n">
        <v>3021</v>
      </c>
      <c r="J626" s="16" t="n">
        <v>268745</v>
      </c>
    </row>
    <row r="627" customFormat="false" ht="15" hidden="false" customHeight="true" outlineLevel="0" collapsed="false">
      <c r="A627" s="14" t="n">
        <v>2026</v>
      </c>
      <c r="B627" s="14" t="n">
        <v>1</v>
      </c>
      <c r="C627" s="11" t="s">
        <v>53</v>
      </c>
      <c r="D627" s="11" t="s">
        <v>54</v>
      </c>
      <c r="E627" s="15" t="s">
        <v>20</v>
      </c>
      <c r="F627" s="11" t="s">
        <v>21</v>
      </c>
      <c r="G627" s="12" t="s">
        <v>22</v>
      </c>
      <c r="H627" s="11" t="s">
        <v>57</v>
      </c>
      <c r="I627" s="16" t="n">
        <v>1536</v>
      </c>
      <c r="J627" s="16" t="n">
        <v>112174</v>
      </c>
    </row>
    <row r="628" customFormat="false" ht="15" hidden="false" customHeight="true" outlineLevel="0" collapsed="false">
      <c r="A628" s="14" t="n">
        <v>2026</v>
      </c>
      <c r="B628" s="14" t="n">
        <v>2</v>
      </c>
      <c r="C628" s="11" t="s">
        <v>53</v>
      </c>
      <c r="D628" s="11" t="s">
        <v>54</v>
      </c>
      <c r="E628" s="15" t="s">
        <v>23</v>
      </c>
      <c r="F628" s="11" t="s">
        <v>24</v>
      </c>
      <c r="G628" s="12" t="s">
        <v>25</v>
      </c>
      <c r="H628" s="11" t="s">
        <v>55</v>
      </c>
      <c r="I628" s="16" t="n">
        <v>122563</v>
      </c>
      <c r="J628" s="16" t="n">
        <v>7916781</v>
      </c>
    </row>
    <row r="629" customFormat="false" ht="15" hidden="false" customHeight="true" outlineLevel="0" collapsed="false">
      <c r="A629" s="14" t="n">
        <v>2026</v>
      </c>
      <c r="B629" s="14" t="n">
        <v>2</v>
      </c>
      <c r="C629" s="11" t="s">
        <v>53</v>
      </c>
      <c r="D629" s="11" t="s">
        <v>54</v>
      </c>
      <c r="E629" s="15" t="s">
        <v>20</v>
      </c>
      <c r="F629" s="11" t="s">
        <v>21</v>
      </c>
      <c r="G629" s="12" t="s">
        <v>22</v>
      </c>
      <c r="H629" s="11" t="s">
        <v>56</v>
      </c>
      <c r="I629" s="16" t="n">
        <v>7703</v>
      </c>
      <c r="J629" s="16" t="n">
        <v>549420</v>
      </c>
    </row>
    <row r="630" customFormat="false" ht="15" hidden="false" customHeight="true" outlineLevel="0" collapsed="false">
      <c r="A630" s="14" t="n">
        <v>2026</v>
      </c>
      <c r="B630" s="14" t="n">
        <v>2</v>
      </c>
      <c r="C630" s="11" t="s">
        <v>53</v>
      </c>
      <c r="D630" s="11" t="s">
        <v>54</v>
      </c>
      <c r="E630" s="15" t="s">
        <v>23</v>
      </c>
      <c r="F630" s="11" t="s">
        <v>24</v>
      </c>
      <c r="G630" s="12" t="s">
        <v>25</v>
      </c>
      <c r="H630" s="11" t="s">
        <v>56</v>
      </c>
      <c r="I630" s="16" t="n">
        <v>5028</v>
      </c>
      <c r="J630" s="16" t="n">
        <v>462793</v>
      </c>
    </row>
    <row r="631" customFormat="false" ht="15" hidden="false" customHeight="true" outlineLevel="0" collapsed="false">
      <c r="A631" s="14" t="n">
        <v>2026</v>
      </c>
      <c r="B631" s="14" t="n">
        <v>2</v>
      </c>
      <c r="C631" s="11" t="s">
        <v>53</v>
      </c>
      <c r="D631" s="11" t="s">
        <v>54</v>
      </c>
      <c r="E631" s="15" t="s">
        <v>34</v>
      </c>
      <c r="F631" s="11" t="s">
        <v>65</v>
      </c>
      <c r="G631" s="12" t="s">
        <v>36</v>
      </c>
      <c r="H631" s="11" t="s">
        <v>56</v>
      </c>
      <c r="I631" s="16" t="n">
        <v>10</v>
      </c>
      <c r="J631" s="16" t="n">
        <v>5100</v>
      </c>
    </row>
    <row r="632" customFormat="false" ht="15" hidden="false" customHeight="true" outlineLevel="0" collapsed="false">
      <c r="A632" s="14" t="n">
        <v>2026</v>
      </c>
      <c r="B632" s="14" t="n">
        <v>2</v>
      </c>
      <c r="C632" s="11" t="s">
        <v>53</v>
      </c>
      <c r="D632" s="11" t="s">
        <v>54</v>
      </c>
      <c r="E632" s="15" t="s">
        <v>23</v>
      </c>
      <c r="F632" s="11" t="s">
        <v>24</v>
      </c>
      <c r="G632" s="12" t="s">
        <v>25</v>
      </c>
      <c r="H632" s="11" t="s">
        <v>58</v>
      </c>
      <c r="I632" s="16" t="n">
        <v>400</v>
      </c>
      <c r="J632" s="16" t="n">
        <v>42000</v>
      </c>
    </row>
    <row r="633" customFormat="false" ht="15" hidden="false" customHeight="true" outlineLevel="0" collapsed="false">
      <c r="A633" s="14" t="n">
        <v>2026</v>
      </c>
      <c r="B633" s="14" t="n">
        <v>2</v>
      </c>
      <c r="C633" s="11" t="s">
        <v>53</v>
      </c>
      <c r="D633" s="11" t="s">
        <v>54</v>
      </c>
      <c r="E633" s="15" t="s">
        <v>27</v>
      </c>
      <c r="F633" s="11" t="s">
        <v>28</v>
      </c>
      <c r="G633" s="12" t="s">
        <v>29</v>
      </c>
      <c r="H633" s="11" t="s">
        <v>59</v>
      </c>
      <c r="I633" s="16" t="n">
        <v>35</v>
      </c>
      <c r="J633" s="16" t="n">
        <v>33008</v>
      </c>
    </row>
    <row r="634" customFormat="false" ht="15" hidden="false" customHeight="true" outlineLevel="0" collapsed="false">
      <c r="A634" s="14" t="n">
        <v>2026</v>
      </c>
      <c r="B634" s="14" t="n">
        <v>2</v>
      </c>
      <c r="C634" s="11" t="s">
        <v>53</v>
      </c>
      <c r="D634" s="11" t="s">
        <v>54</v>
      </c>
      <c r="E634" s="15" t="s">
        <v>27</v>
      </c>
      <c r="F634" s="11" t="s">
        <v>28</v>
      </c>
      <c r="G634" s="12" t="s">
        <v>29</v>
      </c>
      <c r="H634" s="11" t="s">
        <v>61</v>
      </c>
      <c r="I634" s="16" t="n">
        <v>201</v>
      </c>
      <c r="J634" s="16" t="n">
        <v>110000</v>
      </c>
    </row>
    <row r="635" customFormat="false" ht="15" hidden="false" customHeight="true" outlineLevel="0" collapsed="false">
      <c r="A635" s="14" t="n">
        <v>2026</v>
      </c>
      <c r="B635" s="14" t="n">
        <v>3</v>
      </c>
      <c r="C635" s="11" t="s">
        <v>53</v>
      </c>
      <c r="D635" s="11" t="s">
        <v>54</v>
      </c>
      <c r="E635" s="15" t="s">
        <v>20</v>
      </c>
      <c r="F635" s="11" t="s">
        <v>21</v>
      </c>
      <c r="G635" s="12" t="s">
        <v>22</v>
      </c>
      <c r="H635" s="11" t="s">
        <v>55</v>
      </c>
      <c r="I635" s="16" t="n">
        <v>3810</v>
      </c>
      <c r="J635" s="16" t="n">
        <v>117302</v>
      </c>
    </row>
    <row r="636" customFormat="false" ht="15" hidden="false" customHeight="true" outlineLevel="0" collapsed="false">
      <c r="A636" s="14" t="n">
        <v>2026</v>
      </c>
      <c r="B636" s="14" t="n">
        <v>3</v>
      </c>
      <c r="C636" s="11" t="s">
        <v>53</v>
      </c>
      <c r="D636" s="11" t="s">
        <v>54</v>
      </c>
      <c r="E636" s="15" t="s">
        <v>23</v>
      </c>
      <c r="F636" s="11" t="s">
        <v>24</v>
      </c>
      <c r="G636" s="12" t="s">
        <v>25</v>
      </c>
      <c r="H636" s="11" t="s">
        <v>55</v>
      </c>
      <c r="I636" s="16" t="n">
        <v>168050</v>
      </c>
      <c r="J636" s="16" t="n">
        <v>13029041</v>
      </c>
    </row>
    <row r="637" customFormat="false" ht="15" hidden="false" customHeight="true" outlineLevel="0" collapsed="false">
      <c r="A637" s="14" t="n">
        <v>2026</v>
      </c>
      <c r="B637" s="14" t="n">
        <v>3</v>
      </c>
      <c r="C637" s="11" t="s">
        <v>53</v>
      </c>
      <c r="D637" s="11" t="s">
        <v>54</v>
      </c>
      <c r="E637" s="15" t="s">
        <v>20</v>
      </c>
      <c r="F637" s="11" t="s">
        <v>21</v>
      </c>
      <c r="G637" s="12" t="s">
        <v>22</v>
      </c>
      <c r="H637" s="11" t="s">
        <v>56</v>
      </c>
      <c r="I637" s="16" t="n">
        <v>5000</v>
      </c>
      <c r="J637" s="16" t="n">
        <v>394915</v>
      </c>
    </row>
    <row r="638" customFormat="false" ht="15" hidden="false" customHeight="true" outlineLevel="0" collapsed="false">
      <c r="A638" s="14" t="n">
        <v>2026</v>
      </c>
      <c r="B638" s="14" t="n">
        <v>3</v>
      </c>
      <c r="C638" s="11" t="s">
        <v>53</v>
      </c>
      <c r="D638" s="11" t="s">
        <v>54</v>
      </c>
      <c r="E638" s="15" t="s">
        <v>23</v>
      </c>
      <c r="F638" s="11" t="s">
        <v>24</v>
      </c>
      <c r="G638" s="12" t="s">
        <v>25</v>
      </c>
      <c r="H638" s="11" t="s">
        <v>56</v>
      </c>
      <c r="I638" s="16" t="n">
        <v>5500</v>
      </c>
      <c r="J638" s="16" t="n">
        <v>486535</v>
      </c>
    </row>
    <row r="639" customFormat="false" ht="15" hidden="false" customHeight="true" outlineLevel="0" collapsed="false">
      <c r="A639" s="14" t="n">
        <v>2026</v>
      </c>
      <c r="B639" s="14" t="n">
        <v>3</v>
      </c>
      <c r="C639" s="11" t="s">
        <v>53</v>
      </c>
      <c r="D639" s="11" t="s">
        <v>54</v>
      </c>
      <c r="E639" s="15" t="s">
        <v>27</v>
      </c>
      <c r="F639" s="11" t="s">
        <v>28</v>
      </c>
      <c r="G639" s="12" t="s">
        <v>29</v>
      </c>
      <c r="H639" s="11" t="s">
        <v>56</v>
      </c>
      <c r="I639" s="16" t="n">
        <v>924</v>
      </c>
      <c r="J639" s="16" t="n">
        <v>214251</v>
      </c>
    </row>
    <row r="640" customFormat="false" ht="15" hidden="false" customHeight="true" outlineLevel="0" collapsed="false">
      <c r="A640" s="14" t="n">
        <v>2026</v>
      </c>
      <c r="B640" s="14" t="n">
        <v>3</v>
      </c>
      <c r="C640" s="11" t="s">
        <v>53</v>
      </c>
      <c r="D640" s="11" t="s">
        <v>54</v>
      </c>
      <c r="E640" s="15" t="s">
        <v>23</v>
      </c>
      <c r="F640" s="11" t="s">
        <v>24</v>
      </c>
      <c r="G640" s="12" t="s">
        <v>25</v>
      </c>
      <c r="H640" s="11" t="s">
        <v>58</v>
      </c>
      <c r="I640" s="16" t="n">
        <v>526</v>
      </c>
      <c r="J640" s="16" t="n">
        <v>55241</v>
      </c>
    </row>
    <row r="641" customFormat="false" ht="15" hidden="false" customHeight="true" outlineLevel="0" collapsed="false">
      <c r="A641" s="14" t="n">
        <v>2026</v>
      </c>
      <c r="B641" s="14" t="n">
        <v>4</v>
      </c>
      <c r="C641" s="11" t="s">
        <v>53</v>
      </c>
      <c r="D641" s="11" t="s">
        <v>54</v>
      </c>
      <c r="E641" s="15" t="s">
        <v>20</v>
      </c>
      <c r="F641" s="11" t="s">
        <v>21</v>
      </c>
      <c r="G641" s="12" t="s">
        <v>22</v>
      </c>
      <c r="H641" s="11" t="s">
        <v>55</v>
      </c>
      <c r="I641" s="16" t="n">
        <v>1610</v>
      </c>
      <c r="J641" s="16" t="n">
        <v>126210</v>
      </c>
    </row>
    <row r="642" customFormat="false" ht="15" hidden="false" customHeight="true" outlineLevel="0" collapsed="false">
      <c r="A642" s="14" t="n">
        <v>2026</v>
      </c>
      <c r="B642" s="14" t="n">
        <v>4</v>
      </c>
      <c r="C642" s="11" t="s">
        <v>53</v>
      </c>
      <c r="D642" s="11" t="s">
        <v>54</v>
      </c>
      <c r="E642" s="15" t="s">
        <v>23</v>
      </c>
      <c r="F642" s="11" t="s">
        <v>24</v>
      </c>
      <c r="G642" s="12" t="s">
        <v>25</v>
      </c>
      <c r="H642" s="11" t="s">
        <v>55</v>
      </c>
      <c r="I642" s="16" t="n">
        <v>107400</v>
      </c>
      <c r="J642" s="16" t="n">
        <v>8581861</v>
      </c>
    </row>
    <row r="643" customFormat="false" ht="15" hidden="false" customHeight="true" outlineLevel="0" collapsed="false">
      <c r="A643" s="14" t="n">
        <v>2026</v>
      </c>
      <c r="B643" s="14" t="n">
        <v>4</v>
      </c>
      <c r="C643" s="11" t="s">
        <v>53</v>
      </c>
      <c r="D643" s="11" t="s">
        <v>54</v>
      </c>
      <c r="E643" s="15" t="s">
        <v>23</v>
      </c>
      <c r="F643" s="11" t="s">
        <v>24</v>
      </c>
      <c r="G643" s="12" t="s">
        <v>25</v>
      </c>
      <c r="H643" s="11" t="s">
        <v>56</v>
      </c>
      <c r="I643" s="16" t="n">
        <v>3082</v>
      </c>
      <c r="J643" s="16" t="n">
        <v>178756</v>
      </c>
    </row>
    <row r="644" customFormat="false" ht="15" hidden="false" customHeight="true" outlineLevel="0" collapsed="false">
      <c r="A644" s="14" t="n">
        <v>2026</v>
      </c>
      <c r="B644" s="14" t="n">
        <v>4</v>
      </c>
      <c r="C644" s="11" t="s">
        <v>53</v>
      </c>
      <c r="D644" s="11" t="s">
        <v>54</v>
      </c>
      <c r="E644" s="15" t="s">
        <v>27</v>
      </c>
      <c r="F644" s="11" t="s">
        <v>28</v>
      </c>
      <c r="G644" s="12" t="s">
        <v>29</v>
      </c>
      <c r="H644" s="11" t="s">
        <v>56</v>
      </c>
      <c r="I644" s="16" t="n">
        <v>770</v>
      </c>
      <c r="J644" s="16" t="n">
        <v>227868</v>
      </c>
    </row>
    <row r="645" customFormat="false" ht="15" hidden="false" customHeight="true" outlineLevel="0" collapsed="false">
      <c r="A645" s="14" t="n">
        <v>2026</v>
      </c>
      <c r="B645" s="14" t="n">
        <v>4</v>
      </c>
      <c r="C645" s="11" t="s">
        <v>53</v>
      </c>
      <c r="D645" s="11" t="s">
        <v>54</v>
      </c>
      <c r="E645" s="15" t="s">
        <v>20</v>
      </c>
      <c r="F645" s="11" t="s">
        <v>21</v>
      </c>
      <c r="G645" s="12" t="s">
        <v>22</v>
      </c>
      <c r="H645" s="11" t="s">
        <v>57</v>
      </c>
      <c r="I645" s="16" t="n">
        <v>1000</v>
      </c>
      <c r="J645" s="16" t="n">
        <v>59242</v>
      </c>
    </row>
    <row r="646" customFormat="false" ht="15" hidden="false" customHeight="true" outlineLevel="0" collapsed="false">
      <c r="A646" s="14" t="n">
        <v>2026</v>
      </c>
      <c r="B646" s="14" t="n">
        <v>4</v>
      </c>
      <c r="C646" s="11" t="s">
        <v>53</v>
      </c>
      <c r="D646" s="11" t="s">
        <v>54</v>
      </c>
      <c r="E646" s="15" t="s">
        <v>34</v>
      </c>
      <c r="F646" s="11" t="s">
        <v>65</v>
      </c>
      <c r="G646" s="12" t="s">
        <v>36</v>
      </c>
      <c r="H646" s="11" t="s">
        <v>59</v>
      </c>
      <c r="I646" s="16" t="n">
        <v>121</v>
      </c>
      <c r="J646" s="16" t="n">
        <v>24395</v>
      </c>
    </row>
    <row r="647" customFormat="false" ht="15" hidden="false" customHeight="true" outlineLevel="0" collapsed="false">
      <c r="A647" s="14" t="n">
        <v>2026</v>
      </c>
      <c r="B647" s="14" t="n">
        <v>4</v>
      </c>
      <c r="C647" s="11" t="s">
        <v>53</v>
      </c>
      <c r="D647" s="11" t="s">
        <v>54</v>
      </c>
      <c r="E647" s="15" t="s">
        <v>20</v>
      </c>
      <c r="F647" s="11" t="s">
        <v>21</v>
      </c>
      <c r="G647" s="12" t="s">
        <v>22</v>
      </c>
      <c r="H647" s="11" t="s">
        <v>60</v>
      </c>
      <c r="I647" s="16" t="n">
        <v>216</v>
      </c>
      <c r="J647" s="16" t="n">
        <v>3502</v>
      </c>
    </row>
    <row r="648" customFormat="false" ht="15" hidden="false" customHeight="true" outlineLevel="0" collapsed="false">
      <c r="A648" s="14" t="n">
        <v>2026</v>
      </c>
      <c r="B648" s="14" t="n">
        <v>5</v>
      </c>
      <c r="C648" s="11" t="s">
        <v>53</v>
      </c>
      <c r="D648" s="11" t="s">
        <v>54</v>
      </c>
      <c r="E648" s="15" t="s">
        <v>20</v>
      </c>
      <c r="F648" s="11" t="s">
        <v>21</v>
      </c>
      <c r="G648" s="12" t="s">
        <v>22</v>
      </c>
      <c r="H648" s="11" t="s">
        <v>55</v>
      </c>
      <c r="I648" s="16" t="n">
        <v>5695</v>
      </c>
      <c r="J648" s="16" t="n">
        <v>322433</v>
      </c>
    </row>
    <row r="649" customFormat="false" ht="15" hidden="false" customHeight="true" outlineLevel="0" collapsed="false">
      <c r="A649" s="14" t="n">
        <v>2026</v>
      </c>
      <c r="B649" s="14" t="n">
        <v>5</v>
      </c>
      <c r="C649" s="11" t="s">
        <v>53</v>
      </c>
      <c r="D649" s="11" t="s">
        <v>54</v>
      </c>
      <c r="E649" s="15" t="s">
        <v>23</v>
      </c>
      <c r="F649" s="11" t="s">
        <v>24</v>
      </c>
      <c r="G649" s="12" t="s">
        <v>25</v>
      </c>
      <c r="H649" s="11" t="s">
        <v>55</v>
      </c>
      <c r="I649" s="16" t="n">
        <v>186293</v>
      </c>
      <c r="J649" s="16" t="n">
        <v>13590847</v>
      </c>
    </row>
    <row r="650" customFormat="false" ht="15" hidden="false" customHeight="true" outlineLevel="0" collapsed="false">
      <c r="A650" s="14" t="n">
        <v>2026</v>
      </c>
      <c r="B650" s="14" t="n">
        <v>5</v>
      </c>
      <c r="C650" s="11" t="s">
        <v>53</v>
      </c>
      <c r="D650" s="11" t="s">
        <v>54</v>
      </c>
      <c r="E650" s="15" t="s">
        <v>23</v>
      </c>
      <c r="F650" s="11" t="s">
        <v>24</v>
      </c>
      <c r="G650" s="12" t="s">
        <v>25</v>
      </c>
      <c r="H650" s="11" t="s">
        <v>56</v>
      </c>
      <c r="I650" s="16" t="n">
        <v>3051</v>
      </c>
      <c r="J650" s="16" t="n">
        <v>268500</v>
      </c>
    </row>
    <row r="651" customFormat="false" ht="15" hidden="false" customHeight="true" outlineLevel="0" collapsed="false">
      <c r="A651" s="14" t="n">
        <v>2026</v>
      </c>
      <c r="B651" s="14" t="n">
        <v>5</v>
      </c>
      <c r="C651" s="11" t="s">
        <v>53</v>
      </c>
      <c r="D651" s="11" t="s">
        <v>54</v>
      </c>
      <c r="E651" s="15" t="s">
        <v>27</v>
      </c>
      <c r="F651" s="11" t="s">
        <v>28</v>
      </c>
      <c r="G651" s="12" t="s">
        <v>29</v>
      </c>
      <c r="H651" s="11" t="s">
        <v>56</v>
      </c>
      <c r="I651" s="16" t="n">
        <v>968</v>
      </c>
      <c r="J651" s="16" t="n">
        <v>285745</v>
      </c>
    </row>
    <row r="652" customFormat="false" ht="15" hidden="false" customHeight="true" outlineLevel="0" collapsed="false">
      <c r="A652" s="14" t="n">
        <v>2026</v>
      </c>
      <c r="B652" s="14" t="n">
        <v>5</v>
      </c>
      <c r="C652" s="11" t="s">
        <v>53</v>
      </c>
      <c r="D652" s="11" t="s">
        <v>54</v>
      </c>
      <c r="E652" s="15" t="s">
        <v>20</v>
      </c>
      <c r="F652" s="11" t="s">
        <v>21</v>
      </c>
      <c r="G652" s="12" t="s">
        <v>22</v>
      </c>
      <c r="H652" s="11" t="s">
        <v>57</v>
      </c>
      <c r="I652" s="16" t="n">
        <v>2351</v>
      </c>
      <c r="J652" s="16" t="n">
        <v>176952</v>
      </c>
    </row>
    <row r="653" customFormat="false" ht="15" hidden="false" customHeight="true" outlineLevel="0" collapsed="false">
      <c r="A653" s="14" t="n">
        <v>2026</v>
      </c>
      <c r="B653" s="14" t="n">
        <v>5</v>
      </c>
      <c r="C653" s="11" t="s">
        <v>53</v>
      </c>
      <c r="D653" s="11" t="s">
        <v>54</v>
      </c>
      <c r="E653" s="15" t="s">
        <v>27</v>
      </c>
      <c r="F653" s="11" t="s">
        <v>28</v>
      </c>
      <c r="G653" s="12" t="s">
        <v>29</v>
      </c>
      <c r="H653" s="11" t="s">
        <v>59</v>
      </c>
      <c r="I653" s="16" t="n">
        <v>2076</v>
      </c>
      <c r="J653" s="16" t="n">
        <v>220067</v>
      </c>
    </row>
    <row r="654" customFormat="false" ht="15" hidden="false" customHeight="true" outlineLevel="0" collapsed="false">
      <c r="A654" s="14" t="n">
        <v>2026</v>
      </c>
      <c r="B654" s="14" t="n">
        <v>5</v>
      </c>
      <c r="C654" s="11" t="s">
        <v>53</v>
      </c>
      <c r="D654" s="11" t="s">
        <v>54</v>
      </c>
      <c r="E654" s="15" t="s">
        <v>20</v>
      </c>
      <c r="F654" s="11" t="s">
        <v>21</v>
      </c>
      <c r="G654" s="12" t="s">
        <v>22</v>
      </c>
      <c r="H654" s="11" t="s">
        <v>60</v>
      </c>
      <c r="I654" s="16" t="n">
        <v>23</v>
      </c>
      <c r="J654" s="16" t="n">
        <v>7500</v>
      </c>
    </row>
    <row r="655" customFormat="false" ht="15" hidden="false" customHeight="true" outlineLevel="0" collapsed="false">
      <c r="A655" s="14" t="n">
        <v>2026</v>
      </c>
      <c r="B655" s="14" t="n">
        <v>6</v>
      </c>
      <c r="C655" s="11" t="s">
        <v>53</v>
      </c>
      <c r="D655" s="11" t="s">
        <v>54</v>
      </c>
      <c r="E655" s="15" t="s">
        <v>20</v>
      </c>
      <c r="F655" s="11" t="s">
        <v>21</v>
      </c>
      <c r="G655" s="12" t="s">
        <v>22</v>
      </c>
      <c r="H655" s="11" t="s">
        <v>55</v>
      </c>
      <c r="I655" s="16" t="n">
        <v>26384</v>
      </c>
      <c r="J655" s="16" t="n">
        <v>1262056</v>
      </c>
    </row>
    <row r="656" customFormat="false" ht="15" hidden="false" customHeight="true" outlineLevel="0" collapsed="false">
      <c r="A656" s="14" t="n">
        <v>2026</v>
      </c>
      <c r="B656" s="14" t="n">
        <v>6</v>
      </c>
      <c r="C656" s="11" t="s">
        <v>53</v>
      </c>
      <c r="D656" s="11" t="s">
        <v>54</v>
      </c>
      <c r="E656" s="15" t="s">
        <v>23</v>
      </c>
      <c r="F656" s="11" t="s">
        <v>24</v>
      </c>
      <c r="G656" s="12" t="s">
        <v>25</v>
      </c>
      <c r="H656" s="11" t="s">
        <v>55</v>
      </c>
      <c r="I656" s="16" t="n">
        <v>19138</v>
      </c>
      <c r="J656" s="16" t="n">
        <v>1319426</v>
      </c>
    </row>
    <row r="657" customFormat="false" ht="15" hidden="false" customHeight="true" outlineLevel="0" collapsed="false">
      <c r="A657" s="14" t="n">
        <v>2026</v>
      </c>
      <c r="B657" s="14" t="n">
        <v>6</v>
      </c>
      <c r="C657" s="11" t="s">
        <v>53</v>
      </c>
      <c r="D657" s="11" t="s">
        <v>54</v>
      </c>
      <c r="E657" s="15" t="s">
        <v>23</v>
      </c>
      <c r="F657" s="11" t="s">
        <v>24</v>
      </c>
      <c r="G657" s="12" t="s">
        <v>25</v>
      </c>
      <c r="H657" s="11" t="s">
        <v>56</v>
      </c>
      <c r="I657" s="16" t="n">
        <v>7171</v>
      </c>
      <c r="J657" s="16" t="n">
        <v>911887</v>
      </c>
    </row>
    <row r="658" customFormat="false" ht="15" hidden="false" customHeight="true" outlineLevel="0" collapsed="false">
      <c r="A658" s="14" t="n">
        <v>2026</v>
      </c>
      <c r="B658" s="14" t="n">
        <v>6</v>
      </c>
      <c r="C658" s="11" t="s">
        <v>53</v>
      </c>
      <c r="D658" s="11" t="s">
        <v>54</v>
      </c>
      <c r="E658" s="15" t="s">
        <v>27</v>
      </c>
      <c r="F658" s="11" t="s">
        <v>28</v>
      </c>
      <c r="G658" s="12" t="s">
        <v>29</v>
      </c>
      <c r="H658" s="11" t="s">
        <v>56</v>
      </c>
      <c r="I658" s="16" t="n">
        <v>991</v>
      </c>
      <c r="J658" s="16" t="n">
        <v>369080</v>
      </c>
    </row>
    <row r="659" customFormat="false" ht="15" hidden="false" customHeight="true" outlineLevel="0" collapsed="false">
      <c r="A659" s="14" t="n">
        <v>2026</v>
      </c>
      <c r="B659" s="14" t="n">
        <v>6</v>
      </c>
      <c r="C659" s="11" t="s">
        <v>53</v>
      </c>
      <c r="D659" s="11" t="s">
        <v>54</v>
      </c>
      <c r="E659" s="15" t="s">
        <v>23</v>
      </c>
      <c r="F659" s="11" t="s">
        <v>24</v>
      </c>
      <c r="G659" s="12" t="s">
        <v>25</v>
      </c>
      <c r="H659" s="11" t="s">
        <v>58</v>
      </c>
      <c r="I659" s="16" t="n">
        <v>229</v>
      </c>
      <c r="J659" s="16" t="n">
        <v>27538</v>
      </c>
    </row>
    <row r="660" customFormat="false" ht="15" hidden="false" customHeight="true" outlineLevel="0" collapsed="false">
      <c r="A660" s="14" t="n">
        <v>2026</v>
      </c>
      <c r="B660" s="14" t="n">
        <v>6</v>
      </c>
      <c r="C660" s="11" t="s">
        <v>53</v>
      </c>
      <c r="D660" s="11" t="s">
        <v>54</v>
      </c>
      <c r="E660" s="15" t="s">
        <v>27</v>
      </c>
      <c r="F660" s="11" t="s">
        <v>28</v>
      </c>
      <c r="G660" s="12" t="s">
        <v>29</v>
      </c>
      <c r="H660" s="11" t="s">
        <v>59</v>
      </c>
      <c r="I660" s="16" t="n">
        <v>135</v>
      </c>
      <c r="J660" s="16" t="n">
        <v>31197</v>
      </c>
    </row>
    <row r="661" customFormat="false" ht="15" hidden="false" customHeight="true" outlineLevel="0" collapsed="false">
      <c r="H661" s="17" t="s">
        <v>68</v>
      </c>
      <c r="I661" s="18" t="n">
        <f aca="false">SUM(I2:I660)</f>
        <v>6835632</v>
      </c>
      <c r="J661" s="18" t="n">
        <f aca="false">SUM(J2:J660)</f>
        <v>654251368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8" min="2" style="1" width="15"/>
  </cols>
  <sheetData>
    <row r="1" customFormat="false" ht="17.25" hidden="false" customHeight="true" outlineLevel="0" collapsed="false">
      <c r="A1" s="2" t="s">
        <v>69</v>
      </c>
    </row>
    <row r="2" customFormat="false" ht="15" hidden="false" customHeight="true" outlineLevel="0" collapsed="false">
      <c r="A2" s="3" t="s">
        <v>70</v>
      </c>
    </row>
    <row r="4" customFormat="false" ht="15" hidden="false" customHeight="true" outlineLevel="0" collapsed="false">
      <c r="A4" s="8" t="s">
        <v>71</v>
      </c>
    </row>
    <row r="5" customFormat="false" ht="15" hidden="false" customHeight="true" outlineLevel="0" collapsed="false">
      <c r="A5" s="13" t="s">
        <v>43</v>
      </c>
      <c r="B5" s="19" t="s">
        <v>22</v>
      </c>
      <c r="C5" s="19" t="s">
        <v>25</v>
      </c>
      <c r="D5" s="19" t="s">
        <v>29</v>
      </c>
      <c r="E5" s="19" t="s">
        <v>33</v>
      </c>
      <c r="F5" s="19" t="s">
        <v>36</v>
      </c>
      <c r="G5" s="13" t="s">
        <v>72</v>
      </c>
    </row>
    <row r="6" customFormat="false" ht="15" hidden="false" customHeight="true" outlineLevel="0" collapsed="false">
      <c r="A6" s="20" t="n">
        <v>2019</v>
      </c>
      <c r="B6" s="16" t="n">
        <f aca="false">SUMIFS('Flat Data'!$I$2:$I$660,'Flat Data'!$A$2:$A$660,$A6,'Flat Data'!$E$2:$E$660,"0507900002")</f>
        <v>169917</v>
      </c>
      <c r="C6" s="16" t="n">
        <f aca="false">SUMIFS('Flat Data'!$I$2:$I$660,'Flat Data'!$A$2:$A$660,$A6,'Flat Data'!$E$2:$E$660,"0507900011")</f>
        <v>461617</v>
      </c>
      <c r="D6" s="16" t="n">
        <f aca="false">SUMIFS('Flat Data'!$I$2:$I$660,'Flat Data'!$A$2:$A$660,$A6,'Flat Data'!$E$2:$E$660,"0507900012")</f>
        <v>39961</v>
      </c>
      <c r="E6" s="16" t="n">
        <f aca="false">SUMIFS('Flat Data'!$I$2:$I$660,'Flat Data'!$A$2:$A$660,$A6,'Flat Data'!$E$2:$E$660,"0507900015")</f>
        <v>186</v>
      </c>
      <c r="F6" s="16" t="n">
        <f aca="false">SUMIFS('Flat Data'!$I$2:$I$660,'Flat Data'!$A$2:$A$660,$A6,'Flat Data'!$E$2:$E$660,"0507900038")</f>
        <v>97</v>
      </c>
      <c r="G6" s="21" t="n">
        <f aca="false">SUM(B6:F6)</f>
        <v>671778</v>
      </c>
    </row>
    <row r="7" customFormat="false" ht="15" hidden="false" customHeight="true" outlineLevel="0" collapsed="false">
      <c r="A7" s="20" t="n">
        <v>2020</v>
      </c>
      <c r="B7" s="16" t="n">
        <f aca="false">SUMIFS('Flat Data'!$I$2:$I$660,'Flat Data'!$A$2:$A$660,$A7,'Flat Data'!$E$2:$E$660,"0507900002")</f>
        <v>162255</v>
      </c>
      <c r="C7" s="16" t="n">
        <f aca="false">SUMIFS('Flat Data'!$I$2:$I$660,'Flat Data'!$A$2:$A$660,$A7,'Flat Data'!$E$2:$E$660,"0507900011")</f>
        <v>555255</v>
      </c>
      <c r="D7" s="16" t="n">
        <f aca="false">SUMIFS('Flat Data'!$I$2:$I$660,'Flat Data'!$A$2:$A$660,$A7,'Flat Data'!$E$2:$E$660,"0507900012")</f>
        <v>26907</v>
      </c>
      <c r="E7" s="16" t="n">
        <f aca="false">SUMIFS('Flat Data'!$I$2:$I$660,'Flat Data'!$A$2:$A$660,$A7,'Flat Data'!$E$2:$E$660,"0507900015")</f>
        <v>3937</v>
      </c>
      <c r="F7" s="16" t="n">
        <f aca="false">SUMIFS('Flat Data'!$I$2:$I$660,'Flat Data'!$A$2:$A$660,$A7,'Flat Data'!$E$2:$E$660,"0507900038")</f>
        <v>10</v>
      </c>
      <c r="G7" s="21" t="n">
        <f aca="false">SUM(B7:F7)</f>
        <v>748364</v>
      </c>
    </row>
    <row r="8" customFormat="false" ht="15" hidden="false" customHeight="true" outlineLevel="0" collapsed="false">
      <c r="A8" s="20" t="n">
        <v>2021</v>
      </c>
      <c r="B8" s="16" t="n">
        <f aca="false">SUMIFS('Flat Data'!$I$2:$I$660,'Flat Data'!$A$2:$A$660,$A8,'Flat Data'!$E$2:$E$660,"0507900002")</f>
        <v>143889</v>
      </c>
      <c r="C8" s="16" t="n">
        <f aca="false">SUMIFS('Flat Data'!$I$2:$I$660,'Flat Data'!$A$2:$A$660,$A8,'Flat Data'!$E$2:$E$660,"0507900011")</f>
        <v>580278</v>
      </c>
      <c r="D8" s="16" t="n">
        <f aca="false">SUMIFS('Flat Data'!$I$2:$I$660,'Flat Data'!$A$2:$A$660,$A8,'Flat Data'!$E$2:$E$660,"0507900012")</f>
        <v>16681</v>
      </c>
      <c r="E8" s="16" t="n">
        <f aca="false">SUMIFS('Flat Data'!$I$2:$I$660,'Flat Data'!$A$2:$A$660,$A8,'Flat Data'!$E$2:$E$660,"0507900015")</f>
        <v>2525</v>
      </c>
      <c r="F8" s="16" t="n">
        <f aca="false">SUMIFS('Flat Data'!$I$2:$I$660,'Flat Data'!$A$2:$A$660,$A8,'Flat Data'!$E$2:$E$660,"0507900038")</f>
        <v>3813</v>
      </c>
      <c r="G8" s="21" t="n">
        <f aca="false">SUM(B8:F8)</f>
        <v>747186</v>
      </c>
    </row>
    <row r="9" customFormat="false" ht="15" hidden="false" customHeight="true" outlineLevel="0" collapsed="false">
      <c r="A9" s="20" t="n">
        <v>2022</v>
      </c>
      <c r="B9" s="16" t="n">
        <f aca="false">SUMIFS('Flat Data'!$I$2:$I$660,'Flat Data'!$A$2:$A$660,$A9,'Flat Data'!$E$2:$E$660,"0507900002")</f>
        <v>150018</v>
      </c>
      <c r="C9" s="16" t="n">
        <f aca="false">SUMIFS('Flat Data'!$I$2:$I$660,'Flat Data'!$A$2:$A$660,$A9,'Flat Data'!$E$2:$E$660,"0507900011")</f>
        <v>616803</v>
      </c>
      <c r="D9" s="16" t="n">
        <f aca="false">SUMIFS('Flat Data'!$I$2:$I$660,'Flat Data'!$A$2:$A$660,$A9,'Flat Data'!$E$2:$E$660,"0507900012")</f>
        <v>37951</v>
      </c>
      <c r="E9" s="16" t="n">
        <f aca="false">SUMIFS('Flat Data'!$I$2:$I$660,'Flat Data'!$A$2:$A$660,$A9,'Flat Data'!$E$2:$E$660,"0507900015")</f>
        <v>1292</v>
      </c>
      <c r="F9" s="16" t="n">
        <f aca="false">SUMIFS('Flat Data'!$I$2:$I$660,'Flat Data'!$A$2:$A$660,$A9,'Flat Data'!$E$2:$E$660,"0507900038")</f>
        <v>743</v>
      </c>
      <c r="G9" s="21" t="n">
        <f aca="false">SUM(B9:F9)</f>
        <v>806807</v>
      </c>
    </row>
    <row r="10" customFormat="false" ht="15" hidden="false" customHeight="true" outlineLevel="0" collapsed="false">
      <c r="A10" s="20" t="n">
        <v>2023</v>
      </c>
      <c r="B10" s="16" t="n">
        <f aca="false">SUMIFS('Flat Data'!$I$2:$I$660,'Flat Data'!$A$2:$A$660,$A10,'Flat Data'!$E$2:$E$660,"0507900002")</f>
        <v>251710</v>
      </c>
      <c r="C10" s="16" t="n">
        <f aca="false">SUMIFS('Flat Data'!$I$2:$I$660,'Flat Data'!$A$2:$A$660,$A10,'Flat Data'!$E$2:$E$660,"0507900011")</f>
        <v>810898</v>
      </c>
      <c r="D10" s="16" t="n">
        <f aca="false">SUMIFS('Flat Data'!$I$2:$I$660,'Flat Data'!$A$2:$A$660,$A10,'Flat Data'!$E$2:$E$660,"0507900012")</f>
        <v>49604</v>
      </c>
      <c r="E10" s="16" t="n">
        <f aca="false">SUMIFS('Flat Data'!$I$2:$I$660,'Flat Data'!$A$2:$A$660,$A10,'Flat Data'!$E$2:$E$660,"0507900015")</f>
        <v>2085</v>
      </c>
      <c r="F10" s="16" t="n">
        <f aca="false">SUMIFS('Flat Data'!$I$2:$I$660,'Flat Data'!$A$2:$A$660,$A10,'Flat Data'!$E$2:$E$660,"0507900038")</f>
        <v>782</v>
      </c>
      <c r="G10" s="21" t="n">
        <f aca="false">SUM(B10:F10)</f>
        <v>1115079</v>
      </c>
    </row>
    <row r="11" customFormat="false" ht="15" hidden="false" customHeight="true" outlineLevel="0" collapsed="false">
      <c r="A11" s="20" t="n">
        <v>2024</v>
      </c>
      <c r="B11" s="16" t="n">
        <f aca="false">SUMIFS('Flat Data'!$I$2:$I$660,'Flat Data'!$A$2:$A$660,$A11,'Flat Data'!$E$2:$E$660,"0507900002")</f>
        <v>148344</v>
      </c>
      <c r="C11" s="16" t="n">
        <f aca="false">SUMIFS('Flat Data'!$I$2:$I$660,'Flat Data'!$A$2:$A$660,$A11,'Flat Data'!$E$2:$E$660,"0507900011")</f>
        <v>648652</v>
      </c>
      <c r="D11" s="16" t="n">
        <f aca="false">SUMIFS('Flat Data'!$I$2:$I$660,'Flat Data'!$A$2:$A$660,$A11,'Flat Data'!$E$2:$E$660,"0507900012")</f>
        <v>30533</v>
      </c>
      <c r="E11" s="16" t="n">
        <f aca="false">SUMIFS('Flat Data'!$I$2:$I$660,'Flat Data'!$A$2:$A$660,$A11,'Flat Data'!$E$2:$E$660,"0507900015")</f>
        <v>488</v>
      </c>
      <c r="F11" s="16" t="n">
        <f aca="false">SUMIFS('Flat Data'!$I$2:$I$660,'Flat Data'!$A$2:$A$660,$A11,'Flat Data'!$E$2:$E$660,"0507900038")</f>
        <v>3004</v>
      </c>
      <c r="G11" s="21" t="n">
        <f aca="false">SUM(B11:F11)</f>
        <v>831021</v>
      </c>
    </row>
    <row r="12" customFormat="false" ht="15" hidden="false" customHeight="true" outlineLevel="0" collapsed="false">
      <c r="A12" s="20" t="n">
        <v>2025</v>
      </c>
      <c r="B12" s="16" t="n">
        <f aca="false">SUMIFS('Flat Data'!$I$2:$I$660,'Flat Data'!$A$2:$A$660,$A12,'Flat Data'!$E$2:$E$660,"0507900002")</f>
        <v>75186</v>
      </c>
      <c r="C12" s="16" t="n">
        <f aca="false">SUMIFS('Flat Data'!$I$2:$I$660,'Flat Data'!$A$2:$A$660,$A12,'Flat Data'!$E$2:$E$660,"0507900011")</f>
        <v>978300</v>
      </c>
      <c r="D12" s="16" t="n">
        <f aca="false">SUMIFS('Flat Data'!$I$2:$I$660,'Flat Data'!$A$2:$A$660,$A12,'Flat Data'!$E$2:$E$660,"0507900012")</f>
        <v>13143</v>
      </c>
      <c r="E12" s="16" t="n">
        <f aca="false">SUMIFS('Flat Data'!$I$2:$I$660,'Flat Data'!$A$2:$A$660,$A12,'Flat Data'!$E$2:$E$660,"0507900015")</f>
        <v>274</v>
      </c>
      <c r="F12" s="16" t="n">
        <f aca="false">SUMIFS('Flat Data'!$I$2:$I$660,'Flat Data'!$A$2:$A$660,$A12,'Flat Data'!$E$2:$E$660,"0507900038")</f>
        <v>1100</v>
      </c>
      <c r="G12" s="21" t="n">
        <f aca="false">SUM(B12:F12)</f>
        <v>1068003</v>
      </c>
    </row>
    <row r="13" customFormat="false" ht="15" hidden="false" customHeight="true" outlineLevel="0" collapsed="false">
      <c r="A13" s="20" t="n">
        <v>2026</v>
      </c>
      <c r="B13" s="16" t="n">
        <f aca="false">SUMIFS('Flat Data'!$I$2:$I$660,'Flat Data'!$A$2:$A$660,$A13,'Flat Data'!$E$2:$E$660,"0507900002")</f>
        <v>55328</v>
      </c>
      <c r="C13" s="16" t="n">
        <f aca="false">SUMIFS('Flat Data'!$I$2:$I$660,'Flat Data'!$A$2:$A$660,$A13,'Flat Data'!$E$2:$E$660,"0507900011")</f>
        <v>785835</v>
      </c>
      <c r="D13" s="16" t="n">
        <f aca="false">SUMIFS('Flat Data'!$I$2:$I$660,'Flat Data'!$A$2:$A$660,$A13,'Flat Data'!$E$2:$E$660,"0507900012")</f>
        <v>6100</v>
      </c>
      <c r="E13" s="16" t="n">
        <f aca="false">SUMIFS('Flat Data'!$I$2:$I$660,'Flat Data'!$A$2:$A$660,$A13,'Flat Data'!$E$2:$E$660,"0507900015")</f>
        <v>0</v>
      </c>
      <c r="F13" s="16" t="n">
        <f aca="false">SUMIFS('Flat Data'!$I$2:$I$660,'Flat Data'!$A$2:$A$660,$A13,'Flat Data'!$E$2:$E$660,"0507900038")</f>
        <v>131</v>
      </c>
      <c r="G13" s="21" t="n">
        <f aca="false">SUM(B13:F13)</f>
        <v>847394</v>
      </c>
    </row>
    <row r="14" customFormat="false" ht="15" hidden="false" customHeight="true" outlineLevel="0" collapsed="false">
      <c r="A14" s="22" t="s">
        <v>72</v>
      </c>
      <c r="B14" s="21" t="n">
        <f aca="false">SUM(B6:B13)</f>
        <v>1156647</v>
      </c>
      <c r="C14" s="21" t="n">
        <f aca="false">SUM(C6:C13)</f>
        <v>5437638</v>
      </c>
      <c r="D14" s="21" t="n">
        <f aca="false">SUM(D6:D13)</f>
        <v>220880</v>
      </c>
      <c r="E14" s="21" t="n">
        <f aca="false">SUM(E6:E13)</f>
        <v>10787</v>
      </c>
      <c r="F14" s="21" t="n">
        <f aca="false">SUM(F6:F13)</f>
        <v>9680</v>
      </c>
      <c r="G14" s="21" t="n">
        <f aca="false">SUM(G6:G13)</f>
        <v>6835632</v>
      </c>
    </row>
    <row r="17" customFormat="false" ht="15" hidden="false" customHeight="true" outlineLevel="0" collapsed="false">
      <c r="A17" s="8" t="s">
        <v>73</v>
      </c>
    </row>
    <row r="18" customFormat="false" ht="15" hidden="false" customHeight="true" outlineLevel="0" collapsed="false">
      <c r="A18" s="13" t="s">
        <v>43</v>
      </c>
      <c r="B18" s="19" t="s">
        <v>22</v>
      </c>
      <c r="C18" s="19" t="s">
        <v>25</v>
      </c>
      <c r="D18" s="19" t="s">
        <v>29</v>
      </c>
      <c r="E18" s="19" t="s">
        <v>33</v>
      </c>
      <c r="F18" s="19" t="s">
        <v>36</v>
      </c>
      <c r="G18" s="13" t="s">
        <v>72</v>
      </c>
    </row>
    <row r="19" customFormat="false" ht="15" hidden="false" customHeight="true" outlineLevel="0" collapsed="false">
      <c r="A19" s="20" t="n">
        <v>2019</v>
      </c>
      <c r="B19" s="16" t="n">
        <f aca="false">SUMIFS('Flat Data'!$J$2:$J$660,'Flat Data'!$A$2:$A$660,$A19,'Flat Data'!$E$2:$E$660,"0507900002")</f>
        <v>13416277</v>
      </c>
      <c r="C19" s="16" t="n">
        <f aca="false">SUMIFS('Flat Data'!$J$2:$J$660,'Flat Data'!$A$2:$A$660,$A19,'Flat Data'!$E$2:$E$660,"0507900011")</f>
        <v>35102336</v>
      </c>
      <c r="D19" s="16" t="n">
        <f aca="false">SUMIFS('Flat Data'!$J$2:$J$660,'Flat Data'!$A$2:$A$660,$A19,'Flat Data'!$E$2:$E$660,"0507900012")</f>
        <v>7261745</v>
      </c>
      <c r="E19" s="16" t="n">
        <f aca="false">SUMIFS('Flat Data'!$J$2:$J$660,'Flat Data'!$A$2:$A$660,$A19,'Flat Data'!$E$2:$E$660,"0507900015")</f>
        <v>135005</v>
      </c>
      <c r="F19" s="16" t="n">
        <f aca="false">SUMIFS('Flat Data'!$J$2:$J$660,'Flat Data'!$A$2:$A$660,$A19,'Flat Data'!$E$2:$E$660,"0507900038")</f>
        <v>44824</v>
      </c>
      <c r="G19" s="21" t="n">
        <f aca="false">SUM(B19:F19)</f>
        <v>55960187</v>
      </c>
    </row>
    <row r="20" customFormat="false" ht="15" hidden="false" customHeight="true" outlineLevel="0" collapsed="false">
      <c r="A20" s="20" t="n">
        <v>2020</v>
      </c>
      <c r="B20" s="16" t="n">
        <f aca="false">SUMIFS('Flat Data'!$J$2:$J$660,'Flat Data'!$A$2:$A$660,$A20,'Flat Data'!$E$2:$E$660,"0507900002")</f>
        <v>15754079</v>
      </c>
      <c r="C20" s="16" t="n">
        <f aca="false">SUMIFS('Flat Data'!$J$2:$J$660,'Flat Data'!$A$2:$A$660,$A20,'Flat Data'!$E$2:$E$660,"0507900011")</f>
        <v>45522287</v>
      </c>
      <c r="D20" s="16" t="n">
        <f aca="false">SUMIFS('Flat Data'!$J$2:$J$660,'Flat Data'!$A$2:$A$660,$A20,'Flat Data'!$E$2:$E$660,"0507900012")</f>
        <v>11314563</v>
      </c>
      <c r="E20" s="16" t="n">
        <f aca="false">SUMIFS('Flat Data'!$J$2:$J$660,'Flat Data'!$A$2:$A$660,$A20,'Flat Data'!$E$2:$E$660,"0507900015")</f>
        <v>646825</v>
      </c>
      <c r="F20" s="16" t="n">
        <f aca="false">SUMIFS('Flat Data'!$J$2:$J$660,'Flat Data'!$A$2:$A$660,$A20,'Flat Data'!$E$2:$E$660,"0507900038")</f>
        <v>7900</v>
      </c>
      <c r="G20" s="21" t="n">
        <f aca="false">SUM(B20:F20)</f>
        <v>73245654</v>
      </c>
    </row>
    <row r="21" customFormat="false" ht="15" hidden="false" customHeight="true" outlineLevel="0" collapsed="false">
      <c r="A21" s="20" t="n">
        <v>2021</v>
      </c>
      <c r="B21" s="16" t="n">
        <f aca="false">SUMIFS('Flat Data'!$J$2:$J$660,'Flat Data'!$A$2:$A$660,$A21,'Flat Data'!$E$2:$E$660,"0507900002")</f>
        <v>13244880</v>
      </c>
      <c r="C21" s="16" t="n">
        <f aca="false">SUMIFS('Flat Data'!$J$2:$J$660,'Flat Data'!$A$2:$A$660,$A21,'Flat Data'!$E$2:$E$660,"0507900011")</f>
        <v>51164677</v>
      </c>
      <c r="D21" s="16" t="n">
        <f aca="false">SUMIFS('Flat Data'!$J$2:$J$660,'Flat Data'!$A$2:$A$660,$A21,'Flat Data'!$E$2:$E$660,"0507900012")</f>
        <v>6495169</v>
      </c>
      <c r="E21" s="16" t="n">
        <f aca="false">SUMIFS('Flat Data'!$J$2:$J$660,'Flat Data'!$A$2:$A$660,$A21,'Flat Data'!$E$2:$E$660,"0507900015")</f>
        <v>149123</v>
      </c>
      <c r="F21" s="16" t="n">
        <f aca="false">SUMIFS('Flat Data'!$J$2:$J$660,'Flat Data'!$A$2:$A$660,$A21,'Flat Data'!$E$2:$E$660,"0507900038")</f>
        <v>1628863</v>
      </c>
      <c r="G21" s="21" t="n">
        <f aca="false">SUM(B21:F21)</f>
        <v>72682712</v>
      </c>
    </row>
    <row r="22" customFormat="false" ht="15" hidden="false" customHeight="true" outlineLevel="0" collapsed="false">
      <c r="A22" s="20" t="n">
        <v>2022</v>
      </c>
      <c r="B22" s="16" t="n">
        <f aca="false">SUMIFS('Flat Data'!$J$2:$J$660,'Flat Data'!$A$2:$A$660,$A22,'Flat Data'!$E$2:$E$660,"0507900002")</f>
        <v>15571033</v>
      </c>
      <c r="C22" s="16" t="n">
        <f aca="false">SUMIFS('Flat Data'!$J$2:$J$660,'Flat Data'!$A$2:$A$660,$A22,'Flat Data'!$E$2:$E$660,"0507900011")</f>
        <v>66213994</v>
      </c>
      <c r="D22" s="16" t="n">
        <f aca="false">SUMIFS('Flat Data'!$J$2:$J$660,'Flat Data'!$A$2:$A$660,$A22,'Flat Data'!$E$2:$E$660,"0507900012")</f>
        <v>13245246</v>
      </c>
      <c r="E22" s="16" t="n">
        <f aca="false">SUMIFS('Flat Data'!$J$2:$J$660,'Flat Data'!$A$2:$A$660,$A22,'Flat Data'!$E$2:$E$660,"0507900015")</f>
        <v>629837</v>
      </c>
      <c r="F22" s="16" t="n">
        <f aca="false">SUMIFS('Flat Data'!$J$2:$J$660,'Flat Data'!$A$2:$A$660,$A22,'Flat Data'!$E$2:$E$660,"0507900038")</f>
        <v>253444</v>
      </c>
      <c r="G22" s="21" t="n">
        <f aca="false">SUM(B22:F22)</f>
        <v>95913554</v>
      </c>
    </row>
    <row r="23" customFormat="false" ht="15" hidden="false" customHeight="true" outlineLevel="0" collapsed="false">
      <c r="A23" s="20" t="n">
        <v>2023</v>
      </c>
      <c r="B23" s="16" t="n">
        <f aca="false">SUMIFS('Flat Data'!$J$2:$J$660,'Flat Data'!$A$2:$A$660,$A23,'Flat Data'!$E$2:$E$660,"0507900002")</f>
        <v>21856953</v>
      </c>
      <c r="C23" s="16" t="n">
        <f aca="false">SUMIFS('Flat Data'!$J$2:$J$660,'Flat Data'!$A$2:$A$660,$A23,'Flat Data'!$E$2:$E$660,"0507900011")</f>
        <v>80219472</v>
      </c>
      <c r="D23" s="16" t="n">
        <f aca="false">SUMIFS('Flat Data'!$J$2:$J$660,'Flat Data'!$A$2:$A$660,$A23,'Flat Data'!$E$2:$E$660,"0507900012")</f>
        <v>20386182</v>
      </c>
      <c r="E23" s="16" t="n">
        <f aca="false">SUMIFS('Flat Data'!$J$2:$J$660,'Flat Data'!$A$2:$A$660,$A23,'Flat Data'!$E$2:$E$660,"0507900015")</f>
        <v>853185</v>
      </c>
      <c r="F23" s="16" t="n">
        <f aca="false">SUMIFS('Flat Data'!$J$2:$J$660,'Flat Data'!$A$2:$A$660,$A23,'Flat Data'!$E$2:$E$660,"0507900038")</f>
        <v>466823</v>
      </c>
      <c r="G23" s="21" t="n">
        <f aca="false">SUM(B23:F23)</f>
        <v>123782615</v>
      </c>
    </row>
    <row r="24" customFormat="false" ht="15" hidden="false" customHeight="true" outlineLevel="0" collapsed="false">
      <c r="A24" s="20" t="n">
        <v>2024</v>
      </c>
      <c r="B24" s="16" t="n">
        <f aca="false">SUMIFS('Flat Data'!$J$2:$J$660,'Flat Data'!$A$2:$A$660,$A24,'Flat Data'!$E$2:$E$660,"0507900002")</f>
        <v>12053813</v>
      </c>
      <c r="C24" s="16" t="n">
        <f aca="false">SUMIFS('Flat Data'!$J$2:$J$660,'Flat Data'!$A$2:$A$660,$A24,'Flat Data'!$E$2:$E$660,"0507900011")</f>
        <v>60953947</v>
      </c>
      <c r="D24" s="16" t="n">
        <f aca="false">SUMIFS('Flat Data'!$J$2:$J$660,'Flat Data'!$A$2:$A$660,$A24,'Flat Data'!$E$2:$E$660,"0507900012")</f>
        <v>7868426</v>
      </c>
      <c r="E24" s="16" t="n">
        <f aca="false">SUMIFS('Flat Data'!$J$2:$J$660,'Flat Data'!$A$2:$A$660,$A24,'Flat Data'!$E$2:$E$660,"0507900015")</f>
        <v>370983</v>
      </c>
      <c r="F24" s="16" t="n">
        <f aca="false">SUMIFS('Flat Data'!$J$2:$J$660,'Flat Data'!$A$2:$A$660,$A24,'Flat Data'!$E$2:$E$660,"0507900038")</f>
        <v>1450498</v>
      </c>
      <c r="G24" s="21" t="n">
        <f aca="false">SUM(B24:F24)</f>
        <v>82697667</v>
      </c>
    </row>
    <row r="25" customFormat="false" ht="15" hidden="false" customHeight="true" outlineLevel="0" collapsed="false">
      <c r="A25" s="20" t="n">
        <v>2025</v>
      </c>
      <c r="B25" s="16" t="n">
        <f aca="false">SUMIFS('Flat Data'!$J$2:$J$660,'Flat Data'!$A$2:$A$660,$A25,'Flat Data'!$E$2:$E$660,"0507900002")</f>
        <v>3368981</v>
      </c>
      <c r="C25" s="16" t="n">
        <f aca="false">SUMIFS('Flat Data'!$J$2:$J$660,'Flat Data'!$A$2:$A$660,$A25,'Flat Data'!$E$2:$E$660,"0507900011")</f>
        <v>80185654</v>
      </c>
      <c r="D25" s="16" t="n">
        <f aca="false">SUMIFS('Flat Data'!$J$2:$J$660,'Flat Data'!$A$2:$A$660,$A25,'Flat Data'!$E$2:$E$660,"0507900012")</f>
        <v>3925278</v>
      </c>
      <c r="E25" s="16" t="n">
        <f aca="false">SUMIFS('Flat Data'!$J$2:$J$660,'Flat Data'!$A$2:$A$660,$A25,'Flat Data'!$E$2:$E$660,"0507900015")</f>
        <v>190058</v>
      </c>
      <c r="F25" s="16" t="n">
        <f aca="false">SUMIFS('Flat Data'!$J$2:$J$660,'Flat Data'!$A$2:$A$660,$A25,'Flat Data'!$E$2:$E$660,"0507900038")</f>
        <v>373809</v>
      </c>
      <c r="G25" s="21" t="n">
        <f aca="false">SUM(B25:F25)</f>
        <v>88043780</v>
      </c>
    </row>
    <row r="26" customFormat="false" ht="15" hidden="false" customHeight="true" outlineLevel="0" collapsed="false">
      <c r="A26" s="20" t="n">
        <v>2026</v>
      </c>
      <c r="B26" s="16" t="n">
        <f aca="false">SUMIFS('Flat Data'!$J$2:$J$660,'Flat Data'!$A$2:$A$660,$A26,'Flat Data'!$E$2:$E$660,"0507900002")</f>
        <v>3131706</v>
      </c>
      <c r="C26" s="16" t="n">
        <f aca="false">SUMIFS('Flat Data'!$J$2:$J$660,'Flat Data'!$A$2:$A$660,$A26,'Flat Data'!$E$2:$E$660,"0507900011")</f>
        <v>57272782</v>
      </c>
      <c r="D26" s="16" t="n">
        <f aca="false">SUMIFS('Flat Data'!$J$2:$J$660,'Flat Data'!$A$2:$A$660,$A26,'Flat Data'!$E$2:$E$660,"0507900012")</f>
        <v>1491216</v>
      </c>
      <c r="E26" s="16" t="n">
        <f aca="false">SUMIFS('Flat Data'!$J$2:$J$660,'Flat Data'!$A$2:$A$660,$A26,'Flat Data'!$E$2:$E$660,"0507900015")</f>
        <v>0</v>
      </c>
      <c r="F26" s="16" t="n">
        <f aca="false">SUMIFS('Flat Data'!$J$2:$J$660,'Flat Data'!$A$2:$A$660,$A26,'Flat Data'!$E$2:$E$660,"0507900038")</f>
        <v>29495</v>
      </c>
      <c r="G26" s="21" t="n">
        <f aca="false">SUM(B26:F26)</f>
        <v>61925199</v>
      </c>
    </row>
    <row r="27" customFormat="false" ht="15" hidden="false" customHeight="true" outlineLevel="0" collapsed="false">
      <c r="A27" s="22" t="s">
        <v>72</v>
      </c>
      <c r="B27" s="21" t="n">
        <f aca="false">SUM(B19:B26)</f>
        <v>98397722</v>
      </c>
      <c r="C27" s="21" t="n">
        <f aca="false">SUM(C19:C26)</f>
        <v>476635149</v>
      </c>
      <c r="D27" s="21" t="n">
        <f aca="false">SUM(D19:D26)</f>
        <v>71987825</v>
      </c>
      <c r="E27" s="21" t="n">
        <f aca="false">SUM(E19:E26)</f>
        <v>2975016</v>
      </c>
      <c r="F27" s="21" t="n">
        <f aca="false">SUM(F19:F26)</f>
        <v>4255656</v>
      </c>
      <c r="G27" s="21" t="n">
        <f aca="false">SUM(G19:G26)</f>
        <v>654251368</v>
      </c>
    </row>
    <row r="30" customFormat="false" ht="15" hidden="false" customHeight="true" outlineLevel="0" collapsed="false">
      <c r="A30" s="8" t="s">
        <v>74</v>
      </c>
    </row>
    <row r="31" customFormat="false" ht="15" hidden="false" customHeight="true" outlineLevel="0" collapsed="false">
      <c r="A31" s="13" t="s">
        <v>50</v>
      </c>
      <c r="B31" s="23" t="n">
        <v>2019</v>
      </c>
      <c r="C31" s="23" t="n">
        <v>2020</v>
      </c>
      <c r="D31" s="23" t="n">
        <v>2021</v>
      </c>
      <c r="E31" s="23" t="n">
        <v>2022</v>
      </c>
      <c r="F31" s="23" t="n">
        <v>2023</v>
      </c>
      <c r="G31" s="23" t="n">
        <v>2024</v>
      </c>
      <c r="H31" s="23" t="n">
        <v>2025</v>
      </c>
      <c r="I31" s="23" t="n">
        <v>2026</v>
      </c>
      <c r="J31" s="13" t="s">
        <v>72</v>
      </c>
    </row>
    <row r="32" customFormat="false" ht="15" hidden="false" customHeight="true" outlineLevel="0" collapsed="false">
      <c r="A32" s="11" t="s">
        <v>55</v>
      </c>
      <c r="B32" s="16" t="n">
        <f aca="false">SUMIFS('Flat Data'!$I$2:$I$660,'Flat Data'!$A$2:$A$660,B$31,'Flat Data'!$H$2:$H$660,$A32)</f>
        <v>500518</v>
      </c>
      <c r="C32" s="16" t="n">
        <f aca="false">SUMIFS('Flat Data'!$I$2:$I$660,'Flat Data'!$A$2:$A$660,C$31,'Flat Data'!$H$2:$H$660,$A32)</f>
        <v>584862</v>
      </c>
      <c r="D32" s="16" t="n">
        <f aca="false">SUMIFS('Flat Data'!$I$2:$I$660,'Flat Data'!$A$2:$A$660,D$31,'Flat Data'!$H$2:$H$660,$A32)</f>
        <v>610109</v>
      </c>
      <c r="E32" s="16" t="n">
        <f aca="false">SUMIFS('Flat Data'!$I$2:$I$660,'Flat Data'!$A$2:$A$660,E$31,'Flat Data'!$H$2:$H$660,$A32)</f>
        <v>638929</v>
      </c>
      <c r="F32" s="16" t="n">
        <f aca="false">SUMIFS('Flat Data'!$I$2:$I$660,'Flat Data'!$A$2:$A$660,F$31,'Flat Data'!$H$2:$H$660,$A32)</f>
        <v>922615</v>
      </c>
      <c r="G32" s="16" t="n">
        <f aca="false">SUMIFS('Flat Data'!$I$2:$I$660,'Flat Data'!$A$2:$A$660,G$31,'Flat Data'!$H$2:$H$660,$A32)</f>
        <v>700182</v>
      </c>
      <c r="H32" s="16" t="n">
        <f aca="false">SUMIFS('Flat Data'!$I$2:$I$660,'Flat Data'!$A$2:$A$660,H$31,'Flat Data'!$H$2:$H$660,$A32)</f>
        <v>952111</v>
      </c>
      <c r="I32" s="16" t="n">
        <f aca="false">SUMIFS('Flat Data'!$I$2:$I$660,'Flat Data'!$A$2:$A$660,I$31,'Flat Data'!$H$2:$H$660,$A32)</f>
        <v>795326</v>
      </c>
      <c r="J32" s="21" t="n">
        <f aca="false">SUM(B32:I32)</f>
        <v>5704652</v>
      </c>
    </row>
    <row r="33" customFormat="false" ht="23.25" hidden="false" customHeight="true" outlineLevel="0" collapsed="false">
      <c r="A33" s="11" t="s">
        <v>56</v>
      </c>
      <c r="B33" s="16" t="n">
        <f aca="false">SUMIFS('Flat Data'!$I$2:$I$660,'Flat Data'!$A$2:$A$660,B$31,'Flat Data'!$H$2:$H$660,$A33)</f>
        <v>127765</v>
      </c>
      <c r="C33" s="16" t="n">
        <f aca="false">SUMIFS('Flat Data'!$I$2:$I$660,'Flat Data'!$A$2:$A$660,C$31,'Flat Data'!$H$2:$H$660,$A33)</f>
        <v>125492</v>
      </c>
      <c r="D33" s="16" t="n">
        <f aca="false">SUMIFS('Flat Data'!$I$2:$I$660,'Flat Data'!$A$2:$A$660,D$31,'Flat Data'!$H$2:$H$660,$A33)</f>
        <v>108875</v>
      </c>
      <c r="E33" s="16" t="n">
        <f aca="false">SUMIFS('Flat Data'!$I$2:$I$660,'Flat Data'!$A$2:$A$660,E$31,'Flat Data'!$H$2:$H$660,$A33)</f>
        <v>121698</v>
      </c>
      <c r="F33" s="16" t="n">
        <f aca="false">SUMIFS('Flat Data'!$I$2:$I$660,'Flat Data'!$A$2:$A$660,F$31,'Flat Data'!$H$2:$H$660,$A33)</f>
        <v>159846</v>
      </c>
      <c r="G33" s="16" t="n">
        <f aca="false">SUMIFS('Flat Data'!$I$2:$I$660,'Flat Data'!$A$2:$A$660,G$31,'Flat Data'!$H$2:$H$660,$A33)</f>
        <v>91698</v>
      </c>
      <c r="H33" s="16" t="n">
        <f aca="false">SUMIFS('Flat Data'!$I$2:$I$660,'Flat Data'!$A$2:$A$660,H$31,'Flat Data'!$H$2:$H$660,$A33)</f>
        <v>85754</v>
      </c>
      <c r="I33" s="16" t="n">
        <f aca="false">SUMIFS('Flat Data'!$I$2:$I$660,'Flat Data'!$A$2:$A$660,I$31,'Flat Data'!$H$2:$H$660,$A33)</f>
        <v>43219</v>
      </c>
      <c r="J33" s="21" t="n">
        <f aca="false">SUM(B33:I33)</f>
        <v>864347</v>
      </c>
    </row>
    <row r="34" customFormat="false" ht="15" hidden="false" customHeight="true" outlineLevel="0" collapsed="false">
      <c r="A34" s="11" t="s">
        <v>57</v>
      </c>
      <c r="B34" s="16" t="n">
        <f aca="false">SUMIFS('Flat Data'!$I$2:$I$660,'Flat Data'!$A$2:$A$660,B$31,'Flat Data'!$H$2:$H$660,$A34)</f>
        <v>16240</v>
      </c>
      <c r="C34" s="16" t="n">
        <f aca="false">SUMIFS('Flat Data'!$I$2:$I$660,'Flat Data'!$A$2:$A$660,C$31,'Flat Data'!$H$2:$H$660,$A34)</f>
        <v>28562</v>
      </c>
      <c r="D34" s="16" t="n">
        <f aca="false">SUMIFS('Flat Data'!$I$2:$I$660,'Flat Data'!$A$2:$A$660,D$31,'Flat Data'!$H$2:$H$660,$A34)</f>
        <v>22563</v>
      </c>
      <c r="E34" s="16" t="n">
        <f aca="false">SUMIFS('Flat Data'!$I$2:$I$660,'Flat Data'!$A$2:$A$660,E$31,'Flat Data'!$H$2:$H$660,$A34)</f>
        <v>13839</v>
      </c>
      <c r="F34" s="16" t="n">
        <f aca="false">SUMIFS('Flat Data'!$I$2:$I$660,'Flat Data'!$A$2:$A$660,F$31,'Flat Data'!$H$2:$H$660,$A34)</f>
        <v>23762</v>
      </c>
      <c r="G34" s="16" t="n">
        <f aca="false">SUMIFS('Flat Data'!$I$2:$I$660,'Flat Data'!$A$2:$A$660,G$31,'Flat Data'!$H$2:$H$660,$A34)</f>
        <v>18883</v>
      </c>
      <c r="H34" s="16" t="n">
        <f aca="false">SUMIFS('Flat Data'!$I$2:$I$660,'Flat Data'!$A$2:$A$660,H$31,'Flat Data'!$H$2:$H$660,$A34)</f>
        <v>19437</v>
      </c>
      <c r="I34" s="16" t="n">
        <f aca="false">SUMIFS('Flat Data'!$I$2:$I$660,'Flat Data'!$A$2:$A$660,I$31,'Flat Data'!$H$2:$H$660,$A34)</f>
        <v>4887</v>
      </c>
      <c r="J34" s="21" t="n">
        <f aca="false">SUM(B34:I34)</f>
        <v>148173</v>
      </c>
    </row>
    <row r="35" customFormat="false" ht="15" hidden="false" customHeight="true" outlineLevel="0" collapsed="false">
      <c r="A35" s="11" t="s">
        <v>58</v>
      </c>
      <c r="B35" s="16" t="n">
        <f aca="false">SUMIFS('Flat Data'!$I$2:$I$660,'Flat Data'!$A$2:$A$660,B$31,'Flat Data'!$H$2:$H$660,$A35)</f>
        <v>10498</v>
      </c>
      <c r="C35" s="16" t="n">
        <f aca="false">SUMIFS('Flat Data'!$I$2:$I$660,'Flat Data'!$A$2:$A$660,C$31,'Flat Data'!$H$2:$H$660,$A35)</f>
        <v>3882</v>
      </c>
      <c r="D35" s="16" t="n">
        <f aca="false">SUMIFS('Flat Data'!$I$2:$I$660,'Flat Data'!$A$2:$A$660,D$31,'Flat Data'!$H$2:$H$660,$A35)</f>
        <v>2641</v>
      </c>
      <c r="E35" s="16" t="n">
        <f aca="false">SUMIFS('Flat Data'!$I$2:$I$660,'Flat Data'!$A$2:$A$660,E$31,'Flat Data'!$H$2:$H$660,$A35)</f>
        <v>23232</v>
      </c>
      <c r="F35" s="16" t="n">
        <f aca="false">SUMIFS('Flat Data'!$I$2:$I$660,'Flat Data'!$A$2:$A$660,F$31,'Flat Data'!$H$2:$H$660,$A35)</f>
        <v>4054</v>
      </c>
      <c r="G35" s="16" t="n">
        <f aca="false">SUMIFS('Flat Data'!$I$2:$I$660,'Flat Data'!$A$2:$A$660,G$31,'Flat Data'!$H$2:$H$660,$A35)</f>
        <v>2440</v>
      </c>
      <c r="H35" s="16" t="n">
        <f aca="false">SUMIFS('Flat Data'!$I$2:$I$660,'Flat Data'!$A$2:$A$660,H$31,'Flat Data'!$H$2:$H$660,$A35)</f>
        <v>5980</v>
      </c>
      <c r="I35" s="16" t="n">
        <f aca="false">SUMIFS('Flat Data'!$I$2:$I$660,'Flat Data'!$A$2:$A$660,I$31,'Flat Data'!$H$2:$H$660,$A35)</f>
        <v>1155</v>
      </c>
      <c r="J35" s="21" t="n">
        <f aca="false">SUM(B35:I35)</f>
        <v>53882</v>
      </c>
    </row>
    <row r="36" customFormat="false" ht="23.25" hidden="false" customHeight="true" outlineLevel="0" collapsed="false">
      <c r="A36" s="11" t="s">
        <v>59</v>
      </c>
      <c r="B36" s="16" t="n">
        <f aca="false">SUMIFS('Flat Data'!$I$2:$I$660,'Flat Data'!$A$2:$A$660,B$31,'Flat Data'!$H$2:$H$660,$A36)</f>
        <v>2954</v>
      </c>
      <c r="C36" s="16" t="n">
        <f aca="false">SUMIFS('Flat Data'!$I$2:$I$660,'Flat Data'!$A$2:$A$660,C$31,'Flat Data'!$H$2:$H$660,$A36)</f>
        <v>706</v>
      </c>
      <c r="D36" s="16" t="n">
        <f aca="false">SUMIFS('Flat Data'!$I$2:$I$660,'Flat Data'!$A$2:$A$660,D$31,'Flat Data'!$H$2:$H$660,$A36)</f>
        <v>2308</v>
      </c>
      <c r="E36" s="16" t="n">
        <f aca="false">SUMIFS('Flat Data'!$I$2:$I$660,'Flat Data'!$A$2:$A$660,E$31,'Flat Data'!$H$2:$H$660,$A36)</f>
        <v>7799</v>
      </c>
      <c r="F36" s="16" t="n">
        <f aca="false">SUMIFS('Flat Data'!$I$2:$I$660,'Flat Data'!$A$2:$A$660,F$31,'Flat Data'!$H$2:$H$660,$A36)</f>
        <v>4396</v>
      </c>
      <c r="G36" s="16" t="n">
        <f aca="false">SUMIFS('Flat Data'!$I$2:$I$660,'Flat Data'!$A$2:$A$660,G$31,'Flat Data'!$H$2:$H$660,$A36)</f>
        <v>16203</v>
      </c>
      <c r="H36" s="16" t="n">
        <f aca="false">SUMIFS('Flat Data'!$I$2:$I$660,'Flat Data'!$A$2:$A$660,H$31,'Flat Data'!$H$2:$H$660,$A36)</f>
        <v>4018</v>
      </c>
      <c r="I36" s="16" t="n">
        <f aca="false">SUMIFS('Flat Data'!$I$2:$I$660,'Flat Data'!$A$2:$A$660,I$31,'Flat Data'!$H$2:$H$660,$A36)</f>
        <v>2367</v>
      </c>
      <c r="J36" s="21" t="n">
        <f aca="false">SUM(B36:I36)</f>
        <v>40751</v>
      </c>
    </row>
    <row r="37" customFormat="false" ht="15" hidden="false" customHeight="true" outlineLevel="0" collapsed="false">
      <c r="A37" s="11" t="s">
        <v>60</v>
      </c>
      <c r="B37" s="16" t="n">
        <f aca="false">SUMIFS('Flat Data'!$I$2:$I$660,'Flat Data'!$A$2:$A$660,B$31,'Flat Data'!$H$2:$H$660,$A37)</f>
        <v>8402</v>
      </c>
      <c r="C37" s="16" t="n">
        <f aca="false">SUMIFS('Flat Data'!$I$2:$I$660,'Flat Data'!$A$2:$A$660,C$31,'Flat Data'!$H$2:$H$660,$A37)</f>
        <v>4455</v>
      </c>
      <c r="D37" s="16" t="n">
        <f aca="false">SUMIFS('Flat Data'!$I$2:$I$660,'Flat Data'!$A$2:$A$660,D$31,'Flat Data'!$H$2:$H$660,$A37)</f>
        <v>370</v>
      </c>
      <c r="E37" s="16" t="n">
        <f aca="false">SUMIFS('Flat Data'!$I$2:$I$660,'Flat Data'!$A$2:$A$660,E$31,'Flat Data'!$H$2:$H$660,$A37)</f>
        <v>310</v>
      </c>
      <c r="F37" s="16" t="n">
        <f aca="false">SUMIFS('Flat Data'!$I$2:$I$660,'Flat Data'!$A$2:$A$660,F$31,'Flat Data'!$H$2:$H$660,$A37)</f>
        <v>180</v>
      </c>
      <c r="G37" s="16" t="n">
        <f aca="false">SUMIFS('Flat Data'!$I$2:$I$660,'Flat Data'!$A$2:$A$660,G$31,'Flat Data'!$H$2:$H$660,$A37)</f>
        <v>600</v>
      </c>
      <c r="H37" s="16" t="n">
        <f aca="false">SUMIFS('Flat Data'!$I$2:$I$660,'Flat Data'!$A$2:$A$660,H$31,'Flat Data'!$H$2:$H$660,$A37)</f>
        <v>344</v>
      </c>
      <c r="I37" s="16" t="n">
        <f aca="false">SUMIFS('Flat Data'!$I$2:$I$660,'Flat Data'!$A$2:$A$660,I$31,'Flat Data'!$H$2:$H$660,$A37)</f>
        <v>239</v>
      </c>
      <c r="J37" s="21" t="n">
        <f aca="false">SUM(B37:I37)</f>
        <v>14900</v>
      </c>
    </row>
    <row r="38" customFormat="false" ht="15" hidden="false" customHeight="true" outlineLevel="0" collapsed="false">
      <c r="A38" s="11" t="s">
        <v>61</v>
      </c>
      <c r="B38" s="16" t="n">
        <f aca="false">SUMIFS('Flat Data'!$I$2:$I$660,'Flat Data'!$A$2:$A$660,B$31,'Flat Data'!$H$2:$H$660,$A38)</f>
        <v>4101</v>
      </c>
      <c r="C38" s="16" t="n">
        <f aca="false">SUMIFS('Flat Data'!$I$2:$I$660,'Flat Data'!$A$2:$A$660,C$31,'Flat Data'!$H$2:$H$660,$A38)</f>
        <v>380</v>
      </c>
      <c r="D38" s="16" t="n">
        <f aca="false">SUMIFS('Flat Data'!$I$2:$I$660,'Flat Data'!$A$2:$A$660,D$31,'Flat Data'!$H$2:$H$660,$A38)</f>
        <v>320</v>
      </c>
      <c r="E38" s="16" t="n">
        <f aca="false">SUMIFS('Flat Data'!$I$2:$I$660,'Flat Data'!$A$2:$A$660,E$31,'Flat Data'!$H$2:$H$660,$A38)</f>
        <v>1000</v>
      </c>
      <c r="F38" s="16" t="n">
        <f aca="false">SUMIFS('Flat Data'!$I$2:$I$660,'Flat Data'!$A$2:$A$660,F$31,'Flat Data'!$H$2:$H$660,$A38)</f>
        <v>181</v>
      </c>
      <c r="G38" s="16" t="n">
        <f aca="false">SUMIFS('Flat Data'!$I$2:$I$660,'Flat Data'!$A$2:$A$660,G$31,'Flat Data'!$H$2:$H$660,$A38)</f>
        <v>755</v>
      </c>
      <c r="H38" s="16" t="n">
        <f aca="false">SUMIFS('Flat Data'!$I$2:$I$660,'Flat Data'!$A$2:$A$660,H$31,'Flat Data'!$H$2:$H$660,$A38)</f>
        <v>140</v>
      </c>
      <c r="I38" s="16" t="n">
        <f aca="false">SUMIFS('Flat Data'!$I$2:$I$660,'Flat Data'!$A$2:$A$660,I$31,'Flat Data'!$H$2:$H$660,$A38)</f>
        <v>201</v>
      </c>
      <c r="J38" s="21" t="n">
        <f aca="false">SUM(B38:I38)</f>
        <v>7078</v>
      </c>
    </row>
    <row r="39" customFormat="false" ht="15" hidden="false" customHeight="true" outlineLevel="0" collapsed="false">
      <c r="A39" s="11" t="s">
        <v>63</v>
      </c>
      <c r="B39" s="16" t="n">
        <f aca="false">SUMIFS('Flat Data'!$I$2:$I$660,'Flat Data'!$A$2:$A$660,B$31,'Flat Data'!$H$2:$H$660,$A39)</f>
        <v>1054</v>
      </c>
      <c r="C39" s="16" t="n">
        <f aca="false">SUMIFS('Flat Data'!$I$2:$I$660,'Flat Data'!$A$2:$A$660,C$31,'Flat Data'!$H$2:$H$660,$A39)</f>
        <v>0</v>
      </c>
      <c r="D39" s="16" t="n">
        <f aca="false">SUMIFS('Flat Data'!$I$2:$I$660,'Flat Data'!$A$2:$A$660,D$31,'Flat Data'!$H$2:$H$660,$A39)</f>
        <v>0</v>
      </c>
      <c r="E39" s="16" t="n">
        <f aca="false">SUMIFS('Flat Data'!$I$2:$I$660,'Flat Data'!$A$2:$A$660,E$31,'Flat Data'!$H$2:$H$660,$A39)</f>
        <v>0</v>
      </c>
      <c r="F39" s="16" t="n">
        <f aca="false">SUMIFS('Flat Data'!$I$2:$I$660,'Flat Data'!$A$2:$A$660,F$31,'Flat Data'!$H$2:$H$660,$A39)</f>
        <v>0</v>
      </c>
      <c r="G39" s="16" t="n">
        <f aca="false">SUMIFS('Flat Data'!$I$2:$I$660,'Flat Data'!$A$2:$A$660,G$31,'Flat Data'!$H$2:$H$660,$A39)</f>
        <v>250</v>
      </c>
      <c r="H39" s="16" t="n">
        <f aca="false">SUMIFS('Flat Data'!$I$2:$I$660,'Flat Data'!$A$2:$A$660,H$31,'Flat Data'!$H$2:$H$660,$A39)</f>
        <v>0</v>
      </c>
      <c r="I39" s="16" t="n">
        <f aca="false">SUMIFS('Flat Data'!$I$2:$I$660,'Flat Data'!$A$2:$A$660,I$31,'Flat Data'!$H$2:$H$660,$A39)</f>
        <v>0</v>
      </c>
      <c r="J39" s="21" t="n">
        <f aca="false">SUM(B39:I39)</f>
        <v>1304</v>
      </c>
    </row>
    <row r="40" customFormat="false" ht="23.25" hidden="false" customHeight="true" outlineLevel="0" collapsed="false">
      <c r="A40" s="11" t="s">
        <v>62</v>
      </c>
      <c r="B40" s="16" t="n">
        <f aca="false">SUMIFS('Flat Data'!$I$2:$I$660,'Flat Data'!$A$2:$A$660,B$31,'Flat Data'!$H$2:$H$660,$A40)</f>
        <v>246</v>
      </c>
      <c r="C40" s="16" t="n">
        <f aca="false">SUMIFS('Flat Data'!$I$2:$I$660,'Flat Data'!$A$2:$A$660,C$31,'Flat Data'!$H$2:$H$660,$A40)</f>
        <v>25</v>
      </c>
      <c r="D40" s="16" t="n">
        <f aca="false">SUMIFS('Flat Data'!$I$2:$I$660,'Flat Data'!$A$2:$A$660,D$31,'Flat Data'!$H$2:$H$660,$A40)</f>
        <v>0</v>
      </c>
      <c r="E40" s="16" t="n">
        <f aca="false">SUMIFS('Flat Data'!$I$2:$I$660,'Flat Data'!$A$2:$A$660,E$31,'Flat Data'!$H$2:$H$660,$A40)</f>
        <v>0</v>
      </c>
      <c r="F40" s="16" t="n">
        <f aca="false">SUMIFS('Flat Data'!$I$2:$I$660,'Flat Data'!$A$2:$A$660,F$31,'Flat Data'!$H$2:$H$660,$A40)</f>
        <v>45</v>
      </c>
      <c r="G40" s="16" t="n">
        <f aca="false">SUMIFS('Flat Data'!$I$2:$I$660,'Flat Data'!$A$2:$A$660,G$31,'Flat Data'!$H$2:$H$660,$A40)</f>
        <v>0</v>
      </c>
      <c r="H40" s="16" t="n">
        <f aca="false">SUMIFS('Flat Data'!$I$2:$I$660,'Flat Data'!$A$2:$A$660,H$31,'Flat Data'!$H$2:$H$660,$A40)</f>
        <v>40</v>
      </c>
      <c r="I40" s="16" t="n">
        <f aca="false">SUMIFS('Flat Data'!$I$2:$I$660,'Flat Data'!$A$2:$A$660,I$31,'Flat Data'!$H$2:$H$660,$A40)</f>
        <v>0</v>
      </c>
      <c r="J40" s="21" t="n">
        <f aca="false">SUM(B40:I40)</f>
        <v>356</v>
      </c>
    </row>
    <row r="41" customFormat="false" ht="15" hidden="false" customHeight="true" outlineLevel="0" collapsed="false">
      <c r="A41" s="11" t="s">
        <v>67</v>
      </c>
      <c r="B41" s="16" t="n">
        <f aca="false">SUMIFS('Flat Data'!$I$2:$I$660,'Flat Data'!$A$2:$A$660,B$31,'Flat Data'!$H$2:$H$660,$A41)</f>
        <v>0</v>
      </c>
      <c r="C41" s="16" t="n">
        <f aca="false">SUMIFS('Flat Data'!$I$2:$I$660,'Flat Data'!$A$2:$A$660,C$31,'Flat Data'!$H$2:$H$660,$A41)</f>
        <v>0</v>
      </c>
      <c r="D41" s="16" t="n">
        <f aca="false">SUMIFS('Flat Data'!$I$2:$I$660,'Flat Data'!$A$2:$A$660,D$31,'Flat Data'!$H$2:$H$660,$A41)</f>
        <v>0</v>
      </c>
      <c r="E41" s="16" t="n">
        <f aca="false">SUMIFS('Flat Data'!$I$2:$I$660,'Flat Data'!$A$2:$A$660,E$31,'Flat Data'!$H$2:$H$660,$A41)</f>
        <v>0</v>
      </c>
      <c r="F41" s="16" t="n">
        <f aca="false">SUMIFS('Flat Data'!$I$2:$I$660,'Flat Data'!$A$2:$A$660,F$31,'Flat Data'!$H$2:$H$660,$A41)</f>
        <v>0</v>
      </c>
      <c r="G41" s="16" t="n">
        <f aca="false">SUMIFS('Flat Data'!$I$2:$I$660,'Flat Data'!$A$2:$A$660,G$31,'Flat Data'!$H$2:$H$660,$A41)</f>
        <v>0</v>
      </c>
      <c r="H41" s="16" t="n">
        <f aca="false">SUMIFS('Flat Data'!$I$2:$I$660,'Flat Data'!$A$2:$A$660,H$31,'Flat Data'!$H$2:$H$660,$A41)</f>
        <v>159</v>
      </c>
      <c r="I41" s="16" t="n">
        <f aca="false">SUMIFS('Flat Data'!$I$2:$I$660,'Flat Data'!$A$2:$A$660,I$31,'Flat Data'!$H$2:$H$660,$A41)</f>
        <v>0</v>
      </c>
      <c r="J41" s="21" t="n">
        <f aca="false">SUM(B41:I41)</f>
        <v>159</v>
      </c>
    </row>
    <row r="42" customFormat="false" ht="15" hidden="false" customHeight="true" outlineLevel="0" collapsed="false">
      <c r="A42" s="11" t="s">
        <v>66</v>
      </c>
      <c r="B42" s="16" t="n">
        <f aca="false">SUMIFS('Flat Data'!$I$2:$I$660,'Flat Data'!$A$2:$A$660,B$31,'Flat Data'!$H$2:$H$660,$A42)</f>
        <v>0</v>
      </c>
      <c r="C42" s="16" t="n">
        <f aca="false">SUMIFS('Flat Data'!$I$2:$I$660,'Flat Data'!$A$2:$A$660,C$31,'Flat Data'!$H$2:$H$660,$A42)</f>
        <v>0</v>
      </c>
      <c r="D42" s="16" t="n">
        <f aca="false">SUMIFS('Flat Data'!$I$2:$I$660,'Flat Data'!$A$2:$A$660,D$31,'Flat Data'!$H$2:$H$660,$A42)</f>
        <v>0</v>
      </c>
      <c r="E42" s="16" t="n">
        <f aca="false">SUMIFS('Flat Data'!$I$2:$I$660,'Flat Data'!$A$2:$A$660,E$31,'Flat Data'!$H$2:$H$660,$A42)</f>
        <v>0</v>
      </c>
      <c r="F42" s="16" t="n">
        <f aca="false">SUMIFS('Flat Data'!$I$2:$I$660,'Flat Data'!$A$2:$A$660,F$31,'Flat Data'!$H$2:$H$660,$A42)</f>
        <v>0</v>
      </c>
      <c r="G42" s="16" t="n">
        <f aca="false">SUMIFS('Flat Data'!$I$2:$I$660,'Flat Data'!$A$2:$A$660,G$31,'Flat Data'!$H$2:$H$660,$A42)</f>
        <v>10</v>
      </c>
      <c r="H42" s="16" t="n">
        <f aca="false">SUMIFS('Flat Data'!$I$2:$I$660,'Flat Data'!$A$2:$A$660,H$31,'Flat Data'!$H$2:$H$660,$A42)</f>
        <v>20</v>
      </c>
      <c r="I42" s="16" t="n">
        <f aca="false">SUMIFS('Flat Data'!$I$2:$I$660,'Flat Data'!$A$2:$A$660,I$31,'Flat Data'!$H$2:$H$660,$A42)</f>
        <v>0</v>
      </c>
      <c r="J42" s="21" t="n">
        <f aca="false">SUM(B42:I42)</f>
        <v>30</v>
      </c>
    </row>
    <row r="43" customFormat="false" ht="15" hidden="false" customHeight="true" outlineLevel="0" collapsed="false">
      <c r="A43" s="24" t="s">
        <v>72</v>
      </c>
      <c r="B43" s="21" t="n">
        <f aca="false">SUM(B32:B42)</f>
        <v>671778</v>
      </c>
      <c r="C43" s="21" t="n">
        <f aca="false">SUM(C32:C42)</f>
        <v>748364</v>
      </c>
      <c r="D43" s="21" t="n">
        <f aca="false">SUM(D32:D42)</f>
        <v>747186</v>
      </c>
      <c r="E43" s="21" t="n">
        <f aca="false">SUM(E32:E42)</f>
        <v>806807</v>
      </c>
      <c r="F43" s="21" t="n">
        <f aca="false">SUM(F32:F42)</f>
        <v>1115079</v>
      </c>
      <c r="G43" s="21" t="n">
        <f aca="false">SUM(G32:G42)</f>
        <v>831021</v>
      </c>
      <c r="H43" s="21" t="n">
        <f aca="false">SUM(H32:H42)</f>
        <v>1068003</v>
      </c>
      <c r="I43" s="21" t="n">
        <f aca="false">SUM(I32:I42)</f>
        <v>847394</v>
      </c>
      <c r="J43" s="21" t="n">
        <f aca="false">SUM(J32:J42)</f>
        <v>6835632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7" min="5" style="1" width="14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2" t="s">
        <v>75</v>
      </c>
    </row>
    <row r="2" customFormat="false" ht="15" hidden="false" customHeight="true" outlineLevel="0" collapsed="false">
      <c r="A2" s="3" t="s">
        <v>76</v>
      </c>
    </row>
    <row r="4" customFormat="false" ht="15" hidden="false" customHeight="true" outlineLevel="0" collapsed="false">
      <c r="A4" s="13" t="s">
        <v>43</v>
      </c>
      <c r="B4" s="13" t="s">
        <v>44</v>
      </c>
      <c r="C4" s="13" t="s">
        <v>77</v>
      </c>
      <c r="D4" s="13" t="s">
        <v>78</v>
      </c>
      <c r="E4" s="19" t="s">
        <v>22</v>
      </c>
      <c r="F4" s="19" t="s">
        <v>25</v>
      </c>
      <c r="G4" s="19" t="s">
        <v>29</v>
      </c>
      <c r="H4" s="19" t="s">
        <v>33</v>
      </c>
      <c r="I4" s="19" t="s">
        <v>36</v>
      </c>
    </row>
    <row r="5" customFormat="false" ht="15" hidden="false" customHeight="true" outlineLevel="0" collapsed="false">
      <c r="A5" s="20" t="n">
        <v>2019</v>
      </c>
      <c r="B5" s="14" t="n">
        <v>1</v>
      </c>
      <c r="C5" s="16" t="n">
        <f aca="false">SUMIFS('Flat Data'!$I$2:$I$660,'Flat Data'!$A$2:$A$660,$A5,'Flat Data'!$B$2:$B$660,$B5)</f>
        <v>98283</v>
      </c>
      <c r="D5" s="16" t="n">
        <f aca="false">SUMIFS('Flat Data'!$J$2:$J$660,'Flat Data'!$A$2:$A$660,$A5,'Flat Data'!$B$2:$B$660,$B5)</f>
        <v>10296977</v>
      </c>
      <c r="E5" s="16" t="n">
        <f aca="false">SUMIFS('Flat Data'!$I$2:$I$660,'Flat Data'!$A$2:$A$660,$A5,'Flat Data'!$B$2:$B$660,$B5,'Flat Data'!$E$2:$E$660,"0507900002")</f>
        <v>20817</v>
      </c>
      <c r="F5" s="16" t="n">
        <f aca="false">SUMIFS('Flat Data'!$I$2:$I$660,'Flat Data'!$A$2:$A$660,$A5,'Flat Data'!$B$2:$B$660,$B5,'Flat Data'!$E$2:$E$660,"0507900011")</f>
        <v>72871</v>
      </c>
      <c r="G5" s="16" t="n">
        <f aca="false">SUMIFS('Flat Data'!$I$2:$I$660,'Flat Data'!$A$2:$A$660,$A5,'Flat Data'!$B$2:$B$660,$B5,'Flat Data'!$E$2:$E$660,"0507900012")</f>
        <v>4595</v>
      </c>
      <c r="H5" s="16" t="n">
        <f aca="false">SUMIFS('Flat Data'!$I$2:$I$660,'Flat Data'!$A$2:$A$660,$A5,'Flat Data'!$B$2:$B$660,$B5,'Flat Data'!$E$2:$E$660,"0507900015")</f>
        <v>0</v>
      </c>
      <c r="I5" s="16" t="n">
        <f aca="false">SUMIFS('Flat Data'!$I$2:$I$660,'Flat Data'!$A$2:$A$660,$A5,'Flat Data'!$B$2:$B$660,$B5,'Flat Data'!$E$2:$E$660,"0507900038")</f>
        <v>0</v>
      </c>
    </row>
    <row r="6" customFormat="false" ht="15" hidden="false" customHeight="true" outlineLevel="0" collapsed="false">
      <c r="A6" s="20" t="n">
        <v>2019</v>
      </c>
      <c r="B6" s="14" t="n">
        <v>2</v>
      </c>
      <c r="C6" s="16" t="n">
        <f aca="false">SUMIFS('Flat Data'!$I$2:$I$660,'Flat Data'!$A$2:$A$660,$A6,'Flat Data'!$B$2:$B$660,$B6)</f>
        <v>94803</v>
      </c>
      <c r="D6" s="16" t="n">
        <f aca="false">SUMIFS('Flat Data'!$J$2:$J$660,'Flat Data'!$A$2:$A$660,$A6,'Flat Data'!$B$2:$B$660,$B6)</f>
        <v>9158308</v>
      </c>
      <c r="E6" s="16" t="n">
        <f aca="false">SUMIFS('Flat Data'!$I$2:$I$660,'Flat Data'!$A$2:$A$660,$A6,'Flat Data'!$B$2:$B$660,$B6,'Flat Data'!$E$2:$E$660,"0507900002")</f>
        <v>17930</v>
      </c>
      <c r="F6" s="16" t="n">
        <f aca="false">SUMIFS('Flat Data'!$I$2:$I$660,'Flat Data'!$A$2:$A$660,$A6,'Flat Data'!$B$2:$B$660,$B6,'Flat Data'!$E$2:$E$660,"0507900011")</f>
        <v>74888</v>
      </c>
      <c r="G6" s="16" t="n">
        <f aca="false">SUMIFS('Flat Data'!$I$2:$I$660,'Flat Data'!$A$2:$A$660,$A6,'Flat Data'!$B$2:$B$660,$B6,'Flat Data'!$E$2:$E$660,"0507900012")</f>
        <v>1985</v>
      </c>
      <c r="H6" s="16" t="n">
        <f aca="false">SUMIFS('Flat Data'!$I$2:$I$660,'Flat Data'!$A$2:$A$660,$A6,'Flat Data'!$B$2:$B$660,$B6,'Flat Data'!$E$2:$E$660,"0507900015")</f>
        <v>0</v>
      </c>
      <c r="I6" s="16" t="n">
        <f aca="false">SUMIFS('Flat Data'!$I$2:$I$660,'Flat Data'!$A$2:$A$660,$A6,'Flat Data'!$B$2:$B$660,$B6,'Flat Data'!$E$2:$E$660,"0507900038")</f>
        <v>0</v>
      </c>
    </row>
    <row r="7" customFormat="false" ht="15" hidden="false" customHeight="true" outlineLevel="0" collapsed="false">
      <c r="A7" s="20" t="n">
        <v>2019</v>
      </c>
      <c r="B7" s="14" t="n">
        <v>3</v>
      </c>
      <c r="C7" s="16" t="n">
        <f aca="false">SUMIFS('Flat Data'!$I$2:$I$660,'Flat Data'!$A$2:$A$660,$A7,'Flat Data'!$B$2:$B$660,$B7)</f>
        <v>94645</v>
      </c>
      <c r="D7" s="16" t="n">
        <f aca="false">SUMIFS('Flat Data'!$J$2:$J$660,'Flat Data'!$A$2:$A$660,$A7,'Flat Data'!$B$2:$B$660,$B7)</f>
        <v>6696048</v>
      </c>
      <c r="E7" s="16" t="n">
        <f aca="false">SUMIFS('Flat Data'!$I$2:$I$660,'Flat Data'!$A$2:$A$660,$A7,'Flat Data'!$B$2:$B$660,$B7,'Flat Data'!$E$2:$E$660,"0507900002")</f>
        <v>22417</v>
      </c>
      <c r="F7" s="16" t="n">
        <f aca="false">SUMIFS('Flat Data'!$I$2:$I$660,'Flat Data'!$A$2:$A$660,$A7,'Flat Data'!$B$2:$B$660,$B7,'Flat Data'!$E$2:$E$660,"0507900011")</f>
        <v>69231</v>
      </c>
      <c r="G7" s="16" t="n">
        <f aca="false">SUMIFS('Flat Data'!$I$2:$I$660,'Flat Data'!$A$2:$A$660,$A7,'Flat Data'!$B$2:$B$660,$B7,'Flat Data'!$E$2:$E$660,"0507900012")</f>
        <v>2997</v>
      </c>
      <c r="H7" s="16" t="n">
        <f aca="false">SUMIFS('Flat Data'!$I$2:$I$660,'Flat Data'!$A$2:$A$660,$A7,'Flat Data'!$B$2:$B$660,$B7,'Flat Data'!$E$2:$E$660,"0507900015")</f>
        <v>0</v>
      </c>
      <c r="I7" s="16" t="n">
        <f aca="false">SUMIFS('Flat Data'!$I$2:$I$660,'Flat Data'!$A$2:$A$660,$A7,'Flat Data'!$B$2:$B$660,$B7,'Flat Data'!$E$2:$E$660,"0507900038")</f>
        <v>0</v>
      </c>
    </row>
    <row r="8" customFormat="false" ht="15" hidden="false" customHeight="true" outlineLevel="0" collapsed="false">
      <c r="A8" s="20" t="n">
        <v>2019</v>
      </c>
      <c r="B8" s="14" t="n">
        <v>4</v>
      </c>
      <c r="C8" s="16" t="n">
        <f aca="false">SUMIFS('Flat Data'!$I$2:$I$660,'Flat Data'!$A$2:$A$660,$A8,'Flat Data'!$B$2:$B$660,$B8)</f>
        <v>57956</v>
      </c>
      <c r="D8" s="16" t="n">
        <f aca="false">SUMIFS('Flat Data'!$J$2:$J$660,'Flat Data'!$A$2:$A$660,$A8,'Flat Data'!$B$2:$B$660,$B8)</f>
        <v>6496684</v>
      </c>
      <c r="E8" s="16" t="n">
        <f aca="false">SUMIFS('Flat Data'!$I$2:$I$660,'Flat Data'!$A$2:$A$660,$A8,'Flat Data'!$B$2:$B$660,$B8,'Flat Data'!$E$2:$E$660,"0507900002")</f>
        <v>17524</v>
      </c>
      <c r="F8" s="16" t="n">
        <f aca="false">SUMIFS('Flat Data'!$I$2:$I$660,'Flat Data'!$A$2:$A$660,$A8,'Flat Data'!$B$2:$B$660,$B8,'Flat Data'!$E$2:$E$660,"0507900011")</f>
        <v>34719</v>
      </c>
      <c r="G8" s="16" t="n">
        <f aca="false">SUMIFS('Flat Data'!$I$2:$I$660,'Flat Data'!$A$2:$A$660,$A8,'Flat Data'!$B$2:$B$660,$B8,'Flat Data'!$E$2:$E$660,"0507900012")</f>
        <v>5713</v>
      </c>
      <c r="H8" s="16" t="n">
        <f aca="false">SUMIFS('Flat Data'!$I$2:$I$660,'Flat Data'!$A$2:$A$660,$A8,'Flat Data'!$B$2:$B$660,$B8,'Flat Data'!$E$2:$E$660,"0507900015")</f>
        <v>0</v>
      </c>
      <c r="I8" s="16" t="n">
        <f aca="false">SUMIFS('Flat Data'!$I$2:$I$660,'Flat Data'!$A$2:$A$660,$A8,'Flat Data'!$B$2:$B$660,$B8,'Flat Data'!$E$2:$E$660,"0507900038")</f>
        <v>0</v>
      </c>
    </row>
    <row r="9" customFormat="false" ht="15" hidden="false" customHeight="true" outlineLevel="0" collapsed="false">
      <c r="A9" s="20" t="n">
        <v>2019</v>
      </c>
      <c r="B9" s="14" t="n">
        <v>5</v>
      </c>
      <c r="C9" s="16" t="n">
        <f aca="false">SUMIFS('Flat Data'!$I$2:$I$660,'Flat Data'!$A$2:$A$660,$A9,'Flat Data'!$B$2:$B$660,$B9)</f>
        <v>63516</v>
      </c>
      <c r="D9" s="16" t="n">
        <f aca="false">SUMIFS('Flat Data'!$J$2:$J$660,'Flat Data'!$A$2:$A$660,$A9,'Flat Data'!$B$2:$B$660,$B9)</f>
        <v>4653774</v>
      </c>
      <c r="E9" s="16" t="n">
        <f aca="false">SUMIFS('Flat Data'!$I$2:$I$660,'Flat Data'!$A$2:$A$660,$A9,'Flat Data'!$B$2:$B$660,$B9,'Flat Data'!$E$2:$E$660,"0507900002")</f>
        <v>9754</v>
      </c>
      <c r="F9" s="16" t="n">
        <f aca="false">SUMIFS('Flat Data'!$I$2:$I$660,'Flat Data'!$A$2:$A$660,$A9,'Flat Data'!$B$2:$B$660,$B9,'Flat Data'!$E$2:$E$660,"0507900011")</f>
        <v>48897</v>
      </c>
      <c r="G9" s="16" t="n">
        <f aca="false">SUMIFS('Flat Data'!$I$2:$I$660,'Flat Data'!$A$2:$A$660,$A9,'Flat Data'!$B$2:$B$660,$B9,'Flat Data'!$E$2:$E$660,"0507900012")</f>
        <v>4779</v>
      </c>
      <c r="H9" s="16" t="n">
        <f aca="false">SUMIFS('Flat Data'!$I$2:$I$660,'Flat Data'!$A$2:$A$660,$A9,'Flat Data'!$B$2:$B$660,$B9,'Flat Data'!$E$2:$E$660,"0507900015")</f>
        <v>86</v>
      </c>
      <c r="I9" s="16" t="n">
        <f aca="false">SUMIFS('Flat Data'!$I$2:$I$660,'Flat Data'!$A$2:$A$660,$A9,'Flat Data'!$B$2:$B$660,$B9,'Flat Data'!$E$2:$E$660,"0507900038")</f>
        <v>0</v>
      </c>
    </row>
    <row r="10" customFormat="false" ht="15" hidden="false" customHeight="true" outlineLevel="0" collapsed="false">
      <c r="A10" s="20" t="n">
        <v>2019</v>
      </c>
      <c r="B10" s="14" t="n">
        <v>6</v>
      </c>
      <c r="C10" s="16" t="n">
        <f aca="false">SUMIFS('Flat Data'!$I$2:$I$660,'Flat Data'!$A$2:$A$660,$A10,'Flat Data'!$B$2:$B$660,$B10)</f>
        <v>16683</v>
      </c>
      <c r="D10" s="16" t="n">
        <f aca="false">SUMIFS('Flat Data'!$J$2:$J$660,'Flat Data'!$A$2:$A$660,$A10,'Flat Data'!$B$2:$B$660,$B10)</f>
        <v>1029254</v>
      </c>
      <c r="E10" s="16" t="n">
        <f aca="false">SUMIFS('Flat Data'!$I$2:$I$660,'Flat Data'!$A$2:$A$660,$A10,'Flat Data'!$B$2:$B$660,$B10,'Flat Data'!$E$2:$E$660,"0507900002")</f>
        <v>11870</v>
      </c>
      <c r="F10" s="16" t="n">
        <f aca="false">SUMIFS('Flat Data'!$I$2:$I$660,'Flat Data'!$A$2:$A$660,$A10,'Flat Data'!$B$2:$B$660,$B10,'Flat Data'!$E$2:$E$660,"0507900011")</f>
        <v>100</v>
      </c>
      <c r="G10" s="16" t="n">
        <f aca="false">SUMIFS('Flat Data'!$I$2:$I$660,'Flat Data'!$A$2:$A$660,$A10,'Flat Data'!$B$2:$B$660,$B10,'Flat Data'!$E$2:$E$660,"0507900012")</f>
        <v>4713</v>
      </c>
      <c r="H10" s="16" t="n">
        <f aca="false">SUMIFS('Flat Data'!$I$2:$I$660,'Flat Data'!$A$2:$A$660,$A10,'Flat Data'!$B$2:$B$660,$B10,'Flat Data'!$E$2:$E$660,"0507900015")</f>
        <v>0</v>
      </c>
      <c r="I10" s="16" t="n">
        <f aca="false">SUMIFS('Flat Data'!$I$2:$I$660,'Flat Data'!$A$2:$A$660,$A10,'Flat Data'!$B$2:$B$660,$B10,'Flat Data'!$E$2:$E$660,"0507900038")</f>
        <v>0</v>
      </c>
    </row>
    <row r="11" customFormat="false" ht="15" hidden="false" customHeight="true" outlineLevel="0" collapsed="false">
      <c r="A11" s="20" t="n">
        <v>2019</v>
      </c>
      <c r="B11" s="14" t="n">
        <v>7</v>
      </c>
      <c r="C11" s="16" t="n">
        <f aca="false">SUMIFS('Flat Data'!$I$2:$I$660,'Flat Data'!$A$2:$A$660,$A11,'Flat Data'!$B$2:$B$660,$B11)</f>
        <v>25628</v>
      </c>
      <c r="D11" s="16" t="n">
        <f aca="false">SUMIFS('Flat Data'!$J$2:$J$660,'Flat Data'!$A$2:$A$660,$A11,'Flat Data'!$B$2:$B$660,$B11)</f>
        <v>2326810</v>
      </c>
      <c r="E11" s="16" t="n">
        <f aca="false">SUMIFS('Flat Data'!$I$2:$I$660,'Flat Data'!$A$2:$A$660,$A11,'Flat Data'!$B$2:$B$660,$B11,'Flat Data'!$E$2:$E$660,"0507900002")</f>
        <v>21675</v>
      </c>
      <c r="F11" s="16" t="n">
        <f aca="false">SUMIFS('Flat Data'!$I$2:$I$660,'Flat Data'!$A$2:$A$660,$A11,'Flat Data'!$B$2:$B$660,$B11,'Flat Data'!$E$2:$E$660,"0507900011")</f>
        <v>1000</v>
      </c>
      <c r="G11" s="16" t="n">
        <f aca="false">SUMIFS('Flat Data'!$I$2:$I$660,'Flat Data'!$A$2:$A$660,$A11,'Flat Data'!$B$2:$B$660,$B11,'Flat Data'!$E$2:$E$660,"0507900012")</f>
        <v>2811</v>
      </c>
      <c r="H11" s="16" t="n">
        <f aca="false">SUMIFS('Flat Data'!$I$2:$I$660,'Flat Data'!$A$2:$A$660,$A11,'Flat Data'!$B$2:$B$660,$B11,'Flat Data'!$E$2:$E$660,"0507900015")</f>
        <v>100</v>
      </c>
      <c r="I11" s="16" t="n">
        <f aca="false">SUMIFS('Flat Data'!$I$2:$I$660,'Flat Data'!$A$2:$A$660,$A11,'Flat Data'!$B$2:$B$660,$B11,'Flat Data'!$E$2:$E$660,"0507900038")</f>
        <v>42</v>
      </c>
    </row>
    <row r="12" customFormat="false" ht="15" hidden="false" customHeight="true" outlineLevel="0" collapsed="false">
      <c r="A12" s="20" t="n">
        <v>2019</v>
      </c>
      <c r="B12" s="14" t="n">
        <v>8</v>
      </c>
      <c r="C12" s="16" t="n">
        <f aca="false">SUMIFS('Flat Data'!$I$2:$I$660,'Flat Data'!$A$2:$A$660,$A12,'Flat Data'!$B$2:$B$660,$B12)</f>
        <v>7236</v>
      </c>
      <c r="D12" s="16" t="n">
        <f aca="false">SUMIFS('Flat Data'!$J$2:$J$660,'Flat Data'!$A$2:$A$660,$A12,'Flat Data'!$B$2:$B$660,$B12)</f>
        <v>952575</v>
      </c>
      <c r="E12" s="16" t="n">
        <f aca="false">SUMIFS('Flat Data'!$I$2:$I$660,'Flat Data'!$A$2:$A$660,$A12,'Flat Data'!$B$2:$B$660,$B12,'Flat Data'!$E$2:$E$660,"0507900002")</f>
        <v>2739</v>
      </c>
      <c r="F12" s="16" t="n">
        <f aca="false">SUMIFS('Flat Data'!$I$2:$I$660,'Flat Data'!$A$2:$A$660,$A12,'Flat Data'!$B$2:$B$660,$B12,'Flat Data'!$E$2:$E$660,"0507900011")</f>
        <v>0</v>
      </c>
      <c r="G12" s="16" t="n">
        <f aca="false">SUMIFS('Flat Data'!$I$2:$I$660,'Flat Data'!$A$2:$A$660,$A12,'Flat Data'!$B$2:$B$660,$B12,'Flat Data'!$E$2:$E$660,"0507900012")</f>
        <v>4497</v>
      </c>
      <c r="H12" s="16" t="n">
        <f aca="false">SUMIFS('Flat Data'!$I$2:$I$660,'Flat Data'!$A$2:$A$660,$A12,'Flat Data'!$B$2:$B$660,$B12,'Flat Data'!$E$2:$E$660,"0507900015")</f>
        <v>0</v>
      </c>
      <c r="I12" s="16" t="n">
        <f aca="false">SUMIFS('Flat Data'!$I$2:$I$660,'Flat Data'!$A$2:$A$660,$A12,'Flat Data'!$B$2:$B$660,$B12,'Flat Data'!$E$2:$E$660,"0507900038")</f>
        <v>0</v>
      </c>
    </row>
    <row r="13" customFormat="false" ht="15" hidden="false" customHeight="true" outlineLevel="0" collapsed="false">
      <c r="A13" s="20" t="n">
        <v>2019</v>
      </c>
      <c r="B13" s="14" t="n">
        <v>9</v>
      </c>
      <c r="C13" s="16" t="n">
        <f aca="false">SUMIFS('Flat Data'!$I$2:$I$660,'Flat Data'!$A$2:$A$660,$A13,'Flat Data'!$B$2:$B$660,$B13)</f>
        <v>3098</v>
      </c>
      <c r="D13" s="16" t="n">
        <f aca="false">SUMIFS('Flat Data'!$J$2:$J$660,'Flat Data'!$A$2:$A$660,$A13,'Flat Data'!$B$2:$B$660,$B13)</f>
        <v>246088</v>
      </c>
      <c r="E13" s="16" t="n">
        <f aca="false">SUMIFS('Flat Data'!$I$2:$I$660,'Flat Data'!$A$2:$A$660,$A13,'Flat Data'!$B$2:$B$660,$B13,'Flat Data'!$E$2:$E$660,"0507900002")</f>
        <v>636</v>
      </c>
      <c r="F13" s="16" t="n">
        <f aca="false">SUMIFS('Flat Data'!$I$2:$I$660,'Flat Data'!$A$2:$A$660,$A13,'Flat Data'!$B$2:$B$660,$B13,'Flat Data'!$E$2:$E$660,"0507900011")</f>
        <v>0</v>
      </c>
      <c r="G13" s="16" t="n">
        <f aca="false">SUMIFS('Flat Data'!$I$2:$I$660,'Flat Data'!$A$2:$A$660,$A13,'Flat Data'!$B$2:$B$660,$B13,'Flat Data'!$E$2:$E$660,"0507900012")</f>
        <v>2462</v>
      </c>
      <c r="H13" s="16" t="n">
        <f aca="false">SUMIFS('Flat Data'!$I$2:$I$660,'Flat Data'!$A$2:$A$660,$A13,'Flat Data'!$B$2:$B$660,$B13,'Flat Data'!$E$2:$E$660,"0507900015")</f>
        <v>0</v>
      </c>
      <c r="I13" s="16" t="n">
        <f aca="false">SUMIFS('Flat Data'!$I$2:$I$660,'Flat Data'!$A$2:$A$660,$A13,'Flat Data'!$B$2:$B$660,$B13,'Flat Data'!$E$2:$E$660,"0507900038")</f>
        <v>0</v>
      </c>
    </row>
    <row r="14" customFormat="false" ht="15" hidden="false" customHeight="true" outlineLevel="0" collapsed="false">
      <c r="A14" s="20" t="n">
        <v>2019</v>
      </c>
      <c r="B14" s="14" t="n">
        <v>10</v>
      </c>
      <c r="C14" s="16" t="n">
        <f aca="false">SUMIFS('Flat Data'!$I$2:$I$660,'Flat Data'!$A$2:$A$660,$A14,'Flat Data'!$B$2:$B$660,$B14)</f>
        <v>7392</v>
      </c>
      <c r="D14" s="16" t="n">
        <f aca="false">SUMIFS('Flat Data'!$J$2:$J$660,'Flat Data'!$A$2:$A$660,$A14,'Flat Data'!$B$2:$B$660,$B14)</f>
        <v>405635</v>
      </c>
      <c r="E14" s="16" t="n">
        <f aca="false">SUMIFS('Flat Data'!$I$2:$I$660,'Flat Data'!$A$2:$A$660,$A14,'Flat Data'!$B$2:$B$660,$B14,'Flat Data'!$E$2:$E$660,"0507900002")</f>
        <v>1280</v>
      </c>
      <c r="F14" s="16" t="n">
        <f aca="false">SUMIFS('Flat Data'!$I$2:$I$660,'Flat Data'!$A$2:$A$660,$A14,'Flat Data'!$B$2:$B$660,$B14,'Flat Data'!$E$2:$E$660,"0507900011")</f>
        <v>4181</v>
      </c>
      <c r="G14" s="16" t="n">
        <f aca="false">SUMIFS('Flat Data'!$I$2:$I$660,'Flat Data'!$A$2:$A$660,$A14,'Flat Data'!$B$2:$B$660,$B14,'Flat Data'!$E$2:$E$660,"0507900012")</f>
        <v>1921</v>
      </c>
      <c r="H14" s="16" t="n">
        <f aca="false">SUMIFS('Flat Data'!$I$2:$I$660,'Flat Data'!$A$2:$A$660,$A14,'Flat Data'!$B$2:$B$660,$B14,'Flat Data'!$E$2:$E$660,"0507900015")</f>
        <v>0</v>
      </c>
      <c r="I14" s="16" t="n">
        <f aca="false">SUMIFS('Flat Data'!$I$2:$I$660,'Flat Data'!$A$2:$A$660,$A14,'Flat Data'!$B$2:$B$660,$B14,'Flat Data'!$E$2:$E$660,"0507900038")</f>
        <v>10</v>
      </c>
    </row>
    <row r="15" customFormat="false" ht="15" hidden="false" customHeight="true" outlineLevel="0" collapsed="false">
      <c r="A15" s="20" t="n">
        <v>2019</v>
      </c>
      <c r="B15" s="14" t="n">
        <v>11</v>
      </c>
      <c r="C15" s="16" t="n">
        <f aca="false">SUMIFS('Flat Data'!$I$2:$I$660,'Flat Data'!$A$2:$A$660,$A15,'Flat Data'!$B$2:$B$660,$B15)</f>
        <v>79669</v>
      </c>
      <c r="D15" s="16" t="n">
        <f aca="false">SUMIFS('Flat Data'!$J$2:$J$660,'Flat Data'!$A$2:$A$660,$A15,'Flat Data'!$B$2:$B$660,$B15)</f>
        <v>4708549</v>
      </c>
      <c r="E15" s="16" t="n">
        <f aca="false">SUMIFS('Flat Data'!$I$2:$I$660,'Flat Data'!$A$2:$A$660,$A15,'Flat Data'!$B$2:$B$660,$B15,'Flat Data'!$E$2:$E$660,"0507900002")</f>
        <v>17166</v>
      </c>
      <c r="F15" s="16" t="n">
        <f aca="false">SUMIFS('Flat Data'!$I$2:$I$660,'Flat Data'!$A$2:$A$660,$A15,'Flat Data'!$B$2:$B$660,$B15,'Flat Data'!$E$2:$E$660,"0507900011")</f>
        <v>60000</v>
      </c>
      <c r="G15" s="16" t="n">
        <f aca="false">SUMIFS('Flat Data'!$I$2:$I$660,'Flat Data'!$A$2:$A$660,$A15,'Flat Data'!$B$2:$B$660,$B15,'Flat Data'!$E$2:$E$660,"0507900012")</f>
        <v>2458</v>
      </c>
      <c r="H15" s="16" t="n">
        <f aca="false">SUMIFS('Flat Data'!$I$2:$I$660,'Flat Data'!$A$2:$A$660,$A15,'Flat Data'!$B$2:$B$660,$B15,'Flat Data'!$E$2:$E$660,"0507900015")</f>
        <v>0</v>
      </c>
      <c r="I15" s="16" t="n">
        <f aca="false">SUMIFS('Flat Data'!$I$2:$I$660,'Flat Data'!$A$2:$A$660,$A15,'Flat Data'!$B$2:$B$660,$B15,'Flat Data'!$E$2:$E$660,"0507900038")</f>
        <v>45</v>
      </c>
    </row>
    <row r="16" customFormat="false" ht="15" hidden="false" customHeight="true" outlineLevel="0" collapsed="false">
      <c r="A16" s="20" t="n">
        <v>2019</v>
      </c>
      <c r="B16" s="14" t="n">
        <v>12</v>
      </c>
      <c r="C16" s="16" t="n">
        <f aca="false">SUMIFS('Flat Data'!$I$2:$I$660,'Flat Data'!$A$2:$A$660,$A16,'Flat Data'!$B$2:$B$660,$B16)</f>
        <v>122869</v>
      </c>
      <c r="D16" s="16" t="n">
        <f aca="false">SUMIFS('Flat Data'!$J$2:$J$660,'Flat Data'!$A$2:$A$660,$A16,'Flat Data'!$B$2:$B$660,$B16)</f>
        <v>8989485</v>
      </c>
      <c r="E16" s="16" t="n">
        <f aca="false">SUMIFS('Flat Data'!$I$2:$I$660,'Flat Data'!$A$2:$A$660,$A16,'Flat Data'!$B$2:$B$660,$B16,'Flat Data'!$E$2:$E$660,"0507900002")</f>
        <v>26109</v>
      </c>
      <c r="F16" s="16" t="n">
        <f aca="false">SUMIFS('Flat Data'!$I$2:$I$660,'Flat Data'!$A$2:$A$660,$A16,'Flat Data'!$B$2:$B$660,$B16,'Flat Data'!$E$2:$E$660,"0507900011")</f>
        <v>95730</v>
      </c>
      <c r="G16" s="16" t="n">
        <f aca="false">SUMIFS('Flat Data'!$I$2:$I$660,'Flat Data'!$A$2:$A$660,$A16,'Flat Data'!$B$2:$B$660,$B16,'Flat Data'!$E$2:$E$660,"0507900012")</f>
        <v>1030</v>
      </c>
      <c r="H16" s="16" t="n">
        <f aca="false">SUMIFS('Flat Data'!$I$2:$I$660,'Flat Data'!$A$2:$A$660,$A16,'Flat Data'!$B$2:$B$660,$B16,'Flat Data'!$E$2:$E$660,"0507900015")</f>
        <v>0</v>
      </c>
      <c r="I16" s="16" t="n">
        <f aca="false">SUMIFS('Flat Data'!$I$2:$I$660,'Flat Data'!$A$2:$A$660,$A16,'Flat Data'!$B$2:$B$660,$B16,'Flat Data'!$E$2:$E$660,"0507900038")</f>
        <v>0</v>
      </c>
    </row>
    <row r="17" customFormat="false" ht="15" hidden="false" customHeight="true" outlineLevel="0" collapsed="false">
      <c r="A17" s="20" t="n">
        <v>2020</v>
      </c>
      <c r="B17" s="14" t="n">
        <v>1</v>
      </c>
      <c r="C17" s="16" t="n">
        <f aca="false">SUMIFS('Flat Data'!$I$2:$I$660,'Flat Data'!$A$2:$A$660,$A17,'Flat Data'!$B$2:$B$660,$B17)</f>
        <v>99240</v>
      </c>
      <c r="D17" s="16" t="n">
        <f aca="false">SUMIFS('Flat Data'!$J$2:$J$660,'Flat Data'!$A$2:$A$660,$A17,'Flat Data'!$B$2:$B$660,$B17)</f>
        <v>7801466</v>
      </c>
      <c r="E17" s="16" t="n">
        <f aca="false">SUMIFS('Flat Data'!$I$2:$I$660,'Flat Data'!$A$2:$A$660,$A17,'Flat Data'!$B$2:$B$660,$B17,'Flat Data'!$E$2:$E$660,"0507900002")</f>
        <v>20956</v>
      </c>
      <c r="F17" s="16" t="n">
        <f aca="false">SUMIFS('Flat Data'!$I$2:$I$660,'Flat Data'!$A$2:$A$660,$A17,'Flat Data'!$B$2:$B$660,$B17,'Flat Data'!$E$2:$E$660,"0507900011")</f>
        <v>77391</v>
      </c>
      <c r="G17" s="16" t="n">
        <f aca="false">SUMIFS('Flat Data'!$I$2:$I$660,'Flat Data'!$A$2:$A$660,$A17,'Flat Data'!$B$2:$B$660,$B17,'Flat Data'!$E$2:$E$660,"0507900012")</f>
        <v>893</v>
      </c>
      <c r="H17" s="16" t="n">
        <f aca="false">SUMIFS('Flat Data'!$I$2:$I$660,'Flat Data'!$A$2:$A$660,$A17,'Flat Data'!$B$2:$B$660,$B17,'Flat Data'!$E$2:$E$660,"0507900015")</f>
        <v>0</v>
      </c>
      <c r="I17" s="16" t="n">
        <f aca="false">SUMIFS('Flat Data'!$I$2:$I$660,'Flat Data'!$A$2:$A$660,$A17,'Flat Data'!$B$2:$B$660,$B17,'Flat Data'!$E$2:$E$660,"0507900038")</f>
        <v>0</v>
      </c>
    </row>
    <row r="18" customFormat="false" ht="15" hidden="false" customHeight="true" outlineLevel="0" collapsed="false">
      <c r="A18" s="20" t="n">
        <v>2020</v>
      </c>
      <c r="B18" s="14" t="n">
        <v>2</v>
      </c>
      <c r="C18" s="16" t="n">
        <f aca="false">SUMIFS('Flat Data'!$I$2:$I$660,'Flat Data'!$A$2:$A$660,$A18,'Flat Data'!$B$2:$B$660,$B18)</f>
        <v>84018</v>
      </c>
      <c r="D18" s="16" t="n">
        <f aca="false">SUMIFS('Flat Data'!$J$2:$J$660,'Flat Data'!$A$2:$A$660,$A18,'Flat Data'!$B$2:$B$660,$B18)</f>
        <v>9134666</v>
      </c>
      <c r="E18" s="16" t="n">
        <f aca="false">SUMIFS('Flat Data'!$I$2:$I$660,'Flat Data'!$A$2:$A$660,$A18,'Flat Data'!$B$2:$B$660,$B18,'Flat Data'!$E$2:$E$660,"0507900002")</f>
        <v>9704</v>
      </c>
      <c r="F18" s="16" t="n">
        <f aca="false">SUMIFS('Flat Data'!$I$2:$I$660,'Flat Data'!$A$2:$A$660,$A18,'Flat Data'!$B$2:$B$660,$B18,'Flat Data'!$E$2:$E$660,"0507900011")</f>
        <v>68173</v>
      </c>
      <c r="G18" s="16" t="n">
        <f aca="false">SUMIFS('Flat Data'!$I$2:$I$660,'Flat Data'!$A$2:$A$660,$A18,'Flat Data'!$B$2:$B$660,$B18,'Flat Data'!$E$2:$E$660,"0507900012")</f>
        <v>6141</v>
      </c>
      <c r="H18" s="16" t="n">
        <f aca="false">SUMIFS('Flat Data'!$I$2:$I$660,'Flat Data'!$A$2:$A$660,$A18,'Flat Data'!$B$2:$B$660,$B18,'Flat Data'!$E$2:$E$660,"0507900015")</f>
        <v>0</v>
      </c>
      <c r="I18" s="16" t="n">
        <f aca="false">SUMIFS('Flat Data'!$I$2:$I$660,'Flat Data'!$A$2:$A$660,$A18,'Flat Data'!$B$2:$B$660,$B18,'Flat Data'!$E$2:$E$660,"0507900038")</f>
        <v>0</v>
      </c>
    </row>
    <row r="19" customFormat="false" ht="15" hidden="false" customHeight="true" outlineLevel="0" collapsed="false">
      <c r="A19" s="20" t="n">
        <v>2020</v>
      </c>
      <c r="B19" s="14" t="n">
        <v>3</v>
      </c>
      <c r="C19" s="16" t="n">
        <f aca="false">SUMIFS('Flat Data'!$I$2:$I$660,'Flat Data'!$A$2:$A$660,$A19,'Flat Data'!$B$2:$B$660,$B19)</f>
        <v>117811</v>
      </c>
      <c r="D19" s="16" t="n">
        <f aca="false">SUMIFS('Flat Data'!$J$2:$J$660,'Flat Data'!$A$2:$A$660,$A19,'Flat Data'!$B$2:$B$660,$B19)</f>
        <v>10773017</v>
      </c>
      <c r="E19" s="16" t="n">
        <f aca="false">SUMIFS('Flat Data'!$I$2:$I$660,'Flat Data'!$A$2:$A$660,$A19,'Flat Data'!$B$2:$B$660,$B19,'Flat Data'!$E$2:$E$660,"0507900002")</f>
        <v>33139</v>
      </c>
      <c r="F19" s="16" t="n">
        <f aca="false">SUMIFS('Flat Data'!$I$2:$I$660,'Flat Data'!$A$2:$A$660,$A19,'Flat Data'!$B$2:$B$660,$B19,'Flat Data'!$E$2:$E$660,"0507900011")</f>
        <v>81166</v>
      </c>
      <c r="G19" s="16" t="n">
        <f aca="false">SUMIFS('Flat Data'!$I$2:$I$660,'Flat Data'!$A$2:$A$660,$A19,'Flat Data'!$B$2:$B$660,$B19,'Flat Data'!$E$2:$E$660,"0507900012")</f>
        <v>3414</v>
      </c>
      <c r="H19" s="16" t="n">
        <f aca="false">SUMIFS('Flat Data'!$I$2:$I$660,'Flat Data'!$A$2:$A$660,$A19,'Flat Data'!$B$2:$B$660,$B19,'Flat Data'!$E$2:$E$660,"0507900015")</f>
        <v>92</v>
      </c>
      <c r="I19" s="16" t="n">
        <f aca="false">SUMIFS('Flat Data'!$I$2:$I$660,'Flat Data'!$A$2:$A$660,$A19,'Flat Data'!$B$2:$B$660,$B19,'Flat Data'!$E$2:$E$660,"0507900038")</f>
        <v>0</v>
      </c>
    </row>
    <row r="20" customFormat="false" ht="15" hidden="false" customHeight="true" outlineLevel="0" collapsed="false">
      <c r="A20" s="20" t="n">
        <v>2020</v>
      </c>
      <c r="B20" s="14" t="n">
        <v>4</v>
      </c>
      <c r="C20" s="16" t="n">
        <f aca="false">SUMIFS('Flat Data'!$I$2:$I$660,'Flat Data'!$A$2:$A$660,$A20,'Flat Data'!$B$2:$B$660,$B20)</f>
        <v>54529</v>
      </c>
      <c r="D20" s="16" t="n">
        <f aca="false">SUMIFS('Flat Data'!$J$2:$J$660,'Flat Data'!$A$2:$A$660,$A20,'Flat Data'!$B$2:$B$660,$B20)</f>
        <v>5456237</v>
      </c>
      <c r="E20" s="16" t="n">
        <f aca="false">SUMIFS('Flat Data'!$I$2:$I$660,'Flat Data'!$A$2:$A$660,$A20,'Flat Data'!$B$2:$B$660,$B20,'Flat Data'!$E$2:$E$660,"0507900002")</f>
        <v>4760</v>
      </c>
      <c r="F20" s="16" t="n">
        <f aca="false">SUMIFS('Flat Data'!$I$2:$I$660,'Flat Data'!$A$2:$A$660,$A20,'Flat Data'!$B$2:$B$660,$B20,'Flat Data'!$E$2:$E$660,"0507900011")</f>
        <v>46539</v>
      </c>
      <c r="G20" s="16" t="n">
        <f aca="false">SUMIFS('Flat Data'!$I$2:$I$660,'Flat Data'!$A$2:$A$660,$A20,'Flat Data'!$B$2:$B$660,$B20,'Flat Data'!$E$2:$E$660,"0507900012")</f>
        <v>3230</v>
      </c>
      <c r="H20" s="16" t="n">
        <f aca="false">SUMIFS('Flat Data'!$I$2:$I$660,'Flat Data'!$A$2:$A$660,$A20,'Flat Data'!$B$2:$B$660,$B20,'Flat Data'!$E$2:$E$660,"0507900015")</f>
        <v>0</v>
      </c>
      <c r="I20" s="16" t="n">
        <f aca="false">SUMIFS('Flat Data'!$I$2:$I$660,'Flat Data'!$A$2:$A$660,$A20,'Flat Data'!$B$2:$B$660,$B20,'Flat Data'!$E$2:$E$660,"0507900038")</f>
        <v>0</v>
      </c>
    </row>
    <row r="21" customFormat="false" ht="15" hidden="false" customHeight="true" outlineLevel="0" collapsed="false">
      <c r="A21" s="20" t="n">
        <v>2020</v>
      </c>
      <c r="B21" s="14" t="n">
        <v>5</v>
      </c>
      <c r="C21" s="16" t="n">
        <f aca="false">SUMIFS('Flat Data'!$I$2:$I$660,'Flat Data'!$A$2:$A$660,$A21,'Flat Data'!$B$2:$B$660,$B21)</f>
        <v>59828</v>
      </c>
      <c r="D21" s="16" t="n">
        <f aca="false">SUMIFS('Flat Data'!$J$2:$J$660,'Flat Data'!$A$2:$A$660,$A21,'Flat Data'!$B$2:$B$660,$B21)</f>
        <v>6725797</v>
      </c>
      <c r="E21" s="16" t="n">
        <f aca="false">SUMIFS('Flat Data'!$I$2:$I$660,'Flat Data'!$A$2:$A$660,$A21,'Flat Data'!$B$2:$B$660,$B21,'Flat Data'!$E$2:$E$660,"0507900002")</f>
        <v>17358</v>
      </c>
      <c r="F21" s="16" t="n">
        <f aca="false">SUMIFS('Flat Data'!$I$2:$I$660,'Flat Data'!$A$2:$A$660,$A21,'Flat Data'!$B$2:$B$660,$B21,'Flat Data'!$E$2:$E$660,"0507900011")</f>
        <v>41265</v>
      </c>
      <c r="G21" s="16" t="n">
        <f aca="false">SUMIFS('Flat Data'!$I$2:$I$660,'Flat Data'!$A$2:$A$660,$A21,'Flat Data'!$B$2:$B$660,$B21,'Flat Data'!$E$2:$E$660,"0507900012")</f>
        <v>1205</v>
      </c>
      <c r="H21" s="16" t="n">
        <f aca="false">SUMIFS('Flat Data'!$I$2:$I$660,'Flat Data'!$A$2:$A$660,$A21,'Flat Data'!$B$2:$B$660,$B21,'Flat Data'!$E$2:$E$660,"0507900015")</f>
        <v>0</v>
      </c>
      <c r="I21" s="16" t="n">
        <f aca="false">SUMIFS('Flat Data'!$I$2:$I$660,'Flat Data'!$A$2:$A$660,$A21,'Flat Data'!$B$2:$B$660,$B21,'Flat Data'!$E$2:$E$660,"0507900038")</f>
        <v>0</v>
      </c>
    </row>
    <row r="22" customFormat="false" ht="15" hidden="false" customHeight="true" outlineLevel="0" collapsed="false">
      <c r="A22" s="20" t="n">
        <v>2020</v>
      </c>
      <c r="B22" s="14" t="n">
        <v>6</v>
      </c>
      <c r="C22" s="16" t="n">
        <f aca="false">SUMIFS('Flat Data'!$I$2:$I$660,'Flat Data'!$A$2:$A$660,$A22,'Flat Data'!$B$2:$B$660,$B22)</f>
        <v>35733</v>
      </c>
      <c r="D22" s="16" t="n">
        <f aca="false">SUMIFS('Flat Data'!$J$2:$J$660,'Flat Data'!$A$2:$A$660,$A22,'Flat Data'!$B$2:$B$660,$B22)</f>
        <v>5241448</v>
      </c>
      <c r="E22" s="16" t="n">
        <f aca="false">SUMIFS('Flat Data'!$I$2:$I$660,'Flat Data'!$A$2:$A$660,$A22,'Flat Data'!$B$2:$B$660,$B22,'Flat Data'!$E$2:$E$660,"0507900002")</f>
        <v>12537</v>
      </c>
      <c r="F22" s="16" t="n">
        <f aca="false">SUMIFS('Flat Data'!$I$2:$I$660,'Flat Data'!$A$2:$A$660,$A22,'Flat Data'!$B$2:$B$660,$B22,'Flat Data'!$E$2:$E$660,"0507900011")</f>
        <v>17302</v>
      </c>
      <c r="G22" s="16" t="n">
        <f aca="false">SUMIFS('Flat Data'!$I$2:$I$660,'Flat Data'!$A$2:$A$660,$A22,'Flat Data'!$B$2:$B$660,$B22,'Flat Data'!$E$2:$E$660,"0507900012")</f>
        <v>5894</v>
      </c>
      <c r="H22" s="16" t="n">
        <f aca="false">SUMIFS('Flat Data'!$I$2:$I$660,'Flat Data'!$A$2:$A$660,$A22,'Flat Data'!$B$2:$B$660,$B22,'Flat Data'!$E$2:$E$660,"0507900015")</f>
        <v>0</v>
      </c>
      <c r="I22" s="16" t="n">
        <f aca="false">SUMIFS('Flat Data'!$I$2:$I$660,'Flat Data'!$A$2:$A$660,$A22,'Flat Data'!$B$2:$B$660,$B22,'Flat Data'!$E$2:$E$660,"0507900038")</f>
        <v>0</v>
      </c>
    </row>
    <row r="23" customFormat="false" ht="15" hidden="false" customHeight="true" outlineLevel="0" collapsed="false">
      <c r="A23" s="20" t="n">
        <v>2020</v>
      </c>
      <c r="B23" s="14" t="n">
        <v>7</v>
      </c>
      <c r="C23" s="16" t="n">
        <f aca="false">SUMIFS('Flat Data'!$I$2:$I$660,'Flat Data'!$A$2:$A$660,$A23,'Flat Data'!$B$2:$B$660,$B23)</f>
        <v>48759</v>
      </c>
      <c r="D23" s="16" t="n">
        <f aca="false">SUMIFS('Flat Data'!$J$2:$J$660,'Flat Data'!$A$2:$A$660,$A23,'Flat Data'!$B$2:$B$660,$B23)</f>
        <v>5466429</v>
      </c>
      <c r="E23" s="16" t="n">
        <f aca="false">SUMIFS('Flat Data'!$I$2:$I$660,'Flat Data'!$A$2:$A$660,$A23,'Flat Data'!$B$2:$B$660,$B23,'Flat Data'!$E$2:$E$660,"0507900002")</f>
        <v>25219</v>
      </c>
      <c r="F23" s="16" t="n">
        <f aca="false">SUMIFS('Flat Data'!$I$2:$I$660,'Flat Data'!$A$2:$A$660,$A23,'Flat Data'!$B$2:$B$660,$B23,'Flat Data'!$E$2:$E$660,"0507900011")</f>
        <v>20771</v>
      </c>
      <c r="G23" s="16" t="n">
        <f aca="false">SUMIFS('Flat Data'!$I$2:$I$660,'Flat Data'!$A$2:$A$660,$A23,'Flat Data'!$B$2:$B$660,$B23,'Flat Data'!$E$2:$E$660,"0507900012")</f>
        <v>2648</v>
      </c>
      <c r="H23" s="16" t="n">
        <f aca="false">SUMIFS('Flat Data'!$I$2:$I$660,'Flat Data'!$A$2:$A$660,$A23,'Flat Data'!$B$2:$B$660,$B23,'Flat Data'!$E$2:$E$660,"0507900015")</f>
        <v>121</v>
      </c>
      <c r="I23" s="16" t="n">
        <f aca="false">SUMIFS('Flat Data'!$I$2:$I$660,'Flat Data'!$A$2:$A$660,$A23,'Flat Data'!$B$2:$B$660,$B23,'Flat Data'!$E$2:$E$660,"0507900038")</f>
        <v>0</v>
      </c>
    </row>
    <row r="24" customFormat="false" ht="15" hidden="false" customHeight="true" outlineLevel="0" collapsed="false">
      <c r="A24" s="20" t="n">
        <v>2020</v>
      </c>
      <c r="B24" s="14" t="n">
        <v>8</v>
      </c>
      <c r="C24" s="16" t="n">
        <f aca="false">SUMIFS('Flat Data'!$I$2:$I$660,'Flat Data'!$A$2:$A$660,$A24,'Flat Data'!$B$2:$B$660,$B24)</f>
        <v>10816</v>
      </c>
      <c r="D24" s="16" t="n">
        <f aca="false">SUMIFS('Flat Data'!$J$2:$J$660,'Flat Data'!$A$2:$A$660,$A24,'Flat Data'!$B$2:$B$660,$B24)</f>
        <v>846519</v>
      </c>
      <c r="E24" s="16" t="n">
        <f aca="false">SUMIFS('Flat Data'!$I$2:$I$660,'Flat Data'!$A$2:$A$660,$A24,'Flat Data'!$B$2:$B$660,$B24,'Flat Data'!$E$2:$E$660,"0507900002")</f>
        <v>4492</v>
      </c>
      <c r="F24" s="16" t="n">
        <f aca="false">SUMIFS('Flat Data'!$I$2:$I$660,'Flat Data'!$A$2:$A$660,$A24,'Flat Data'!$B$2:$B$660,$B24,'Flat Data'!$E$2:$E$660,"0507900011")</f>
        <v>5562</v>
      </c>
      <c r="G24" s="16" t="n">
        <f aca="false">SUMIFS('Flat Data'!$I$2:$I$660,'Flat Data'!$A$2:$A$660,$A24,'Flat Data'!$B$2:$B$660,$B24,'Flat Data'!$E$2:$E$660,"0507900012")</f>
        <v>762</v>
      </c>
      <c r="H24" s="16" t="n">
        <f aca="false">SUMIFS('Flat Data'!$I$2:$I$660,'Flat Data'!$A$2:$A$660,$A24,'Flat Data'!$B$2:$B$660,$B24,'Flat Data'!$E$2:$E$660,"0507900015")</f>
        <v>0</v>
      </c>
      <c r="I24" s="16" t="n">
        <f aca="false">SUMIFS('Flat Data'!$I$2:$I$660,'Flat Data'!$A$2:$A$660,$A24,'Flat Data'!$B$2:$B$660,$B24,'Flat Data'!$E$2:$E$660,"0507900038")</f>
        <v>0</v>
      </c>
    </row>
    <row r="25" customFormat="false" ht="15" hidden="false" customHeight="true" outlineLevel="0" collapsed="false">
      <c r="A25" s="20" t="n">
        <v>2020</v>
      </c>
      <c r="B25" s="14" t="n">
        <v>9</v>
      </c>
      <c r="C25" s="16" t="n">
        <f aca="false">SUMIFS('Flat Data'!$I$2:$I$660,'Flat Data'!$A$2:$A$660,$A25,'Flat Data'!$B$2:$B$660,$B25)</f>
        <v>5745</v>
      </c>
      <c r="D25" s="16" t="n">
        <f aca="false">SUMIFS('Flat Data'!$J$2:$J$660,'Flat Data'!$A$2:$A$660,$A25,'Flat Data'!$B$2:$B$660,$B25)</f>
        <v>1028017</v>
      </c>
      <c r="E25" s="16" t="n">
        <f aca="false">SUMIFS('Flat Data'!$I$2:$I$660,'Flat Data'!$A$2:$A$660,$A25,'Flat Data'!$B$2:$B$660,$B25,'Flat Data'!$E$2:$E$660,"0507900002")</f>
        <v>3444</v>
      </c>
      <c r="F25" s="16" t="n">
        <f aca="false">SUMIFS('Flat Data'!$I$2:$I$660,'Flat Data'!$A$2:$A$660,$A25,'Flat Data'!$B$2:$B$660,$B25,'Flat Data'!$E$2:$E$660,"0507900011")</f>
        <v>1294</v>
      </c>
      <c r="G25" s="16" t="n">
        <f aca="false">SUMIFS('Flat Data'!$I$2:$I$660,'Flat Data'!$A$2:$A$660,$A25,'Flat Data'!$B$2:$B$660,$B25,'Flat Data'!$E$2:$E$660,"0507900012")</f>
        <v>667</v>
      </c>
      <c r="H25" s="16" t="n">
        <f aca="false">SUMIFS('Flat Data'!$I$2:$I$660,'Flat Data'!$A$2:$A$660,$A25,'Flat Data'!$B$2:$B$660,$B25,'Flat Data'!$E$2:$E$660,"0507900015")</f>
        <v>330</v>
      </c>
      <c r="I25" s="16" t="n">
        <f aca="false">SUMIFS('Flat Data'!$I$2:$I$660,'Flat Data'!$A$2:$A$660,$A25,'Flat Data'!$B$2:$B$660,$B25,'Flat Data'!$E$2:$E$660,"0507900038")</f>
        <v>10</v>
      </c>
    </row>
    <row r="26" customFormat="false" ht="15" hidden="false" customHeight="true" outlineLevel="0" collapsed="false">
      <c r="A26" s="20" t="n">
        <v>2020</v>
      </c>
      <c r="B26" s="14" t="n">
        <v>10</v>
      </c>
      <c r="C26" s="16" t="n">
        <f aca="false">SUMIFS('Flat Data'!$I$2:$I$660,'Flat Data'!$A$2:$A$660,$A26,'Flat Data'!$B$2:$B$660,$B26)</f>
        <v>8040</v>
      </c>
      <c r="D26" s="16" t="n">
        <f aca="false">SUMIFS('Flat Data'!$J$2:$J$660,'Flat Data'!$A$2:$A$660,$A26,'Flat Data'!$B$2:$B$660,$B26)</f>
        <v>1007508</v>
      </c>
      <c r="E26" s="16" t="n">
        <f aca="false">SUMIFS('Flat Data'!$I$2:$I$660,'Flat Data'!$A$2:$A$660,$A26,'Flat Data'!$B$2:$B$660,$B26,'Flat Data'!$E$2:$E$660,"0507900002")</f>
        <v>2757</v>
      </c>
      <c r="F26" s="16" t="n">
        <f aca="false">SUMIFS('Flat Data'!$I$2:$I$660,'Flat Data'!$A$2:$A$660,$A26,'Flat Data'!$B$2:$B$660,$B26,'Flat Data'!$E$2:$E$660,"0507900011")</f>
        <v>3180</v>
      </c>
      <c r="G26" s="16" t="n">
        <f aca="false">SUMIFS('Flat Data'!$I$2:$I$660,'Flat Data'!$A$2:$A$660,$A26,'Flat Data'!$B$2:$B$660,$B26,'Flat Data'!$E$2:$E$660,"0507900012")</f>
        <v>2003</v>
      </c>
      <c r="H26" s="16" t="n">
        <f aca="false">SUMIFS('Flat Data'!$I$2:$I$660,'Flat Data'!$A$2:$A$660,$A26,'Flat Data'!$B$2:$B$660,$B26,'Flat Data'!$E$2:$E$660,"0507900015")</f>
        <v>100</v>
      </c>
      <c r="I26" s="16" t="n">
        <f aca="false">SUMIFS('Flat Data'!$I$2:$I$660,'Flat Data'!$A$2:$A$660,$A26,'Flat Data'!$B$2:$B$660,$B26,'Flat Data'!$E$2:$E$660,"0507900038")</f>
        <v>0</v>
      </c>
    </row>
    <row r="27" customFormat="false" ht="15" hidden="false" customHeight="true" outlineLevel="0" collapsed="false">
      <c r="A27" s="20" t="n">
        <v>2020</v>
      </c>
      <c r="B27" s="14" t="n">
        <v>11</v>
      </c>
      <c r="C27" s="16" t="n">
        <f aca="false">SUMIFS('Flat Data'!$I$2:$I$660,'Flat Data'!$A$2:$A$660,$A27,'Flat Data'!$B$2:$B$660,$B27)</f>
        <v>73304</v>
      </c>
      <c r="D27" s="16" t="n">
        <f aca="false">SUMIFS('Flat Data'!$J$2:$J$660,'Flat Data'!$A$2:$A$660,$A27,'Flat Data'!$B$2:$B$660,$B27)</f>
        <v>5879094</v>
      </c>
      <c r="E27" s="16" t="n">
        <f aca="false">SUMIFS('Flat Data'!$I$2:$I$660,'Flat Data'!$A$2:$A$660,$A27,'Flat Data'!$B$2:$B$660,$B27,'Flat Data'!$E$2:$E$660,"0507900002")</f>
        <v>14990</v>
      </c>
      <c r="F27" s="16" t="n">
        <f aca="false">SUMIFS('Flat Data'!$I$2:$I$660,'Flat Data'!$A$2:$A$660,$A27,'Flat Data'!$B$2:$B$660,$B27,'Flat Data'!$E$2:$E$660,"0507900011")</f>
        <v>55038</v>
      </c>
      <c r="G27" s="16" t="n">
        <f aca="false">SUMIFS('Flat Data'!$I$2:$I$660,'Flat Data'!$A$2:$A$660,$A27,'Flat Data'!$B$2:$B$660,$B27,'Flat Data'!$E$2:$E$660,"0507900012")</f>
        <v>0</v>
      </c>
      <c r="H27" s="16" t="n">
        <f aca="false">SUMIFS('Flat Data'!$I$2:$I$660,'Flat Data'!$A$2:$A$660,$A27,'Flat Data'!$B$2:$B$660,$B27,'Flat Data'!$E$2:$E$660,"0507900015")</f>
        <v>3276</v>
      </c>
      <c r="I27" s="16" t="n">
        <f aca="false">SUMIFS('Flat Data'!$I$2:$I$660,'Flat Data'!$A$2:$A$660,$A27,'Flat Data'!$B$2:$B$660,$B27,'Flat Data'!$E$2:$E$660,"0507900038")</f>
        <v>0</v>
      </c>
    </row>
    <row r="28" customFormat="false" ht="15" hidden="false" customHeight="true" outlineLevel="0" collapsed="false">
      <c r="A28" s="20" t="n">
        <v>2020</v>
      </c>
      <c r="B28" s="14" t="n">
        <v>12</v>
      </c>
      <c r="C28" s="16" t="n">
        <f aca="false">SUMIFS('Flat Data'!$I$2:$I$660,'Flat Data'!$A$2:$A$660,$A28,'Flat Data'!$B$2:$B$660,$B28)</f>
        <v>150541</v>
      </c>
      <c r="D28" s="16" t="n">
        <f aca="false">SUMIFS('Flat Data'!$J$2:$J$660,'Flat Data'!$A$2:$A$660,$A28,'Flat Data'!$B$2:$B$660,$B28)</f>
        <v>13885456</v>
      </c>
      <c r="E28" s="16" t="n">
        <f aca="false">SUMIFS('Flat Data'!$I$2:$I$660,'Flat Data'!$A$2:$A$660,$A28,'Flat Data'!$B$2:$B$660,$B28,'Flat Data'!$E$2:$E$660,"0507900002")</f>
        <v>12899</v>
      </c>
      <c r="F28" s="16" t="n">
        <f aca="false">SUMIFS('Flat Data'!$I$2:$I$660,'Flat Data'!$A$2:$A$660,$A28,'Flat Data'!$B$2:$B$660,$B28,'Flat Data'!$E$2:$E$660,"0507900011")</f>
        <v>137574</v>
      </c>
      <c r="G28" s="16" t="n">
        <f aca="false">SUMIFS('Flat Data'!$I$2:$I$660,'Flat Data'!$A$2:$A$660,$A28,'Flat Data'!$B$2:$B$660,$B28,'Flat Data'!$E$2:$E$660,"0507900012")</f>
        <v>50</v>
      </c>
      <c r="H28" s="16" t="n">
        <f aca="false">SUMIFS('Flat Data'!$I$2:$I$660,'Flat Data'!$A$2:$A$660,$A28,'Flat Data'!$B$2:$B$660,$B28,'Flat Data'!$E$2:$E$660,"0507900015")</f>
        <v>18</v>
      </c>
      <c r="I28" s="16" t="n">
        <f aca="false">SUMIFS('Flat Data'!$I$2:$I$660,'Flat Data'!$A$2:$A$660,$A28,'Flat Data'!$B$2:$B$660,$B28,'Flat Data'!$E$2:$E$660,"0507900038")</f>
        <v>0</v>
      </c>
    </row>
    <row r="29" customFormat="false" ht="15" hidden="false" customHeight="true" outlineLevel="0" collapsed="false">
      <c r="A29" s="20" t="n">
        <v>2021</v>
      </c>
      <c r="B29" s="14" t="n">
        <v>1</v>
      </c>
      <c r="C29" s="16" t="n">
        <f aca="false">SUMIFS('Flat Data'!$I$2:$I$660,'Flat Data'!$A$2:$A$660,$A29,'Flat Data'!$B$2:$B$660,$B29)</f>
        <v>116287</v>
      </c>
      <c r="D29" s="16" t="n">
        <f aca="false">SUMIFS('Flat Data'!$J$2:$J$660,'Flat Data'!$A$2:$A$660,$A29,'Flat Data'!$B$2:$B$660,$B29)</f>
        <v>11237630</v>
      </c>
      <c r="E29" s="16" t="n">
        <f aca="false">SUMIFS('Flat Data'!$I$2:$I$660,'Flat Data'!$A$2:$A$660,$A29,'Flat Data'!$B$2:$B$660,$B29,'Flat Data'!$E$2:$E$660,"0507900002")</f>
        <v>13454</v>
      </c>
      <c r="F29" s="16" t="n">
        <f aca="false">SUMIFS('Flat Data'!$I$2:$I$660,'Flat Data'!$A$2:$A$660,$A29,'Flat Data'!$B$2:$B$660,$B29,'Flat Data'!$E$2:$E$660,"0507900011")</f>
        <v>101553</v>
      </c>
      <c r="G29" s="16" t="n">
        <f aca="false">SUMIFS('Flat Data'!$I$2:$I$660,'Flat Data'!$A$2:$A$660,$A29,'Flat Data'!$B$2:$B$660,$B29,'Flat Data'!$E$2:$E$660,"0507900012")</f>
        <v>1280</v>
      </c>
      <c r="H29" s="16" t="n">
        <f aca="false">SUMIFS('Flat Data'!$I$2:$I$660,'Flat Data'!$A$2:$A$660,$A29,'Flat Data'!$B$2:$B$660,$B29,'Flat Data'!$E$2:$E$660,"0507900015")</f>
        <v>0</v>
      </c>
      <c r="I29" s="16" t="n">
        <f aca="false">SUMIFS('Flat Data'!$I$2:$I$660,'Flat Data'!$A$2:$A$660,$A29,'Flat Data'!$B$2:$B$660,$B29,'Flat Data'!$E$2:$E$660,"0507900038")</f>
        <v>0</v>
      </c>
    </row>
    <row r="30" customFormat="false" ht="15" hidden="false" customHeight="true" outlineLevel="0" collapsed="false">
      <c r="A30" s="20" t="n">
        <v>2021</v>
      </c>
      <c r="B30" s="14" t="n">
        <v>2</v>
      </c>
      <c r="C30" s="16" t="n">
        <f aca="false">SUMIFS('Flat Data'!$I$2:$I$660,'Flat Data'!$A$2:$A$660,$A30,'Flat Data'!$B$2:$B$660,$B30)</f>
        <v>28276</v>
      </c>
      <c r="D30" s="16" t="n">
        <f aca="false">SUMIFS('Flat Data'!$J$2:$J$660,'Flat Data'!$A$2:$A$660,$A30,'Flat Data'!$B$2:$B$660,$B30)</f>
        <v>3190773</v>
      </c>
      <c r="E30" s="16" t="n">
        <f aca="false">SUMIFS('Flat Data'!$I$2:$I$660,'Flat Data'!$A$2:$A$660,$A30,'Flat Data'!$B$2:$B$660,$B30,'Flat Data'!$E$2:$E$660,"0507900002")</f>
        <v>14110</v>
      </c>
      <c r="F30" s="16" t="n">
        <f aca="false">SUMIFS('Flat Data'!$I$2:$I$660,'Flat Data'!$A$2:$A$660,$A30,'Flat Data'!$B$2:$B$660,$B30,'Flat Data'!$E$2:$E$660,"0507900011")</f>
        <v>12870</v>
      </c>
      <c r="G30" s="16" t="n">
        <f aca="false">SUMIFS('Flat Data'!$I$2:$I$660,'Flat Data'!$A$2:$A$660,$A30,'Flat Data'!$B$2:$B$660,$B30,'Flat Data'!$E$2:$E$660,"0507900012")</f>
        <v>1286</v>
      </c>
      <c r="H30" s="16" t="n">
        <f aca="false">SUMIFS('Flat Data'!$I$2:$I$660,'Flat Data'!$A$2:$A$660,$A30,'Flat Data'!$B$2:$B$660,$B30,'Flat Data'!$E$2:$E$660,"0507900015")</f>
        <v>10</v>
      </c>
      <c r="I30" s="16" t="n">
        <f aca="false">SUMIFS('Flat Data'!$I$2:$I$660,'Flat Data'!$A$2:$A$660,$A30,'Flat Data'!$B$2:$B$660,$B30,'Flat Data'!$E$2:$E$660,"0507900038")</f>
        <v>0</v>
      </c>
    </row>
    <row r="31" customFormat="false" ht="15" hidden="false" customHeight="true" outlineLevel="0" collapsed="false">
      <c r="A31" s="20" t="n">
        <v>2021</v>
      </c>
      <c r="B31" s="14" t="n">
        <v>3</v>
      </c>
      <c r="C31" s="16" t="n">
        <f aca="false">SUMIFS('Flat Data'!$I$2:$I$660,'Flat Data'!$A$2:$A$660,$A31,'Flat Data'!$B$2:$B$660,$B31)</f>
        <v>89605</v>
      </c>
      <c r="D31" s="16" t="n">
        <f aca="false">SUMIFS('Flat Data'!$J$2:$J$660,'Flat Data'!$A$2:$A$660,$A31,'Flat Data'!$B$2:$B$660,$B31)</f>
        <v>9335508</v>
      </c>
      <c r="E31" s="16" t="n">
        <f aca="false">SUMIFS('Flat Data'!$I$2:$I$660,'Flat Data'!$A$2:$A$660,$A31,'Flat Data'!$B$2:$B$660,$B31,'Flat Data'!$E$2:$E$660,"0507900002")</f>
        <v>1688</v>
      </c>
      <c r="F31" s="16" t="n">
        <f aca="false">SUMIFS('Flat Data'!$I$2:$I$660,'Flat Data'!$A$2:$A$660,$A31,'Flat Data'!$B$2:$B$660,$B31,'Flat Data'!$E$2:$E$660,"0507900011")</f>
        <v>83508</v>
      </c>
      <c r="G31" s="16" t="n">
        <f aca="false">SUMIFS('Flat Data'!$I$2:$I$660,'Flat Data'!$A$2:$A$660,$A31,'Flat Data'!$B$2:$B$660,$B31,'Flat Data'!$E$2:$E$660,"0507900012")</f>
        <v>4394</v>
      </c>
      <c r="H31" s="16" t="n">
        <f aca="false">SUMIFS('Flat Data'!$I$2:$I$660,'Flat Data'!$A$2:$A$660,$A31,'Flat Data'!$B$2:$B$660,$B31,'Flat Data'!$E$2:$E$660,"0507900015")</f>
        <v>15</v>
      </c>
      <c r="I31" s="16" t="n">
        <f aca="false">SUMIFS('Flat Data'!$I$2:$I$660,'Flat Data'!$A$2:$A$660,$A31,'Flat Data'!$B$2:$B$660,$B31,'Flat Data'!$E$2:$E$660,"0507900038")</f>
        <v>0</v>
      </c>
    </row>
    <row r="32" customFormat="false" ht="15" hidden="false" customHeight="true" outlineLevel="0" collapsed="false">
      <c r="A32" s="20" t="n">
        <v>2021</v>
      </c>
      <c r="B32" s="14" t="n">
        <v>4</v>
      </c>
      <c r="C32" s="16" t="n">
        <f aca="false">SUMIFS('Flat Data'!$I$2:$I$660,'Flat Data'!$A$2:$A$660,$A32,'Flat Data'!$B$2:$B$660,$B32)</f>
        <v>117537</v>
      </c>
      <c r="D32" s="16" t="n">
        <f aca="false">SUMIFS('Flat Data'!$J$2:$J$660,'Flat Data'!$A$2:$A$660,$A32,'Flat Data'!$B$2:$B$660,$B32)</f>
        <v>11264995</v>
      </c>
      <c r="E32" s="16" t="n">
        <f aca="false">SUMIFS('Flat Data'!$I$2:$I$660,'Flat Data'!$A$2:$A$660,$A32,'Flat Data'!$B$2:$B$660,$B32,'Flat Data'!$E$2:$E$660,"0507900002")</f>
        <v>35385</v>
      </c>
      <c r="F32" s="16" t="n">
        <f aca="false">SUMIFS('Flat Data'!$I$2:$I$660,'Flat Data'!$A$2:$A$660,$A32,'Flat Data'!$B$2:$B$660,$B32,'Flat Data'!$E$2:$E$660,"0507900011")</f>
        <v>78358</v>
      </c>
      <c r="G32" s="16" t="n">
        <f aca="false">SUMIFS('Flat Data'!$I$2:$I$660,'Flat Data'!$A$2:$A$660,$A32,'Flat Data'!$B$2:$B$660,$B32,'Flat Data'!$E$2:$E$660,"0507900012")</f>
        <v>1978</v>
      </c>
      <c r="H32" s="16" t="n">
        <f aca="false">SUMIFS('Flat Data'!$I$2:$I$660,'Flat Data'!$A$2:$A$660,$A32,'Flat Data'!$B$2:$B$660,$B32,'Flat Data'!$E$2:$E$660,"0507900015")</f>
        <v>0</v>
      </c>
      <c r="I32" s="16" t="n">
        <f aca="false">SUMIFS('Flat Data'!$I$2:$I$660,'Flat Data'!$A$2:$A$660,$A32,'Flat Data'!$B$2:$B$660,$B32,'Flat Data'!$E$2:$E$660,"0507900038")</f>
        <v>1816</v>
      </c>
    </row>
    <row r="33" customFormat="false" ht="15" hidden="false" customHeight="true" outlineLevel="0" collapsed="false">
      <c r="A33" s="20" t="n">
        <v>2021</v>
      </c>
      <c r="B33" s="14" t="n">
        <v>5</v>
      </c>
      <c r="C33" s="16" t="n">
        <f aca="false">SUMIFS('Flat Data'!$I$2:$I$660,'Flat Data'!$A$2:$A$660,$A33,'Flat Data'!$B$2:$B$660,$B33)</f>
        <v>94288</v>
      </c>
      <c r="D33" s="16" t="n">
        <f aca="false">SUMIFS('Flat Data'!$J$2:$J$660,'Flat Data'!$A$2:$A$660,$A33,'Flat Data'!$B$2:$B$660,$B33)</f>
        <v>9588393</v>
      </c>
      <c r="E33" s="16" t="n">
        <f aca="false">SUMIFS('Flat Data'!$I$2:$I$660,'Flat Data'!$A$2:$A$660,$A33,'Flat Data'!$B$2:$B$660,$B33,'Flat Data'!$E$2:$E$660,"0507900002")</f>
        <v>5487</v>
      </c>
      <c r="F33" s="16" t="n">
        <f aca="false">SUMIFS('Flat Data'!$I$2:$I$660,'Flat Data'!$A$2:$A$660,$A33,'Flat Data'!$B$2:$B$660,$B33,'Flat Data'!$E$2:$E$660,"0507900011")</f>
        <v>85241</v>
      </c>
      <c r="G33" s="16" t="n">
        <f aca="false">SUMIFS('Flat Data'!$I$2:$I$660,'Flat Data'!$A$2:$A$660,$A33,'Flat Data'!$B$2:$B$660,$B33,'Flat Data'!$E$2:$E$660,"0507900012")</f>
        <v>1796</v>
      </c>
      <c r="H33" s="16" t="n">
        <f aca="false">SUMIFS('Flat Data'!$I$2:$I$660,'Flat Data'!$A$2:$A$660,$A33,'Flat Data'!$B$2:$B$660,$B33,'Flat Data'!$E$2:$E$660,"0507900015")</f>
        <v>0</v>
      </c>
      <c r="I33" s="16" t="n">
        <f aca="false">SUMIFS('Flat Data'!$I$2:$I$660,'Flat Data'!$A$2:$A$660,$A33,'Flat Data'!$B$2:$B$660,$B33,'Flat Data'!$E$2:$E$660,"0507900038")</f>
        <v>1764</v>
      </c>
    </row>
    <row r="34" customFormat="false" ht="15" hidden="false" customHeight="true" outlineLevel="0" collapsed="false">
      <c r="A34" s="20" t="n">
        <v>2021</v>
      </c>
      <c r="B34" s="14" t="n">
        <v>6</v>
      </c>
      <c r="C34" s="16" t="n">
        <f aca="false">SUMIFS('Flat Data'!$I$2:$I$660,'Flat Data'!$A$2:$A$660,$A34,'Flat Data'!$B$2:$B$660,$B34)</f>
        <v>83869</v>
      </c>
      <c r="D34" s="16" t="n">
        <f aca="false">SUMIFS('Flat Data'!$J$2:$J$660,'Flat Data'!$A$2:$A$660,$A34,'Flat Data'!$B$2:$B$660,$B34)</f>
        <v>6820071</v>
      </c>
      <c r="E34" s="16" t="n">
        <f aca="false">SUMIFS('Flat Data'!$I$2:$I$660,'Flat Data'!$A$2:$A$660,$A34,'Flat Data'!$B$2:$B$660,$B34,'Flat Data'!$E$2:$E$660,"0507900002")</f>
        <v>28828</v>
      </c>
      <c r="F34" s="16" t="n">
        <f aca="false">SUMIFS('Flat Data'!$I$2:$I$660,'Flat Data'!$A$2:$A$660,$A34,'Flat Data'!$B$2:$B$660,$B34,'Flat Data'!$E$2:$E$660,"0507900011")</f>
        <v>50579</v>
      </c>
      <c r="G34" s="16" t="n">
        <f aca="false">SUMIFS('Flat Data'!$I$2:$I$660,'Flat Data'!$A$2:$A$660,$A34,'Flat Data'!$B$2:$B$660,$B34,'Flat Data'!$E$2:$E$660,"0507900012")</f>
        <v>1962</v>
      </c>
      <c r="H34" s="16" t="n">
        <f aca="false">SUMIFS('Flat Data'!$I$2:$I$660,'Flat Data'!$A$2:$A$660,$A34,'Flat Data'!$B$2:$B$660,$B34,'Flat Data'!$E$2:$E$660,"0507900015")</f>
        <v>2500</v>
      </c>
      <c r="I34" s="16" t="n">
        <f aca="false">SUMIFS('Flat Data'!$I$2:$I$660,'Flat Data'!$A$2:$A$660,$A34,'Flat Data'!$B$2:$B$660,$B34,'Flat Data'!$E$2:$E$660,"0507900038")</f>
        <v>0</v>
      </c>
    </row>
    <row r="35" customFormat="false" ht="15" hidden="false" customHeight="true" outlineLevel="0" collapsed="false">
      <c r="A35" s="20" t="n">
        <v>2021</v>
      </c>
      <c r="B35" s="14" t="n">
        <v>7</v>
      </c>
      <c r="C35" s="16" t="n">
        <f aca="false">SUMIFS('Flat Data'!$I$2:$I$660,'Flat Data'!$A$2:$A$660,$A35,'Flat Data'!$B$2:$B$660,$B35)</f>
        <v>29273</v>
      </c>
      <c r="D35" s="16" t="n">
        <f aca="false">SUMIFS('Flat Data'!$J$2:$J$660,'Flat Data'!$A$2:$A$660,$A35,'Flat Data'!$B$2:$B$660,$B35)</f>
        <v>3630719</v>
      </c>
      <c r="E35" s="16" t="n">
        <f aca="false">SUMIFS('Flat Data'!$I$2:$I$660,'Flat Data'!$A$2:$A$660,$A35,'Flat Data'!$B$2:$B$660,$B35,'Flat Data'!$E$2:$E$660,"0507900002")</f>
        <v>14875</v>
      </c>
      <c r="F35" s="16" t="n">
        <f aca="false">SUMIFS('Flat Data'!$I$2:$I$660,'Flat Data'!$A$2:$A$660,$A35,'Flat Data'!$B$2:$B$660,$B35,'Flat Data'!$E$2:$E$660,"0507900011")</f>
        <v>12146</v>
      </c>
      <c r="G35" s="16" t="n">
        <f aca="false">SUMIFS('Flat Data'!$I$2:$I$660,'Flat Data'!$A$2:$A$660,$A35,'Flat Data'!$B$2:$B$660,$B35,'Flat Data'!$E$2:$E$660,"0507900012")</f>
        <v>2252</v>
      </c>
      <c r="H35" s="16" t="n">
        <f aca="false">SUMIFS('Flat Data'!$I$2:$I$660,'Flat Data'!$A$2:$A$660,$A35,'Flat Data'!$B$2:$B$660,$B35,'Flat Data'!$E$2:$E$660,"0507900015")</f>
        <v>0</v>
      </c>
      <c r="I35" s="16" t="n">
        <f aca="false">SUMIFS('Flat Data'!$I$2:$I$660,'Flat Data'!$A$2:$A$660,$A35,'Flat Data'!$B$2:$B$660,$B35,'Flat Data'!$E$2:$E$660,"0507900038")</f>
        <v>0</v>
      </c>
    </row>
    <row r="36" customFormat="false" ht="15" hidden="false" customHeight="true" outlineLevel="0" collapsed="false">
      <c r="A36" s="20" t="n">
        <v>2021</v>
      </c>
      <c r="B36" s="14" t="n">
        <v>8</v>
      </c>
      <c r="C36" s="16" t="n">
        <f aca="false">SUMIFS('Flat Data'!$I$2:$I$660,'Flat Data'!$A$2:$A$660,$A36,'Flat Data'!$B$2:$B$660,$B36)</f>
        <v>12210</v>
      </c>
      <c r="D36" s="16" t="n">
        <f aca="false">SUMIFS('Flat Data'!$J$2:$J$660,'Flat Data'!$A$2:$A$660,$A36,'Flat Data'!$B$2:$B$660,$B36)</f>
        <v>1322934</v>
      </c>
      <c r="E36" s="16" t="n">
        <f aca="false">SUMIFS('Flat Data'!$I$2:$I$660,'Flat Data'!$A$2:$A$660,$A36,'Flat Data'!$B$2:$B$660,$B36,'Flat Data'!$E$2:$E$660,"0507900002")</f>
        <v>2931</v>
      </c>
      <c r="F36" s="16" t="n">
        <f aca="false">SUMIFS('Flat Data'!$I$2:$I$660,'Flat Data'!$A$2:$A$660,$A36,'Flat Data'!$B$2:$B$660,$B36,'Flat Data'!$E$2:$E$660,"0507900011")</f>
        <v>7918</v>
      </c>
      <c r="G36" s="16" t="n">
        <f aca="false">SUMIFS('Flat Data'!$I$2:$I$660,'Flat Data'!$A$2:$A$660,$A36,'Flat Data'!$B$2:$B$660,$B36,'Flat Data'!$E$2:$E$660,"0507900012")</f>
        <v>1361</v>
      </c>
      <c r="H36" s="16" t="n">
        <f aca="false">SUMIFS('Flat Data'!$I$2:$I$660,'Flat Data'!$A$2:$A$660,$A36,'Flat Data'!$B$2:$B$660,$B36,'Flat Data'!$E$2:$E$660,"0507900015")</f>
        <v>0</v>
      </c>
      <c r="I36" s="16" t="n">
        <f aca="false">SUMIFS('Flat Data'!$I$2:$I$660,'Flat Data'!$A$2:$A$660,$A36,'Flat Data'!$B$2:$B$660,$B36,'Flat Data'!$E$2:$E$660,"0507900038")</f>
        <v>0</v>
      </c>
    </row>
    <row r="37" customFormat="false" ht="15" hidden="false" customHeight="true" outlineLevel="0" collapsed="false">
      <c r="A37" s="20" t="n">
        <v>2021</v>
      </c>
      <c r="B37" s="14" t="n">
        <v>9</v>
      </c>
      <c r="C37" s="16" t="n">
        <f aca="false">SUMIFS('Flat Data'!$I$2:$I$660,'Flat Data'!$A$2:$A$660,$A37,'Flat Data'!$B$2:$B$660,$B37)</f>
        <v>7541</v>
      </c>
      <c r="D37" s="16" t="n">
        <f aca="false">SUMIFS('Flat Data'!$J$2:$J$660,'Flat Data'!$A$2:$A$660,$A37,'Flat Data'!$B$2:$B$660,$B37)</f>
        <v>556604</v>
      </c>
      <c r="E37" s="16" t="n">
        <f aca="false">SUMIFS('Flat Data'!$I$2:$I$660,'Flat Data'!$A$2:$A$660,$A37,'Flat Data'!$B$2:$B$660,$B37,'Flat Data'!$E$2:$E$660,"0507900002")</f>
        <v>856</v>
      </c>
      <c r="F37" s="16" t="n">
        <f aca="false">SUMIFS('Flat Data'!$I$2:$I$660,'Flat Data'!$A$2:$A$660,$A37,'Flat Data'!$B$2:$B$660,$B37,'Flat Data'!$E$2:$E$660,"0507900011")</f>
        <v>6464</v>
      </c>
      <c r="G37" s="16" t="n">
        <f aca="false">SUMIFS('Flat Data'!$I$2:$I$660,'Flat Data'!$A$2:$A$660,$A37,'Flat Data'!$B$2:$B$660,$B37,'Flat Data'!$E$2:$E$660,"0507900012")</f>
        <v>113</v>
      </c>
      <c r="H37" s="16" t="n">
        <f aca="false">SUMIFS('Flat Data'!$I$2:$I$660,'Flat Data'!$A$2:$A$660,$A37,'Flat Data'!$B$2:$B$660,$B37,'Flat Data'!$E$2:$E$660,"0507900015")</f>
        <v>0</v>
      </c>
      <c r="I37" s="16" t="n">
        <f aca="false">SUMIFS('Flat Data'!$I$2:$I$660,'Flat Data'!$A$2:$A$660,$A37,'Flat Data'!$B$2:$B$660,$B37,'Flat Data'!$E$2:$E$660,"0507900038")</f>
        <v>108</v>
      </c>
    </row>
    <row r="38" customFormat="false" ht="15" hidden="false" customHeight="true" outlineLevel="0" collapsed="false">
      <c r="A38" s="20" t="n">
        <v>2021</v>
      </c>
      <c r="B38" s="14" t="n">
        <v>10</v>
      </c>
      <c r="C38" s="16" t="n">
        <f aca="false">SUMIFS('Flat Data'!$I$2:$I$660,'Flat Data'!$A$2:$A$660,$A38,'Flat Data'!$B$2:$B$660,$B38)</f>
        <v>3922</v>
      </c>
      <c r="D38" s="16" t="n">
        <f aca="false">SUMIFS('Flat Data'!$J$2:$J$660,'Flat Data'!$A$2:$A$660,$A38,'Flat Data'!$B$2:$B$660,$B38)</f>
        <v>357288</v>
      </c>
      <c r="E38" s="16" t="n">
        <f aca="false">SUMIFS('Flat Data'!$I$2:$I$660,'Flat Data'!$A$2:$A$660,$A38,'Flat Data'!$B$2:$B$660,$B38,'Flat Data'!$E$2:$E$660,"0507900002")</f>
        <v>922</v>
      </c>
      <c r="F38" s="16" t="n">
        <f aca="false">SUMIFS('Flat Data'!$I$2:$I$660,'Flat Data'!$A$2:$A$660,$A38,'Flat Data'!$B$2:$B$660,$B38,'Flat Data'!$E$2:$E$660,"0507900011")</f>
        <v>3000</v>
      </c>
      <c r="G38" s="16" t="n">
        <f aca="false">SUMIFS('Flat Data'!$I$2:$I$660,'Flat Data'!$A$2:$A$660,$A38,'Flat Data'!$B$2:$B$660,$B38,'Flat Data'!$E$2:$E$660,"0507900012")</f>
        <v>0</v>
      </c>
      <c r="H38" s="16" t="n">
        <f aca="false">SUMIFS('Flat Data'!$I$2:$I$660,'Flat Data'!$A$2:$A$660,$A38,'Flat Data'!$B$2:$B$660,$B38,'Flat Data'!$E$2:$E$660,"0507900015")</f>
        <v>0</v>
      </c>
      <c r="I38" s="16" t="n">
        <f aca="false">SUMIFS('Flat Data'!$I$2:$I$660,'Flat Data'!$A$2:$A$660,$A38,'Flat Data'!$B$2:$B$660,$B38,'Flat Data'!$E$2:$E$660,"0507900038")</f>
        <v>0</v>
      </c>
    </row>
    <row r="39" customFormat="false" ht="15" hidden="false" customHeight="true" outlineLevel="0" collapsed="false">
      <c r="A39" s="20" t="n">
        <v>2021</v>
      </c>
      <c r="B39" s="14" t="n">
        <v>11</v>
      </c>
      <c r="C39" s="16" t="n">
        <f aca="false">SUMIFS('Flat Data'!$I$2:$I$660,'Flat Data'!$A$2:$A$660,$A39,'Flat Data'!$B$2:$B$660,$B39)</f>
        <v>60549</v>
      </c>
      <c r="D39" s="16" t="n">
        <f aca="false">SUMIFS('Flat Data'!$J$2:$J$660,'Flat Data'!$A$2:$A$660,$A39,'Flat Data'!$B$2:$B$660,$B39)</f>
        <v>4858662</v>
      </c>
      <c r="E39" s="16" t="n">
        <f aca="false">SUMIFS('Flat Data'!$I$2:$I$660,'Flat Data'!$A$2:$A$660,$A39,'Flat Data'!$B$2:$B$660,$B39,'Flat Data'!$E$2:$E$660,"0507900002")</f>
        <v>2970</v>
      </c>
      <c r="F39" s="16" t="n">
        <f aca="false">SUMIFS('Flat Data'!$I$2:$I$660,'Flat Data'!$A$2:$A$660,$A39,'Flat Data'!$B$2:$B$660,$B39,'Flat Data'!$E$2:$E$660,"0507900011")</f>
        <v>57424</v>
      </c>
      <c r="G39" s="16" t="n">
        <f aca="false">SUMIFS('Flat Data'!$I$2:$I$660,'Flat Data'!$A$2:$A$660,$A39,'Flat Data'!$B$2:$B$660,$B39,'Flat Data'!$E$2:$E$660,"0507900012")</f>
        <v>150</v>
      </c>
      <c r="H39" s="16" t="n">
        <f aca="false">SUMIFS('Flat Data'!$I$2:$I$660,'Flat Data'!$A$2:$A$660,$A39,'Flat Data'!$B$2:$B$660,$B39,'Flat Data'!$E$2:$E$660,"0507900015")</f>
        <v>0</v>
      </c>
      <c r="I39" s="16" t="n">
        <f aca="false">SUMIFS('Flat Data'!$I$2:$I$660,'Flat Data'!$A$2:$A$660,$A39,'Flat Data'!$B$2:$B$660,$B39,'Flat Data'!$E$2:$E$660,"0507900038")</f>
        <v>5</v>
      </c>
    </row>
    <row r="40" customFormat="false" ht="15" hidden="false" customHeight="true" outlineLevel="0" collapsed="false">
      <c r="A40" s="20" t="n">
        <v>2021</v>
      </c>
      <c r="B40" s="14" t="n">
        <v>12</v>
      </c>
      <c r="C40" s="16" t="n">
        <f aca="false">SUMIFS('Flat Data'!$I$2:$I$660,'Flat Data'!$A$2:$A$660,$A40,'Flat Data'!$B$2:$B$660,$B40)</f>
        <v>103829</v>
      </c>
      <c r="D40" s="16" t="n">
        <f aca="false">SUMIFS('Flat Data'!$J$2:$J$660,'Flat Data'!$A$2:$A$660,$A40,'Flat Data'!$B$2:$B$660,$B40)</f>
        <v>10519135</v>
      </c>
      <c r="E40" s="16" t="n">
        <f aca="false">SUMIFS('Flat Data'!$I$2:$I$660,'Flat Data'!$A$2:$A$660,$A40,'Flat Data'!$B$2:$B$660,$B40,'Flat Data'!$E$2:$E$660,"0507900002")</f>
        <v>22383</v>
      </c>
      <c r="F40" s="16" t="n">
        <f aca="false">SUMIFS('Flat Data'!$I$2:$I$660,'Flat Data'!$A$2:$A$660,$A40,'Flat Data'!$B$2:$B$660,$B40,'Flat Data'!$E$2:$E$660,"0507900011")</f>
        <v>81217</v>
      </c>
      <c r="G40" s="16" t="n">
        <f aca="false">SUMIFS('Flat Data'!$I$2:$I$660,'Flat Data'!$A$2:$A$660,$A40,'Flat Data'!$B$2:$B$660,$B40,'Flat Data'!$E$2:$E$660,"0507900012")</f>
        <v>109</v>
      </c>
      <c r="H40" s="16" t="n">
        <f aca="false">SUMIFS('Flat Data'!$I$2:$I$660,'Flat Data'!$A$2:$A$660,$A40,'Flat Data'!$B$2:$B$660,$B40,'Flat Data'!$E$2:$E$660,"0507900015")</f>
        <v>0</v>
      </c>
      <c r="I40" s="16" t="n">
        <f aca="false">SUMIFS('Flat Data'!$I$2:$I$660,'Flat Data'!$A$2:$A$660,$A40,'Flat Data'!$B$2:$B$660,$B40,'Flat Data'!$E$2:$E$660,"0507900038")</f>
        <v>120</v>
      </c>
    </row>
    <row r="41" customFormat="false" ht="15" hidden="false" customHeight="true" outlineLevel="0" collapsed="false">
      <c r="A41" s="20" t="n">
        <v>2022</v>
      </c>
      <c r="B41" s="14" t="n">
        <v>1</v>
      </c>
      <c r="C41" s="16" t="n">
        <f aca="false">SUMIFS('Flat Data'!$I$2:$I$660,'Flat Data'!$A$2:$A$660,$A41,'Flat Data'!$B$2:$B$660,$B41)</f>
        <v>164570</v>
      </c>
      <c r="D41" s="16" t="n">
        <f aca="false">SUMIFS('Flat Data'!$J$2:$J$660,'Flat Data'!$A$2:$A$660,$A41,'Flat Data'!$B$2:$B$660,$B41)</f>
        <v>18502230</v>
      </c>
      <c r="E41" s="16" t="n">
        <f aca="false">SUMIFS('Flat Data'!$I$2:$I$660,'Flat Data'!$A$2:$A$660,$A41,'Flat Data'!$B$2:$B$660,$B41,'Flat Data'!$E$2:$E$660,"0507900002")</f>
        <v>46318</v>
      </c>
      <c r="F41" s="16" t="n">
        <f aca="false">SUMIFS('Flat Data'!$I$2:$I$660,'Flat Data'!$A$2:$A$660,$A41,'Flat Data'!$B$2:$B$660,$B41,'Flat Data'!$E$2:$E$660,"0507900011")</f>
        <v>116970</v>
      </c>
      <c r="G41" s="16" t="n">
        <f aca="false">SUMIFS('Flat Data'!$I$2:$I$660,'Flat Data'!$A$2:$A$660,$A41,'Flat Data'!$B$2:$B$660,$B41,'Flat Data'!$E$2:$E$660,"0507900012")</f>
        <v>1282</v>
      </c>
      <c r="H41" s="16" t="n">
        <f aca="false">SUMIFS('Flat Data'!$I$2:$I$660,'Flat Data'!$A$2:$A$660,$A41,'Flat Data'!$B$2:$B$660,$B41,'Flat Data'!$E$2:$E$660,"0507900015")</f>
        <v>0</v>
      </c>
      <c r="I41" s="16" t="n">
        <f aca="false">SUMIFS('Flat Data'!$I$2:$I$660,'Flat Data'!$A$2:$A$660,$A41,'Flat Data'!$B$2:$B$660,$B41,'Flat Data'!$E$2:$E$660,"0507900038")</f>
        <v>0</v>
      </c>
    </row>
    <row r="42" customFormat="false" ht="15" hidden="false" customHeight="true" outlineLevel="0" collapsed="false">
      <c r="A42" s="20" t="n">
        <v>2022</v>
      </c>
      <c r="B42" s="14" t="n">
        <v>2</v>
      </c>
      <c r="C42" s="16" t="n">
        <f aca="false">SUMIFS('Flat Data'!$I$2:$I$660,'Flat Data'!$A$2:$A$660,$A42,'Flat Data'!$B$2:$B$660,$B42)</f>
        <v>128649</v>
      </c>
      <c r="D42" s="16" t="n">
        <f aca="false">SUMIFS('Flat Data'!$J$2:$J$660,'Flat Data'!$A$2:$A$660,$A42,'Flat Data'!$B$2:$B$660,$B42)</f>
        <v>14547163</v>
      </c>
      <c r="E42" s="16" t="n">
        <f aca="false">SUMIFS('Flat Data'!$I$2:$I$660,'Flat Data'!$A$2:$A$660,$A42,'Flat Data'!$B$2:$B$660,$B42,'Flat Data'!$E$2:$E$660,"0507900002")</f>
        <v>1111</v>
      </c>
      <c r="F42" s="16" t="n">
        <f aca="false">SUMIFS('Flat Data'!$I$2:$I$660,'Flat Data'!$A$2:$A$660,$A42,'Flat Data'!$B$2:$B$660,$B42,'Flat Data'!$E$2:$E$660,"0507900011")</f>
        <v>125548</v>
      </c>
      <c r="G42" s="16" t="n">
        <f aca="false">SUMIFS('Flat Data'!$I$2:$I$660,'Flat Data'!$A$2:$A$660,$A42,'Flat Data'!$B$2:$B$660,$B42,'Flat Data'!$E$2:$E$660,"0507900012")</f>
        <v>1301</v>
      </c>
      <c r="H42" s="16" t="n">
        <f aca="false">SUMIFS('Flat Data'!$I$2:$I$660,'Flat Data'!$A$2:$A$660,$A42,'Flat Data'!$B$2:$B$660,$B42,'Flat Data'!$E$2:$E$660,"0507900015")</f>
        <v>25</v>
      </c>
      <c r="I42" s="16" t="n">
        <f aca="false">SUMIFS('Flat Data'!$I$2:$I$660,'Flat Data'!$A$2:$A$660,$A42,'Flat Data'!$B$2:$B$660,$B42,'Flat Data'!$E$2:$E$660,"0507900038")</f>
        <v>664</v>
      </c>
    </row>
    <row r="43" customFormat="false" ht="15" hidden="false" customHeight="true" outlineLevel="0" collapsed="false">
      <c r="A43" s="20" t="n">
        <v>2022</v>
      </c>
      <c r="B43" s="14" t="n">
        <v>3</v>
      </c>
      <c r="C43" s="16" t="n">
        <f aca="false">SUMIFS('Flat Data'!$I$2:$I$660,'Flat Data'!$A$2:$A$660,$A43,'Flat Data'!$B$2:$B$660,$B43)</f>
        <v>90643</v>
      </c>
      <c r="D43" s="16" t="n">
        <f aca="false">SUMIFS('Flat Data'!$J$2:$J$660,'Flat Data'!$A$2:$A$660,$A43,'Flat Data'!$B$2:$B$660,$B43)</f>
        <v>11568200</v>
      </c>
      <c r="E43" s="16" t="n">
        <f aca="false">SUMIFS('Flat Data'!$I$2:$I$660,'Flat Data'!$A$2:$A$660,$A43,'Flat Data'!$B$2:$B$660,$B43,'Flat Data'!$E$2:$E$660,"0507900002")</f>
        <v>11727</v>
      </c>
      <c r="F43" s="16" t="n">
        <f aca="false">SUMIFS('Flat Data'!$I$2:$I$660,'Flat Data'!$A$2:$A$660,$A43,'Flat Data'!$B$2:$B$660,$B43,'Flat Data'!$E$2:$E$660,"0507900011")</f>
        <v>75311</v>
      </c>
      <c r="G43" s="16" t="n">
        <f aca="false">SUMIFS('Flat Data'!$I$2:$I$660,'Flat Data'!$A$2:$A$660,$A43,'Flat Data'!$B$2:$B$660,$B43,'Flat Data'!$E$2:$E$660,"0507900012")</f>
        <v>3605</v>
      </c>
      <c r="H43" s="16" t="n">
        <f aca="false">SUMIFS('Flat Data'!$I$2:$I$660,'Flat Data'!$A$2:$A$660,$A43,'Flat Data'!$B$2:$B$660,$B43,'Flat Data'!$E$2:$E$660,"0507900015")</f>
        <v>0</v>
      </c>
      <c r="I43" s="16" t="n">
        <f aca="false">SUMIFS('Flat Data'!$I$2:$I$660,'Flat Data'!$A$2:$A$660,$A43,'Flat Data'!$B$2:$B$660,$B43,'Flat Data'!$E$2:$E$660,"0507900038")</f>
        <v>0</v>
      </c>
    </row>
    <row r="44" customFormat="false" ht="15" hidden="false" customHeight="true" outlineLevel="0" collapsed="false">
      <c r="A44" s="20" t="n">
        <v>2022</v>
      </c>
      <c r="B44" s="14" t="n">
        <v>4</v>
      </c>
      <c r="C44" s="16" t="n">
        <f aca="false">SUMIFS('Flat Data'!$I$2:$I$660,'Flat Data'!$A$2:$A$660,$A44,'Flat Data'!$B$2:$B$660,$B44)</f>
        <v>118503</v>
      </c>
      <c r="D44" s="16" t="n">
        <f aca="false">SUMIFS('Flat Data'!$J$2:$J$660,'Flat Data'!$A$2:$A$660,$A44,'Flat Data'!$B$2:$B$660,$B44)</f>
        <v>14097115</v>
      </c>
      <c r="E44" s="16" t="n">
        <f aca="false">SUMIFS('Flat Data'!$I$2:$I$660,'Flat Data'!$A$2:$A$660,$A44,'Flat Data'!$B$2:$B$660,$B44,'Flat Data'!$E$2:$E$660,"0507900002")</f>
        <v>22053</v>
      </c>
      <c r="F44" s="16" t="n">
        <f aca="false">SUMIFS('Flat Data'!$I$2:$I$660,'Flat Data'!$A$2:$A$660,$A44,'Flat Data'!$B$2:$B$660,$B44,'Flat Data'!$E$2:$E$660,"0507900011")</f>
        <v>86314</v>
      </c>
      <c r="G44" s="16" t="n">
        <f aca="false">SUMIFS('Flat Data'!$I$2:$I$660,'Flat Data'!$A$2:$A$660,$A44,'Flat Data'!$B$2:$B$660,$B44,'Flat Data'!$E$2:$E$660,"0507900012")</f>
        <v>10136</v>
      </c>
      <c r="H44" s="16" t="n">
        <f aca="false">SUMIFS('Flat Data'!$I$2:$I$660,'Flat Data'!$A$2:$A$660,$A44,'Flat Data'!$B$2:$B$660,$B44,'Flat Data'!$E$2:$E$660,"0507900015")</f>
        <v>0</v>
      </c>
      <c r="I44" s="16" t="n">
        <f aca="false">SUMIFS('Flat Data'!$I$2:$I$660,'Flat Data'!$A$2:$A$660,$A44,'Flat Data'!$B$2:$B$660,$B44,'Flat Data'!$E$2:$E$660,"0507900038")</f>
        <v>0</v>
      </c>
    </row>
    <row r="45" customFormat="false" ht="15" hidden="false" customHeight="true" outlineLevel="0" collapsed="false">
      <c r="A45" s="20" t="n">
        <v>2022</v>
      </c>
      <c r="B45" s="14" t="n">
        <v>5</v>
      </c>
      <c r="C45" s="16" t="n">
        <f aca="false">SUMIFS('Flat Data'!$I$2:$I$660,'Flat Data'!$A$2:$A$660,$A45,'Flat Data'!$B$2:$B$660,$B45)</f>
        <v>50183</v>
      </c>
      <c r="D45" s="16" t="n">
        <f aca="false">SUMIFS('Flat Data'!$J$2:$J$660,'Flat Data'!$A$2:$A$660,$A45,'Flat Data'!$B$2:$B$660,$B45)</f>
        <v>7120146</v>
      </c>
      <c r="E45" s="16" t="n">
        <f aca="false">SUMIFS('Flat Data'!$I$2:$I$660,'Flat Data'!$A$2:$A$660,$A45,'Flat Data'!$B$2:$B$660,$B45,'Flat Data'!$E$2:$E$660,"0507900002")</f>
        <v>12902</v>
      </c>
      <c r="F45" s="16" t="n">
        <f aca="false">SUMIFS('Flat Data'!$I$2:$I$660,'Flat Data'!$A$2:$A$660,$A45,'Flat Data'!$B$2:$B$660,$B45,'Flat Data'!$E$2:$E$660,"0507900011")</f>
        <v>31450</v>
      </c>
      <c r="G45" s="16" t="n">
        <f aca="false">SUMIFS('Flat Data'!$I$2:$I$660,'Flat Data'!$A$2:$A$660,$A45,'Flat Data'!$B$2:$B$660,$B45,'Flat Data'!$E$2:$E$660,"0507900012")</f>
        <v>5822</v>
      </c>
      <c r="H45" s="16" t="n">
        <f aca="false">SUMIFS('Flat Data'!$I$2:$I$660,'Flat Data'!$A$2:$A$660,$A45,'Flat Data'!$B$2:$B$660,$B45,'Flat Data'!$E$2:$E$660,"0507900015")</f>
        <v>0</v>
      </c>
      <c r="I45" s="16" t="n">
        <f aca="false">SUMIFS('Flat Data'!$I$2:$I$660,'Flat Data'!$A$2:$A$660,$A45,'Flat Data'!$B$2:$B$660,$B45,'Flat Data'!$E$2:$E$660,"0507900038")</f>
        <v>9</v>
      </c>
    </row>
    <row r="46" customFormat="false" ht="15" hidden="false" customHeight="true" outlineLevel="0" collapsed="false">
      <c r="A46" s="20" t="n">
        <v>2022</v>
      </c>
      <c r="B46" s="14" t="n">
        <v>6</v>
      </c>
      <c r="C46" s="16" t="n">
        <f aca="false">SUMIFS('Flat Data'!$I$2:$I$660,'Flat Data'!$A$2:$A$660,$A46,'Flat Data'!$B$2:$B$660,$B46)</f>
        <v>62595</v>
      </c>
      <c r="D46" s="16" t="n">
        <f aca="false">SUMIFS('Flat Data'!$J$2:$J$660,'Flat Data'!$A$2:$A$660,$A46,'Flat Data'!$B$2:$B$660,$B46)</f>
        <v>6920041</v>
      </c>
      <c r="E46" s="16" t="n">
        <f aca="false">SUMIFS('Flat Data'!$I$2:$I$660,'Flat Data'!$A$2:$A$660,$A46,'Flat Data'!$B$2:$B$660,$B46,'Flat Data'!$E$2:$E$660,"0507900002")</f>
        <v>12325</v>
      </c>
      <c r="F46" s="16" t="n">
        <f aca="false">SUMIFS('Flat Data'!$I$2:$I$660,'Flat Data'!$A$2:$A$660,$A46,'Flat Data'!$B$2:$B$660,$B46,'Flat Data'!$E$2:$E$660,"0507900011")</f>
        <v>45638</v>
      </c>
      <c r="G46" s="16" t="n">
        <f aca="false">SUMIFS('Flat Data'!$I$2:$I$660,'Flat Data'!$A$2:$A$660,$A46,'Flat Data'!$B$2:$B$660,$B46,'Flat Data'!$E$2:$E$660,"0507900012")</f>
        <v>4395</v>
      </c>
      <c r="H46" s="16" t="n">
        <f aca="false">SUMIFS('Flat Data'!$I$2:$I$660,'Flat Data'!$A$2:$A$660,$A46,'Flat Data'!$B$2:$B$660,$B46,'Flat Data'!$E$2:$E$660,"0507900015")</f>
        <v>237</v>
      </c>
      <c r="I46" s="16" t="n">
        <f aca="false">SUMIFS('Flat Data'!$I$2:$I$660,'Flat Data'!$A$2:$A$660,$A46,'Flat Data'!$B$2:$B$660,$B46,'Flat Data'!$E$2:$E$660,"0507900038")</f>
        <v>0</v>
      </c>
    </row>
    <row r="47" customFormat="false" ht="15" hidden="false" customHeight="true" outlineLevel="0" collapsed="false">
      <c r="A47" s="20" t="n">
        <v>2022</v>
      </c>
      <c r="B47" s="14" t="n">
        <v>7</v>
      </c>
      <c r="C47" s="16" t="n">
        <f aca="false">SUMIFS('Flat Data'!$I$2:$I$660,'Flat Data'!$A$2:$A$660,$A47,'Flat Data'!$B$2:$B$660,$B47)</f>
        <v>43932</v>
      </c>
      <c r="D47" s="16" t="n">
        <f aca="false">SUMIFS('Flat Data'!$J$2:$J$660,'Flat Data'!$A$2:$A$660,$A47,'Flat Data'!$B$2:$B$660,$B47)</f>
        <v>5306923</v>
      </c>
      <c r="E47" s="16" t="n">
        <f aca="false">SUMIFS('Flat Data'!$I$2:$I$660,'Flat Data'!$A$2:$A$660,$A47,'Flat Data'!$B$2:$B$660,$B47,'Flat Data'!$E$2:$E$660,"0507900002")</f>
        <v>11217</v>
      </c>
      <c r="F47" s="16" t="n">
        <f aca="false">SUMIFS('Flat Data'!$I$2:$I$660,'Flat Data'!$A$2:$A$660,$A47,'Flat Data'!$B$2:$B$660,$B47,'Flat Data'!$E$2:$E$660,"0507900011")</f>
        <v>32715</v>
      </c>
      <c r="G47" s="16" t="n">
        <f aca="false">SUMIFS('Flat Data'!$I$2:$I$660,'Flat Data'!$A$2:$A$660,$A47,'Flat Data'!$B$2:$B$660,$B47,'Flat Data'!$E$2:$E$660,"0507900012")</f>
        <v>0</v>
      </c>
      <c r="H47" s="16" t="n">
        <f aca="false">SUMIFS('Flat Data'!$I$2:$I$660,'Flat Data'!$A$2:$A$660,$A47,'Flat Data'!$B$2:$B$660,$B47,'Flat Data'!$E$2:$E$660,"0507900015")</f>
        <v>0</v>
      </c>
      <c r="I47" s="16" t="n">
        <f aca="false">SUMIFS('Flat Data'!$I$2:$I$660,'Flat Data'!$A$2:$A$660,$A47,'Flat Data'!$B$2:$B$660,$B47,'Flat Data'!$E$2:$E$660,"0507900038")</f>
        <v>0</v>
      </c>
    </row>
    <row r="48" customFormat="false" ht="15" hidden="false" customHeight="true" outlineLevel="0" collapsed="false">
      <c r="A48" s="20" t="n">
        <v>2022</v>
      </c>
      <c r="B48" s="14" t="n">
        <v>8</v>
      </c>
      <c r="C48" s="16" t="n">
        <f aca="false">SUMIFS('Flat Data'!$I$2:$I$660,'Flat Data'!$A$2:$A$660,$A48,'Flat Data'!$B$2:$B$660,$B48)</f>
        <v>19906</v>
      </c>
      <c r="D48" s="16" t="n">
        <f aca="false">SUMIFS('Flat Data'!$J$2:$J$660,'Flat Data'!$A$2:$A$660,$A48,'Flat Data'!$B$2:$B$660,$B48)</f>
        <v>2738221</v>
      </c>
      <c r="E48" s="16" t="n">
        <f aca="false">SUMIFS('Flat Data'!$I$2:$I$660,'Flat Data'!$A$2:$A$660,$A48,'Flat Data'!$B$2:$B$660,$B48,'Flat Data'!$E$2:$E$660,"0507900002")</f>
        <v>3577</v>
      </c>
      <c r="F48" s="16" t="n">
        <f aca="false">SUMIFS('Flat Data'!$I$2:$I$660,'Flat Data'!$A$2:$A$660,$A48,'Flat Data'!$B$2:$B$660,$B48,'Flat Data'!$E$2:$E$660,"0507900011")</f>
        <v>11690</v>
      </c>
      <c r="G48" s="16" t="n">
        <f aca="false">SUMIFS('Flat Data'!$I$2:$I$660,'Flat Data'!$A$2:$A$660,$A48,'Flat Data'!$B$2:$B$660,$B48,'Flat Data'!$E$2:$E$660,"0507900012")</f>
        <v>4570</v>
      </c>
      <c r="H48" s="16" t="n">
        <f aca="false">SUMIFS('Flat Data'!$I$2:$I$660,'Flat Data'!$A$2:$A$660,$A48,'Flat Data'!$B$2:$B$660,$B48,'Flat Data'!$E$2:$E$660,"0507900015")</f>
        <v>0</v>
      </c>
      <c r="I48" s="16" t="n">
        <f aca="false">SUMIFS('Flat Data'!$I$2:$I$660,'Flat Data'!$A$2:$A$660,$A48,'Flat Data'!$B$2:$B$660,$B48,'Flat Data'!$E$2:$E$660,"0507900038")</f>
        <v>69</v>
      </c>
    </row>
    <row r="49" customFormat="false" ht="15" hidden="false" customHeight="true" outlineLevel="0" collapsed="false">
      <c r="A49" s="20" t="n">
        <v>2022</v>
      </c>
      <c r="B49" s="14" t="n">
        <v>9</v>
      </c>
      <c r="C49" s="16" t="n">
        <f aca="false">SUMIFS('Flat Data'!$I$2:$I$660,'Flat Data'!$A$2:$A$660,$A49,'Flat Data'!$B$2:$B$660,$B49)</f>
        <v>10871</v>
      </c>
      <c r="D49" s="16" t="n">
        <f aca="false">SUMIFS('Flat Data'!$J$2:$J$660,'Flat Data'!$A$2:$A$660,$A49,'Flat Data'!$B$2:$B$660,$B49)</f>
        <v>2948962</v>
      </c>
      <c r="E49" s="16" t="n">
        <f aca="false">SUMIFS('Flat Data'!$I$2:$I$660,'Flat Data'!$A$2:$A$660,$A49,'Flat Data'!$B$2:$B$660,$B49,'Flat Data'!$E$2:$E$660,"0507900002")</f>
        <v>1552</v>
      </c>
      <c r="F49" s="16" t="n">
        <f aca="false">SUMIFS('Flat Data'!$I$2:$I$660,'Flat Data'!$A$2:$A$660,$A49,'Flat Data'!$B$2:$B$660,$B49,'Flat Data'!$E$2:$E$660,"0507900011")</f>
        <v>5137</v>
      </c>
      <c r="G49" s="16" t="n">
        <f aca="false">SUMIFS('Flat Data'!$I$2:$I$660,'Flat Data'!$A$2:$A$660,$A49,'Flat Data'!$B$2:$B$660,$B49,'Flat Data'!$E$2:$E$660,"0507900012")</f>
        <v>4181</v>
      </c>
      <c r="H49" s="16" t="n">
        <f aca="false">SUMIFS('Flat Data'!$I$2:$I$660,'Flat Data'!$A$2:$A$660,$A49,'Flat Data'!$B$2:$B$660,$B49,'Flat Data'!$E$2:$E$660,"0507900015")</f>
        <v>0</v>
      </c>
      <c r="I49" s="16" t="n">
        <f aca="false">SUMIFS('Flat Data'!$I$2:$I$660,'Flat Data'!$A$2:$A$660,$A49,'Flat Data'!$B$2:$B$660,$B49,'Flat Data'!$E$2:$E$660,"0507900038")</f>
        <v>1</v>
      </c>
    </row>
    <row r="50" customFormat="false" ht="15" hidden="false" customHeight="true" outlineLevel="0" collapsed="false">
      <c r="A50" s="20" t="n">
        <v>2022</v>
      </c>
      <c r="B50" s="14" t="n">
        <v>10</v>
      </c>
      <c r="C50" s="16" t="n">
        <f aca="false">SUMIFS('Flat Data'!$I$2:$I$660,'Flat Data'!$A$2:$A$660,$A50,'Flat Data'!$B$2:$B$660,$B50)</f>
        <v>21605</v>
      </c>
      <c r="D50" s="16" t="n">
        <f aca="false">SUMIFS('Flat Data'!$J$2:$J$660,'Flat Data'!$A$2:$A$660,$A50,'Flat Data'!$B$2:$B$660,$B50)</f>
        <v>3062754</v>
      </c>
      <c r="E50" s="16" t="n">
        <f aca="false">SUMIFS('Flat Data'!$I$2:$I$660,'Flat Data'!$A$2:$A$660,$A50,'Flat Data'!$B$2:$B$660,$B50,'Flat Data'!$E$2:$E$660,"0507900002")</f>
        <v>10062</v>
      </c>
      <c r="F50" s="16" t="n">
        <f aca="false">SUMIFS('Flat Data'!$I$2:$I$660,'Flat Data'!$A$2:$A$660,$A50,'Flat Data'!$B$2:$B$660,$B50,'Flat Data'!$E$2:$E$660,"0507900011")</f>
        <v>8027</v>
      </c>
      <c r="G50" s="16" t="n">
        <f aca="false">SUMIFS('Flat Data'!$I$2:$I$660,'Flat Data'!$A$2:$A$660,$A50,'Flat Data'!$B$2:$B$660,$B50,'Flat Data'!$E$2:$E$660,"0507900012")</f>
        <v>2486</v>
      </c>
      <c r="H50" s="16" t="n">
        <f aca="false">SUMIFS('Flat Data'!$I$2:$I$660,'Flat Data'!$A$2:$A$660,$A50,'Flat Data'!$B$2:$B$660,$B50,'Flat Data'!$E$2:$E$660,"0507900015")</f>
        <v>1030</v>
      </c>
      <c r="I50" s="16" t="n">
        <f aca="false">SUMIFS('Flat Data'!$I$2:$I$660,'Flat Data'!$A$2:$A$660,$A50,'Flat Data'!$B$2:$B$660,$B50,'Flat Data'!$E$2:$E$660,"0507900038")</f>
        <v>0</v>
      </c>
    </row>
    <row r="51" customFormat="false" ht="15" hidden="false" customHeight="true" outlineLevel="0" collapsed="false">
      <c r="A51" s="20" t="n">
        <v>2022</v>
      </c>
      <c r="B51" s="14" t="n">
        <v>11</v>
      </c>
      <c r="C51" s="16" t="n">
        <f aca="false">SUMIFS('Flat Data'!$I$2:$I$660,'Flat Data'!$A$2:$A$660,$A51,'Flat Data'!$B$2:$B$660,$B51)</f>
        <v>19504</v>
      </c>
      <c r="D51" s="16" t="n">
        <f aca="false">SUMIFS('Flat Data'!$J$2:$J$660,'Flat Data'!$A$2:$A$660,$A51,'Flat Data'!$B$2:$B$660,$B51)</f>
        <v>1962231</v>
      </c>
      <c r="E51" s="16" t="n">
        <f aca="false">SUMIFS('Flat Data'!$I$2:$I$660,'Flat Data'!$A$2:$A$660,$A51,'Flat Data'!$B$2:$B$660,$B51,'Flat Data'!$E$2:$E$660,"0507900002")</f>
        <v>5761</v>
      </c>
      <c r="F51" s="16" t="n">
        <f aca="false">SUMIFS('Flat Data'!$I$2:$I$660,'Flat Data'!$A$2:$A$660,$A51,'Flat Data'!$B$2:$B$660,$B51,'Flat Data'!$E$2:$E$660,"0507900011")</f>
        <v>13570</v>
      </c>
      <c r="G51" s="16" t="n">
        <f aca="false">SUMIFS('Flat Data'!$I$2:$I$660,'Flat Data'!$A$2:$A$660,$A51,'Flat Data'!$B$2:$B$660,$B51,'Flat Data'!$E$2:$E$660,"0507900012")</f>
        <v>173</v>
      </c>
      <c r="H51" s="16" t="n">
        <f aca="false">SUMIFS('Flat Data'!$I$2:$I$660,'Flat Data'!$A$2:$A$660,$A51,'Flat Data'!$B$2:$B$660,$B51,'Flat Data'!$E$2:$E$660,"0507900015")</f>
        <v>0</v>
      </c>
      <c r="I51" s="16" t="n">
        <f aca="false">SUMIFS('Flat Data'!$I$2:$I$660,'Flat Data'!$A$2:$A$660,$A51,'Flat Data'!$B$2:$B$660,$B51,'Flat Data'!$E$2:$E$660,"0507900038")</f>
        <v>0</v>
      </c>
    </row>
    <row r="52" customFormat="false" ht="15" hidden="false" customHeight="true" outlineLevel="0" collapsed="false">
      <c r="A52" s="20" t="n">
        <v>2022</v>
      </c>
      <c r="B52" s="14" t="n">
        <v>12</v>
      </c>
      <c r="C52" s="16" t="n">
        <f aca="false">SUMIFS('Flat Data'!$I$2:$I$660,'Flat Data'!$A$2:$A$660,$A52,'Flat Data'!$B$2:$B$660,$B52)</f>
        <v>75846</v>
      </c>
      <c r="D52" s="16" t="n">
        <f aca="false">SUMIFS('Flat Data'!$J$2:$J$660,'Flat Data'!$A$2:$A$660,$A52,'Flat Data'!$B$2:$B$660,$B52)</f>
        <v>7139568</v>
      </c>
      <c r="E52" s="16" t="n">
        <f aca="false">SUMIFS('Flat Data'!$I$2:$I$660,'Flat Data'!$A$2:$A$660,$A52,'Flat Data'!$B$2:$B$660,$B52,'Flat Data'!$E$2:$E$660,"0507900002")</f>
        <v>11413</v>
      </c>
      <c r="F52" s="16" t="n">
        <f aca="false">SUMIFS('Flat Data'!$I$2:$I$660,'Flat Data'!$A$2:$A$660,$A52,'Flat Data'!$B$2:$B$660,$B52,'Flat Data'!$E$2:$E$660,"0507900011")</f>
        <v>64433</v>
      </c>
      <c r="G52" s="16" t="n">
        <f aca="false">SUMIFS('Flat Data'!$I$2:$I$660,'Flat Data'!$A$2:$A$660,$A52,'Flat Data'!$B$2:$B$660,$B52,'Flat Data'!$E$2:$E$660,"0507900012")</f>
        <v>0</v>
      </c>
      <c r="H52" s="16" t="n">
        <f aca="false">SUMIFS('Flat Data'!$I$2:$I$660,'Flat Data'!$A$2:$A$660,$A52,'Flat Data'!$B$2:$B$660,$B52,'Flat Data'!$E$2:$E$660,"0507900015")</f>
        <v>0</v>
      </c>
      <c r="I52" s="16" t="n">
        <f aca="false">SUMIFS('Flat Data'!$I$2:$I$660,'Flat Data'!$A$2:$A$660,$A52,'Flat Data'!$B$2:$B$660,$B52,'Flat Data'!$E$2:$E$660,"0507900038")</f>
        <v>0</v>
      </c>
    </row>
    <row r="53" customFormat="false" ht="15" hidden="false" customHeight="true" outlineLevel="0" collapsed="false">
      <c r="A53" s="20" t="n">
        <v>2023</v>
      </c>
      <c r="B53" s="14" t="n">
        <v>1</v>
      </c>
      <c r="C53" s="16" t="n">
        <f aca="false">SUMIFS('Flat Data'!$I$2:$I$660,'Flat Data'!$A$2:$A$660,$A53,'Flat Data'!$B$2:$B$660,$B53)</f>
        <v>98719</v>
      </c>
      <c r="D53" s="16" t="n">
        <f aca="false">SUMIFS('Flat Data'!$J$2:$J$660,'Flat Data'!$A$2:$A$660,$A53,'Flat Data'!$B$2:$B$660,$B53)</f>
        <v>10784948</v>
      </c>
      <c r="E53" s="16" t="n">
        <f aca="false">SUMIFS('Flat Data'!$I$2:$I$660,'Flat Data'!$A$2:$A$660,$A53,'Flat Data'!$B$2:$B$660,$B53,'Flat Data'!$E$2:$E$660,"0507900002")</f>
        <v>11073</v>
      </c>
      <c r="F53" s="16" t="n">
        <f aca="false">SUMIFS('Flat Data'!$I$2:$I$660,'Flat Data'!$A$2:$A$660,$A53,'Flat Data'!$B$2:$B$660,$B53,'Flat Data'!$E$2:$E$660,"0507900011")</f>
        <v>83053</v>
      </c>
      <c r="G53" s="16" t="n">
        <f aca="false">SUMIFS('Flat Data'!$I$2:$I$660,'Flat Data'!$A$2:$A$660,$A53,'Flat Data'!$B$2:$B$660,$B53,'Flat Data'!$E$2:$E$660,"0507900012")</f>
        <v>3593</v>
      </c>
      <c r="H53" s="16" t="n">
        <f aca="false">SUMIFS('Flat Data'!$I$2:$I$660,'Flat Data'!$A$2:$A$660,$A53,'Flat Data'!$B$2:$B$660,$B53,'Flat Data'!$E$2:$E$660,"0507900015")</f>
        <v>1000</v>
      </c>
      <c r="I53" s="16" t="n">
        <f aca="false">SUMIFS('Flat Data'!$I$2:$I$660,'Flat Data'!$A$2:$A$660,$A53,'Flat Data'!$B$2:$B$660,$B53,'Flat Data'!$E$2:$E$660,"0507900038")</f>
        <v>0</v>
      </c>
    </row>
    <row r="54" customFormat="false" ht="15" hidden="false" customHeight="true" outlineLevel="0" collapsed="false">
      <c r="A54" s="20" t="n">
        <v>2023</v>
      </c>
      <c r="B54" s="14" t="n">
        <v>2</v>
      </c>
      <c r="C54" s="16" t="n">
        <f aca="false">SUMIFS('Flat Data'!$I$2:$I$660,'Flat Data'!$A$2:$A$660,$A54,'Flat Data'!$B$2:$B$660,$B54)</f>
        <v>137367</v>
      </c>
      <c r="D54" s="16" t="n">
        <f aca="false">SUMIFS('Flat Data'!$J$2:$J$660,'Flat Data'!$A$2:$A$660,$A54,'Flat Data'!$B$2:$B$660,$B54)</f>
        <v>15532793</v>
      </c>
      <c r="E54" s="16" t="n">
        <f aca="false">SUMIFS('Flat Data'!$I$2:$I$660,'Flat Data'!$A$2:$A$660,$A54,'Flat Data'!$B$2:$B$660,$B54,'Flat Data'!$E$2:$E$660,"0507900002")</f>
        <v>26196</v>
      </c>
      <c r="F54" s="16" t="n">
        <f aca="false">SUMIFS('Flat Data'!$I$2:$I$660,'Flat Data'!$A$2:$A$660,$A54,'Flat Data'!$B$2:$B$660,$B54,'Flat Data'!$E$2:$E$660,"0507900011")</f>
        <v>107481</v>
      </c>
      <c r="G54" s="16" t="n">
        <f aca="false">SUMIFS('Flat Data'!$I$2:$I$660,'Flat Data'!$A$2:$A$660,$A54,'Flat Data'!$B$2:$B$660,$B54,'Flat Data'!$E$2:$E$660,"0507900012")</f>
        <v>3662</v>
      </c>
      <c r="H54" s="16" t="n">
        <f aca="false">SUMIFS('Flat Data'!$I$2:$I$660,'Flat Data'!$A$2:$A$660,$A54,'Flat Data'!$B$2:$B$660,$B54,'Flat Data'!$E$2:$E$660,"0507900015")</f>
        <v>28</v>
      </c>
      <c r="I54" s="16" t="n">
        <f aca="false">SUMIFS('Flat Data'!$I$2:$I$660,'Flat Data'!$A$2:$A$660,$A54,'Flat Data'!$B$2:$B$660,$B54,'Flat Data'!$E$2:$E$660,"0507900038")</f>
        <v>0</v>
      </c>
    </row>
    <row r="55" customFormat="false" ht="15" hidden="false" customHeight="true" outlineLevel="0" collapsed="false">
      <c r="A55" s="20" t="n">
        <v>2023</v>
      </c>
      <c r="B55" s="14" t="n">
        <v>3</v>
      </c>
      <c r="C55" s="16" t="n">
        <f aca="false">SUMIFS('Flat Data'!$I$2:$I$660,'Flat Data'!$A$2:$A$660,$A55,'Flat Data'!$B$2:$B$660,$B55)</f>
        <v>157826</v>
      </c>
      <c r="D55" s="16" t="n">
        <f aca="false">SUMIFS('Flat Data'!$J$2:$J$660,'Flat Data'!$A$2:$A$660,$A55,'Flat Data'!$B$2:$B$660,$B55)</f>
        <v>18502741</v>
      </c>
      <c r="E55" s="16" t="n">
        <f aca="false">SUMIFS('Flat Data'!$I$2:$I$660,'Flat Data'!$A$2:$A$660,$A55,'Flat Data'!$B$2:$B$660,$B55,'Flat Data'!$E$2:$E$660,"0507900002")</f>
        <v>17376</v>
      </c>
      <c r="F55" s="16" t="n">
        <f aca="false">SUMIFS('Flat Data'!$I$2:$I$660,'Flat Data'!$A$2:$A$660,$A55,'Flat Data'!$B$2:$B$660,$B55,'Flat Data'!$E$2:$E$660,"0507900011")</f>
        <v>133188</v>
      </c>
      <c r="G55" s="16" t="n">
        <f aca="false">SUMIFS('Flat Data'!$I$2:$I$660,'Flat Data'!$A$2:$A$660,$A55,'Flat Data'!$B$2:$B$660,$B55,'Flat Data'!$E$2:$E$660,"0507900012")</f>
        <v>7262</v>
      </c>
      <c r="H55" s="16" t="n">
        <f aca="false">SUMIFS('Flat Data'!$I$2:$I$660,'Flat Data'!$A$2:$A$660,$A55,'Flat Data'!$B$2:$B$660,$B55,'Flat Data'!$E$2:$E$660,"0507900015")</f>
        <v>0</v>
      </c>
      <c r="I55" s="16" t="n">
        <f aca="false">SUMIFS('Flat Data'!$I$2:$I$660,'Flat Data'!$A$2:$A$660,$A55,'Flat Data'!$B$2:$B$660,$B55,'Flat Data'!$E$2:$E$660,"0507900038")</f>
        <v>0</v>
      </c>
    </row>
    <row r="56" customFormat="false" ht="15" hidden="false" customHeight="true" outlineLevel="0" collapsed="false">
      <c r="A56" s="20" t="n">
        <v>2023</v>
      </c>
      <c r="B56" s="14" t="n">
        <v>4</v>
      </c>
      <c r="C56" s="16" t="n">
        <f aca="false">SUMIFS('Flat Data'!$I$2:$I$660,'Flat Data'!$A$2:$A$660,$A56,'Flat Data'!$B$2:$B$660,$B56)</f>
        <v>162369</v>
      </c>
      <c r="D56" s="16" t="n">
        <f aca="false">SUMIFS('Flat Data'!$J$2:$J$660,'Flat Data'!$A$2:$A$660,$A56,'Flat Data'!$B$2:$B$660,$B56)</f>
        <v>19206830</v>
      </c>
      <c r="E56" s="16" t="n">
        <f aca="false">SUMIFS('Flat Data'!$I$2:$I$660,'Flat Data'!$A$2:$A$660,$A56,'Flat Data'!$B$2:$B$660,$B56,'Flat Data'!$E$2:$E$660,"0507900002")</f>
        <v>13322</v>
      </c>
      <c r="F56" s="16" t="n">
        <f aca="false">SUMIFS('Flat Data'!$I$2:$I$660,'Flat Data'!$A$2:$A$660,$A56,'Flat Data'!$B$2:$B$660,$B56,'Flat Data'!$E$2:$E$660,"0507900011")</f>
        <v>143909</v>
      </c>
      <c r="G56" s="16" t="n">
        <f aca="false">SUMIFS('Flat Data'!$I$2:$I$660,'Flat Data'!$A$2:$A$660,$A56,'Flat Data'!$B$2:$B$660,$B56,'Flat Data'!$E$2:$E$660,"0507900012")</f>
        <v>4128</v>
      </c>
      <c r="H56" s="16" t="n">
        <f aca="false">SUMIFS('Flat Data'!$I$2:$I$660,'Flat Data'!$A$2:$A$660,$A56,'Flat Data'!$B$2:$B$660,$B56,'Flat Data'!$E$2:$E$660,"0507900015")</f>
        <v>1010</v>
      </c>
      <c r="I56" s="16" t="n">
        <f aca="false">SUMIFS('Flat Data'!$I$2:$I$660,'Flat Data'!$A$2:$A$660,$A56,'Flat Data'!$B$2:$B$660,$B56,'Flat Data'!$E$2:$E$660,"0507900038")</f>
        <v>0</v>
      </c>
    </row>
    <row r="57" customFormat="false" ht="15" hidden="false" customHeight="true" outlineLevel="0" collapsed="false">
      <c r="A57" s="20" t="n">
        <v>2023</v>
      </c>
      <c r="B57" s="14" t="n">
        <v>5</v>
      </c>
      <c r="C57" s="16" t="n">
        <f aca="false">SUMIFS('Flat Data'!$I$2:$I$660,'Flat Data'!$A$2:$A$660,$A57,'Flat Data'!$B$2:$B$660,$B57)</f>
        <v>119370</v>
      </c>
      <c r="D57" s="16" t="n">
        <f aca="false">SUMIFS('Flat Data'!$J$2:$J$660,'Flat Data'!$A$2:$A$660,$A57,'Flat Data'!$B$2:$B$660,$B57)</f>
        <v>11363724</v>
      </c>
      <c r="E57" s="16" t="n">
        <f aca="false">SUMIFS('Flat Data'!$I$2:$I$660,'Flat Data'!$A$2:$A$660,$A57,'Flat Data'!$B$2:$B$660,$B57,'Flat Data'!$E$2:$E$660,"0507900002")</f>
        <v>29877</v>
      </c>
      <c r="F57" s="16" t="n">
        <f aca="false">SUMIFS('Flat Data'!$I$2:$I$660,'Flat Data'!$A$2:$A$660,$A57,'Flat Data'!$B$2:$B$660,$B57,'Flat Data'!$E$2:$E$660,"0507900011")</f>
        <v>84376</v>
      </c>
      <c r="G57" s="16" t="n">
        <f aca="false">SUMIFS('Flat Data'!$I$2:$I$660,'Flat Data'!$A$2:$A$660,$A57,'Flat Data'!$B$2:$B$660,$B57,'Flat Data'!$E$2:$E$660,"0507900012")</f>
        <v>4991</v>
      </c>
      <c r="H57" s="16" t="n">
        <f aca="false">SUMIFS('Flat Data'!$I$2:$I$660,'Flat Data'!$A$2:$A$660,$A57,'Flat Data'!$B$2:$B$660,$B57,'Flat Data'!$E$2:$E$660,"0507900015")</f>
        <v>0</v>
      </c>
      <c r="I57" s="16" t="n">
        <f aca="false">SUMIFS('Flat Data'!$I$2:$I$660,'Flat Data'!$A$2:$A$660,$A57,'Flat Data'!$B$2:$B$660,$B57,'Flat Data'!$E$2:$E$660,"0507900038")</f>
        <v>126</v>
      </c>
    </row>
    <row r="58" customFormat="false" ht="15" hidden="false" customHeight="true" outlineLevel="0" collapsed="false">
      <c r="A58" s="20" t="n">
        <v>2023</v>
      </c>
      <c r="B58" s="14" t="n">
        <v>6</v>
      </c>
      <c r="C58" s="16" t="n">
        <f aca="false">SUMIFS('Flat Data'!$I$2:$I$660,'Flat Data'!$A$2:$A$660,$A58,'Flat Data'!$B$2:$B$660,$B58)</f>
        <v>24685</v>
      </c>
      <c r="D58" s="16" t="n">
        <f aca="false">SUMIFS('Flat Data'!$J$2:$J$660,'Flat Data'!$A$2:$A$660,$A58,'Flat Data'!$B$2:$B$660,$B58)</f>
        <v>2909627</v>
      </c>
      <c r="E58" s="16" t="n">
        <f aca="false">SUMIFS('Flat Data'!$I$2:$I$660,'Flat Data'!$A$2:$A$660,$A58,'Flat Data'!$B$2:$B$660,$B58,'Flat Data'!$E$2:$E$660,"0507900002")</f>
        <v>10063</v>
      </c>
      <c r="F58" s="16" t="n">
        <f aca="false">SUMIFS('Flat Data'!$I$2:$I$660,'Flat Data'!$A$2:$A$660,$A58,'Flat Data'!$B$2:$B$660,$B58,'Flat Data'!$E$2:$E$660,"0507900011")</f>
        <v>9937</v>
      </c>
      <c r="G58" s="16" t="n">
        <f aca="false">SUMIFS('Flat Data'!$I$2:$I$660,'Flat Data'!$A$2:$A$660,$A58,'Flat Data'!$B$2:$B$660,$B58,'Flat Data'!$E$2:$E$660,"0507900012")</f>
        <v>4559</v>
      </c>
      <c r="H58" s="16" t="n">
        <f aca="false">SUMIFS('Flat Data'!$I$2:$I$660,'Flat Data'!$A$2:$A$660,$A58,'Flat Data'!$B$2:$B$660,$B58,'Flat Data'!$E$2:$E$660,"0507900015")</f>
        <v>0</v>
      </c>
      <c r="I58" s="16" t="n">
        <f aca="false">SUMIFS('Flat Data'!$I$2:$I$660,'Flat Data'!$A$2:$A$660,$A58,'Flat Data'!$B$2:$B$660,$B58,'Flat Data'!$E$2:$E$660,"0507900038")</f>
        <v>126</v>
      </c>
    </row>
    <row r="59" customFormat="false" ht="15" hidden="false" customHeight="true" outlineLevel="0" collapsed="false">
      <c r="A59" s="20" t="n">
        <v>2023</v>
      </c>
      <c r="B59" s="14" t="n">
        <v>7</v>
      </c>
      <c r="C59" s="16" t="n">
        <f aca="false">SUMIFS('Flat Data'!$I$2:$I$660,'Flat Data'!$A$2:$A$660,$A59,'Flat Data'!$B$2:$B$660,$B59)</f>
        <v>28527</v>
      </c>
      <c r="D59" s="16" t="n">
        <f aca="false">SUMIFS('Flat Data'!$J$2:$J$660,'Flat Data'!$A$2:$A$660,$A59,'Flat Data'!$B$2:$B$660,$B59)</f>
        <v>3807767</v>
      </c>
      <c r="E59" s="16" t="n">
        <f aca="false">SUMIFS('Flat Data'!$I$2:$I$660,'Flat Data'!$A$2:$A$660,$A59,'Flat Data'!$B$2:$B$660,$B59,'Flat Data'!$E$2:$E$660,"0507900002")</f>
        <v>10928</v>
      </c>
      <c r="F59" s="16" t="n">
        <f aca="false">SUMIFS('Flat Data'!$I$2:$I$660,'Flat Data'!$A$2:$A$660,$A59,'Flat Data'!$B$2:$B$660,$B59,'Flat Data'!$E$2:$E$660,"0507900011")</f>
        <v>13494</v>
      </c>
      <c r="G59" s="16" t="n">
        <f aca="false">SUMIFS('Flat Data'!$I$2:$I$660,'Flat Data'!$A$2:$A$660,$A59,'Flat Data'!$B$2:$B$660,$B59,'Flat Data'!$E$2:$E$660,"0507900012")</f>
        <v>4105</v>
      </c>
      <c r="H59" s="16" t="n">
        <f aca="false">SUMIFS('Flat Data'!$I$2:$I$660,'Flat Data'!$A$2:$A$660,$A59,'Flat Data'!$B$2:$B$660,$B59,'Flat Data'!$E$2:$E$660,"0507900015")</f>
        <v>0</v>
      </c>
      <c r="I59" s="16" t="n">
        <f aca="false">SUMIFS('Flat Data'!$I$2:$I$660,'Flat Data'!$A$2:$A$660,$A59,'Flat Data'!$B$2:$B$660,$B59,'Flat Data'!$E$2:$E$660,"0507900038")</f>
        <v>0</v>
      </c>
    </row>
    <row r="60" customFormat="false" ht="15" hidden="false" customHeight="true" outlineLevel="0" collapsed="false">
      <c r="A60" s="20" t="n">
        <v>2023</v>
      </c>
      <c r="B60" s="14" t="n">
        <v>8</v>
      </c>
      <c r="C60" s="16" t="n">
        <f aca="false">SUMIFS('Flat Data'!$I$2:$I$660,'Flat Data'!$A$2:$A$660,$A60,'Flat Data'!$B$2:$B$660,$B60)</f>
        <v>11979</v>
      </c>
      <c r="D60" s="16" t="n">
        <f aca="false">SUMIFS('Flat Data'!$J$2:$J$660,'Flat Data'!$A$2:$A$660,$A60,'Flat Data'!$B$2:$B$660,$B60)</f>
        <v>2568736</v>
      </c>
      <c r="E60" s="16" t="n">
        <f aca="false">SUMIFS('Flat Data'!$I$2:$I$660,'Flat Data'!$A$2:$A$660,$A60,'Flat Data'!$B$2:$B$660,$B60,'Flat Data'!$E$2:$E$660,"0507900002")</f>
        <v>5701</v>
      </c>
      <c r="F60" s="16" t="n">
        <f aca="false">SUMIFS('Flat Data'!$I$2:$I$660,'Flat Data'!$A$2:$A$660,$A60,'Flat Data'!$B$2:$B$660,$B60,'Flat Data'!$E$2:$E$660,"0507900011")</f>
        <v>500</v>
      </c>
      <c r="G60" s="16" t="n">
        <f aca="false">SUMIFS('Flat Data'!$I$2:$I$660,'Flat Data'!$A$2:$A$660,$A60,'Flat Data'!$B$2:$B$660,$B60,'Flat Data'!$E$2:$E$660,"0507900012")</f>
        <v>5732</v>
      </c>
      <c r="H60" s="16" t="n">
        <f aca="false">SUMIFS('Flat Data'!$I$2:$I$660,'Flat Data'!$A$2:$A$660,$A60,'Flat Data'!$B$2:$B$660,$B60,'Flat Data'!$E$2:$E$660,"0507900015")</f>
        <v>41</v>
      </c>
      <c r="I60" s="16" t="n">
        <f aca="false">SUMIFS('Flat Data'!$I$2:$I$660,'Flat Data'!$A$2:$A$660,$A60,'Flat Data'!$B$2:$B$660,$B60,'Flat Data'!$E$2:$E$660,"0507900038")</f>
        <v>5</v>
      </c>
    </row>
    <row r="61" customFormat="false" ht="15" hidden="false" customHeight="true" outlineLevel="0" collapsed="false">
      <c r="A61" s="20" t="n">
        <v>2023</v>
      </c>
      <c r="B61" s="14" t="n">
        <v>9</v>
      </c>
      <c r="C61" s="16" t="n">
        <f aca="false">SUMIFS('Flat Data'!$I$2:$I$660,'Flat Data'!$A$2:$A$660,$A61,'Flat Data'!$B$2:$B$660,$B61)</f>
        <v>9457</v>
      </c>
      <c r="D61" s="16" t="n">
        <f aca="false">SUMIFS('Flat Data'!$J$2:$J$660,'Flat Data'!$A$2:$A$660,$A61,'Flat Data'!$B$2:$B$660,$B61)</f>
        <v>2036855</v>
      </c>
      <c r="E61" s="16" t="n">
        <f aca="false">SUMIFS('Flat Data'!$I$2:$I$660,'Flat Data'!$A$2:$A$660,$A61,'Flat Data'!$B$2:$B$660,$B61,'Flat Data'!$E$2:$E$660,"0507900002")</f>
        <v>0</v>
      </c>
      <c r="F61" s="16" t="n">
        <f aca="false">SUMIFS('Flat Data'!$I$2:$I$660,'Flat Data'!$A$2:$A$660,$A61,'Flat Data'!$B$2:$B$660,$B61,'Flat Data'!$E$2:$E$660,"0507900011")</f>
        <v>5079</v>
      </c>
      <c r="G61" s="16" t="n">
        <f aca="false">SUMIFS('Flat Data'!$I$2:$I$660,'Flat Data'!$A$2:$A$660,$A61,'Flat Data'!$B$2:$B$660,$B61,'Flat Data'!$E$2:$E$660,"0507900012")</f>
        <v>4378</v>
      </c>
      <c r="H61" s="16" t="n">
        <f aca="false">SUMIFS('Flat Data'!$I$2:$I$660,'Flat Data'!$A$2:$A$660,$A61,'Flat Data'!$B$2:$B$660,$B61,'Flat Data'!$E$2:$E$660,"0507900015")</f>
        <v>0</v>
      </c>
      <c r="I61" s="16" t="n">
        <f aca="false">SUMIFS('Flat Data'!$I$2:$I$660,'Flat Data'!$A$2:$A$660,$A61,'Flat Data'!$B$2:$B$660,$B61,'Flat Data'!$E$2:$E$660,"0507900038")</f>
        <v>0</v>
      </c>
    </row>
    <row r="62" customFormat="false" ht="15" hidden="false" customHeight="true" outlineLevel="0" collapsed="false">
      <c r="A62" s="20" t="n">
        <v>2023</v>
      </c>
      <c r="B62" s="14" t="n">
        <v>10</v>
      </c>
      <c r="C62" s="16" t="n">
        <f aca="false">SUMIFS('Flat Data'!$I$2:$I$660,'Flat Data'!$A$2:$A$660,$A62,'Flat Data'!$B$2:$B$660,$B62)</f>
        <v>8806</v>
      </c>
      <c r="D62" s="16" t="n">
        <f aca="false">SUMIFS('Flat Data'!$J$2:$J$660,'Flat Data'!$A$2:$A$660,$A62,'Flat Data'!$B$2:$B$660,$B62)</f>
        <v>1863718</v>
      </c>
      <c r="E62" s="16" t="n">
        <f aca="false">SUMIFS('Flat Data'!$I$2:$I$660,'Flat Data'!$A$2:$A$660,$A62,'Flat Data'!$B$2:$B$660,$B62,'Flat Data'!$E$2:$E$660,"0507900002")</f>
        <v>1716</v>
      </c>
      <c r="F62" s="16" t="n">
        <f aca="false">SUMIFS('Flat Data'!$I$2:$I$660,'Flat Data'!$A$2:$A$660,$A62,'Flat Data'!$B$2:$B$660,$B62,'Flat Data'!$E$2:$E$660,"0507900011")</f>
        <v>3656</v>
      </c>
      <c r="G62" s="16" t="n">
        <f aca="false">SUMIFS('Flat Data'!$I$2:$I$660,'Flat Data'!$A$2:$A$660,$A62,'Flat Data'!$B$2:$B$660,$B62,'Flat Data'!$E$2:$E$660,"0507900012")</f>
        <v>2928</v>
      </c>
      <c r="H62" s="16" t="n">
        <f aca="false">SUMIFS('Flat Data'!$I$2:$I$660,'Flat Data'!$A$2:$A$660,$A62,'Flat Data'!$B$2:$B$660,$B62,'Flat Data'!$E$2:$E$660,"0507900015")</f>
        <v>6</v>
      </c>
      <c r="I62" s="16" t="n">
        <f aca="false">SUMIFS('Flat Data'!$I$2:$I$660,'Flat Data'!$A$2:$A$660,$A62,'Flat Data'!$B$2:$B$660,$B62,'Flat Data'!$E$2:$E$660,"0507900038")</f>
        <v>500</v>
      </c>
    </row>
    <row r="63" customFormat="false" ht="15" hidden="false" customHeight="true" outlineLevel="0" collapsed="false">
      <c r="A63" s="20" t="n">
        <v>2023</v>
      </c>
      <c r="B63" s="14" t="n">
        <v>11</v>
      </c>
      <c r="C63" s="16" t="n">
        <f aca="false">SUMIFS('Flat Data'!$I$2:$I$660,'Flat Data'!$A$2:$A$660,$A63,'Flat Data'!$B$2:$B$660,$B63)</f>
        <v>94043</v>
      </c>
      <c r="D63" s="16" t="n">
        <f aca="false">SUMIFS('Flat Data'!$J$2:$J$660,'Flat Data'!$A$2:$A$660,$A63,'Flat Data'!$B$2:$B$660,$B63)</f>
        <v>10098737</v>
      </c>
      <c r="E63" s="16" t="n">
        <f aca="false">SUMIFS('Flat Data'!$I$2:$I$660,'Flat Data'!$A$2:$A$660,$A63,'Flat Data'!$B$2:$B$660,$B63,'Flat Data'!$E$2:$E$660,"0507900002")</f>
        <v>39302</v>
      </c>
      <c r="F63" s="16" t="n">
        <f aca="false">SUMIFS('Flat Data'!$I$2:$I$660,'Flat Data'!$A$2:$A$660,$A63,'Flat Data'!$B$2:$B$660,$B63,'Flat Data'!$E$2:$E$660,"0507900011")</f>
        <v>50450</v>
      </c>
      <c r="G63" s="16" t="n">
        <f aca="false">SUMIFS('Flat Data'!$I$2:$I$660,'Flat Data'!$A$2:$A$660,$A63,'Flat Data'!$B$2:$B$660,$B63,'Flat Data'!$E$2:$E$660,"0507900012")</f>
        <v>4266</v>
      </c>
      <c r="H63" s="16" t="n">
        <f aca="false">SUMIFS('Flat Data'!$I$2:$I$660,'Flat Data'!$A$2:$A$660,$A63,'Flat Data'!$B$2:$B$660,$B63,'Flat Data'!$E$2:$E$660,"0507900015")</f>
        <v>0</v>
      </c>
      <c r="I63" s="16" t="n">
        <f aca="false">SUMIFS('Flat Data'!$I$2:$I$660,'Flat Data'!$A$2:$A$660,$A63,'Flat Data'!$B$2:$B$660,$B63,'Flat Data'!$E$2:$E$660,"0507900038")</f>
        <v>25</v>
      </c>
    </row>
    <row r="64" customFormat="false" ht="15" hidden="false" customHeight="true" outlineLevel="0" collapsed="false">
      <c r="A64" s="20" t="n">
        <v>2023</v>
      </c>
      <c r="B64" s="14" t="n">
        <v>12</v>
      </c>
      <c r="C64" s="16" t="n">
        <f aca="false">SUMIFS('Flat Data'!$I$2:$I$660,'Flat Data'!$A$2:$A$660,$A64,'Flat Data'!$B$2:$B$660,$B64)</f>
        <v>261931</v>
      </c>
      <c r="D64" s="16" t="n">
        <f aca="false">SUMIFS('Flat Data'!$J$2:$J$660,'Flat Data'!$A$2:$A$660,$A64,'Flat Data'!$B$2:$B$660,$B64)</f>
        <v>25106139</v>
      </c>
      <c r="E64" s="16" t="n">
        <f aca="false">SUMIFS('Flat Data'!$I$2:$I$660,'Flat Data'!$A$2:$A$660,$A64,'Flat Data'!$B$2:$B$660,$B64,'Flat Data'!$E$2:$E$660,"0507900002")</f>
        <v>86156</v>
      </c>
      <c r="F64" s="16" t="n">
        <f aca="false">SUMIFS('Flat Data'!$I$2:$I$660,'Flat Data'!$A$2:$A$660,$A64,'Flat Data'!$B$2:$B$660,$B64,'Flat Data'!$E$2:$E$660,"0507900011")</f>
        <v>175775</v>
      </c>
      <c r="G64" s="16" t="n">
        <f aca="false">SUMIFS('Flat Data'!$I$2:$I$660,'Flat Data'!$A$2:$A$660,$A64,'Flat Data'!$B$2:$B$660,$B64,'Flat Data'!$E$2:$E$660,"0507900012")</f>
        <v>0</v>
      </c>
      <c r="H64" s="16" t="n">
        <f aca="false">SUMIFS('Flat Data'!$I$2:$I$660,'Flat Data'!$A$2:$A$660,$A64,'Flat Data'!$B$2:$B$660,$B64,'Flat Data'!$E$2:$E$660,"0507900015")</f>
        <v>0</v>
      </c>
      <c r="I64" s="16" t="n">
        <f aca="false">SUMIFS('Flat Data'!$I$2:$I$660,'Flat Data'!$A$2:$A$660,$A64,'Flat Data'!$B$2:$B$660,$B64,'Flat Data'!$E$2:$E$660,"0507900038")</f>
        <v>0</v>
      </c>
    </row>
    <row r="65" customFormat="false" ht="15" hidden="false" customHeight="true" outlineLevel="0" collapsed="false">
      <c r="A65" s="20" t="n">
        <v>2024</v>
      </c>
      <c r="B65" s="14" t="n">
        <v>1</v>
      </c>
      <c r="C65" s="16" t="n">
        <f aca="false">SUMIFS('Flat Data'!$I$2:$I$660,'Flat Data'!$A$2:$A$660,$A65,'Flat Data'!$B$2:$B$660,$B65)</f>
        <v>91659</v>
      </c>
      <c r="D65" s="16" t="n">
        <f aca="false">SUMIFS('Flat Data'!$J$2:$J$660,'Flat Data'!$A$2:$A$660,$A65,'Flat Data'!$B$2:$B$660,$B65)</f>
        <v>11486169</v>
      </c>
      <c r="E65" s="16" t="n">
        <f aca="false">SUMIFS('Flat Data'!$I$2:$I$660,'Flat Data'!$A$2:$A$660,$A65,'Flat Data'!$B$2:$B$660,$B65,'Flat Data'!$E$2:$E$660,"0507900002")</f>
        <v>11068</v>
      </c>
      <c r="F65" s="16" t="n">
        <f aca="false">SUMIFS('Flat Data'!$I$2:$I$660,'Flat Data'!$A$2:$A$660,$A65,'Flat Data'!$B$2:$B$660,$B65,'Flat Data'!$E$2:$E$660,"0507900011")</f>
        <v>74033</v>
      </c>
      <c r="G65" s="16" t="n">
        <f aca="false">SUMIFS('Flat Data'!$I$2:$I$660,'Flat Data'!$A$2:$A$660,$A65,'Flat Data'!$B$2:$B$660,$B65,'Flat Data'!$E$2:$E$660,"0507900012")</f>
        <v>6548</v>
      </c>
      <c r="H65" s="16" t="n">
        <f aca="false">SUMIFS('Flat Data'!$I$2:$I$660,'Flat Data'!$A$2:$A$660,$A65,'Flat Data'!$B$2:$B$660,$B65,'Flat Data'!$E$2:$E$660,"0507900015")</f>
        <v>0</v>
      </c>
      <c r="I65" s="16" t="n">
        <f aca="false">SUMIFS('Flat Data'!$I$2:$I$660,'Flat Data'!$A$2:$A$660,$A65,'Flat Data'!$B$2:$B$660,$B65,'Flat Data'!$E$2:$E$660,"0507900038")</f>
        <v>10</v>
      </c>
    </row>
    <row r="66" customFormat="false" ht="15" hidden="false" customHeight="true" outlineLevel="0" collapsed="false">
      <c r="A66" s="20" t="n">
        <v>2024</v>
      </c>
      <c r="B66" s="14" t="n">
        <v>2</v>
      </c>
      <c r="C66" s="16" t="n">
        <f aca="false">SUMIFS('Flat Data'!$I$2:$I$660,'Flat Data'!$A$2:$A$660,$A66,'Flat Data'!$B$2:$B$660,$B66)</f>
        <v>270431</v>
      </c>
      <c r="D66" s="16" t="n">
        <f aca="false">SUMIFS('Flat Data'!$J$2:$J$660,'Flat Data'!$A$2:$A$660,$A66,'Flat Data'!$B$2:$B$660,$B66)</f>
        <v>29614555</v>
      </c>
      <c r="E66" s="16" t="n">
        <f aca="false">SUMIFS('Flat Data'!$I$2:$I$660,'Flat Data'!$A$2:$A$660,$A66,'Flat Data'!$B$2:$B$660,$B66,'Flat Data'!$E$2:$E$660,"0507900002")</f>
        <v>61328</v>
      </c>
      <c r="F66" s="16" t="n">
        <f aca="false">SUMIFS('Flat Data'!$I$2:$I$660,'Flat Data'!$A$2:$A$660,$A66,'Flat Data'!$B$2:$B$660,$B66,'Flat Data'!$E$2:$E$660,"0507900011")</f>
        <v>207263</v>
      </c>
      <c r="G66" s="16" t="n">
        <f aca="false">SUMIFS('Flat Data'!$I$2:$I$660,'Flat Data'!$A$2:$A$660,$A66,'Flat Data'!$B$2:$B$660,$B66,'Flat Data'!$E$2:$E$660,"0507900012")</f>
        <v>1640</v>
      </c>
      <c r="H66" s="16" t="n">
        <f aca="false">SUMIFS('Flat Data'!$I$2:$I$660,'Flat Data'!$A$2:$A$660,$A66,'Flat Data'!$B$2:$B$660,$B66,'Flat Data'!$E$2:$E$660,"0507900015")</f>
        <v>200</v>
      </c>
      <c r="I66" s="16" t="n">
        <f aca="false">SUMIFS('Flat Data'!$I$2:$I$660,'Flat Data'!$A$2:$A$660,$A66,'Flat Data'!$B$2:$B$660,$B66,'Flat Data'!$E$2:$E$660,"0507900038")</f>
        <v>0</v>
      </c>
    </row>
    <row r="67" customFormat="false" ht="15" hidden="false" customHeight="true" outlineLevel="0" collapsed="false">
      <c r="A67" s="20" t="n">
        <v>2024</v>
      </c>
      <c r="B67" s="14" t="n">
        <v>3</v>
      </c>
      <c r="C67" s="16" t="n">
        <f aca="false">SUMIFS('Flat Data'!$I$2:$I$660,'Flat Data'!$A$2:$A$660,$A67,'Flat Data'!$B$2:$B$660,$B67)</f>
        <v>207063</v>
      </c>
      <c r="D67" s="16" t="n">
        <f aca="false">SUMIFS('Flat Data'!$J$2:$J$660,'Flat Data'!$A$2:$A$660,$A67,'Flat Data'!$B$2:$B$660,$B67)</f>
        <v>18116921</v>
      </c>
      <c r="E67" s="16" t="n">
        <f aca="false">SUMIFS('Flat Data'!$I$2:$I$660,'Flat Data'!$A$2:$A$660,$A67,'Flat Data'!$B$2:$B$660,$B67,'Flat Data'!$E$2:$E$660,"0507900002")</f>
        <v>33552</v>
      </c>
      <c r="F67" s="16" t="n">
        <f aca="false">SUMIFS('Flat Data'!$I$2:$I$660,'Flat Data'!$A$2:$A$660,$A67,'Flat Data'!$B$2:$B$660,$B67,'Flat Data'!$E$2:$E$660,"0507900011")</f>
        <v>168823</v>
      </c>
      <c r="G67" s="16" t="n">
        <f aca="false">SUMIFS('Flat Data'!$I$2:$I$660,'Flat Data'!$A$2:$A$660,$A67,'Flat Data'!$B$2:$B$660,$B67,'Flat Data'!$E$2:$E$660,"0507900012")</f>
        <v>4688</v>
      </c>
      <c r="H67" s="16" t="n">
        <f aca="false">SUMIFS('Flat Data'!$I$2:$I$660,'Flat Data'!$A$2:$A$660,$A67,'Flat Data'!$B$2:$B$660,$B67,'Flat Data'!$E$2:$E$660,"0507900015")</f>
        <v>0</v>
      </c>
      <c r="I67" s="16" t="n">
        <f aca="false">SUMIFS('Flat Data'!$I$2:$I$660,'Flat Data'!$A$2:$A$660,$A67,'Flat Data'!$B$2:$B$660,$B67,'Flat Data'!$E$2:$E$660,"0507900038")</f>
        <v>0</v>
      </c>
    </row>
    <row r="68" customFormat="false" ht="15" hidden="false" customHeight="true" outlineLevel="0" collapsed="false">
      <c r="A68" s="20" t="n">
        <v>2024</v>
      </c>
      <c r="B68" s="14" t="n">
        <v>4</v>
      </c>
      <c r="C68" s="16" t="n">
        <f aca="false">SUMIFS('Flat Data'!$I$2:$I$660,'Flat Data'!$A$2:$A$660,$A68,'Flat Data'!$B$2:$B$660,$B68)</f>
        <v>24501</v>
      </c>
      <c r="D68" s="16" t="n">
        <f aca="false">SUMIFS('Flat Data'!$J$2:$J$660,'Flat Data'!$A$2:$A$660,$A68,'Flat Data'!$B$2:$B$660,$B68)</f>
        <v>2598806</v>
      </c>
      <c r="E68" s="16" t="n">
        <f aca="false">SUMIFS('Flat Data'!$I$2:$I$660,'Flat Data'!$A$2:$A$660,$A68,'Flat Data'!$B$2:$B$660,$B68,'Flat Data'!$E$2:$E$660,"0507900002")</f>
        <v>1335</v>
      </c>
      <c r="F68" s="16" t="n">
        <f aca="false">SUMIFS('Flat Data'!$I$2:$I$660,'Flat Data'!$A$2:$A$660,$A68,'Flat Data'!$B$2:$B$660,$B68,'Flat Data'!$E$2:$E$660,"0507900011")</f>
        <v>20664</v>
      </c>
      <c r="G68" s="16" t="n">
        <f aca="false">SUMIFS('Flat Data'!$I$2:$I$660,'Flat Data'!$A$2:$A$660,$A68,'Flat Data'!$B$2:$B$660,$B68,'Flat Data'!$E$2:$E$660,"0507900012")</f>
        <v>2469</v>
      </c>
      <c r="H68" s="16" t="n">
        <f aca="false">SUMIFS('Flat Data'!$I$2:$I$660,'Flat Data'!$A$2:$A$660,$A68,'Flat Data'!$B$2:$B$660,$B68,'Flat Data'!$E$2:$E$660,"0507900015")</f>
        <v>0</v>
      </c>
      <c r="I68" s="16" t="n">
        <f aca="false">SUMIFS('Flat Data'!$I$2:$I$660,'Flat Data'!$A$2:$A$660,$A68,'Flat Data'!$B$2:$B$660,$B68,'Flat Data'!$E$2:$E$660,"0507900038")</f>
        <v>33</v>
      </c>
    </row>
    <row r="69" customFormat="false" ht="15" hidden="false" customHeight="true" outlineLevel="0" collapsed="false">
      <c r="A69" s="20" t="n">
        <v>2024</v>
      </c>
      <c r="B69" s="14" t="n">
        <v>5</v>
      </c>
      <c r="C69" s="16" t="n">
        <f aca="false">SUMIFS('Flat Data'!$I$2:$I$660,'Flat Data'!$A$2:$A$660,$A69,'Flat Data'!$B$2:$B$660,$B69)</f>
        <v>13420</v>
      </c>
      <c r="D69" s="16" t="n">
        <f aca="false">SUMIFS('Flat Data'!$J$2:$J$660,'Flat Data'!$A$2:$A$660,$A69,'Flat Data'!$B$2:$B$660,$B69)</f>
        <v>1708097</v>
      </c>
      <c r="E69" s="16" t="n">
        <f aca="false">SUMIFS('Flat Data'!$I$2:$I$660,'Flat Data'!$A$2:$A$660,$A69,'Flat Data'!$B$2:$B$660,$B69,'Flat Data'!$E$2:$E$660,"0507900002")</f>
        <v>5355</v>
      </c>
      <c r="F69" s="16" t="n">
        <f aca="false">SUMIFS('Flat Data'!$I$2:$I$660,'Flat Data'!$A$2:$A$660,$A69,'Flat Data'!$B$2:$B$660,$B69,'Flat Data'!$E$2:$E$660,"0507900011")</f>
        <v>4723</v>
      </c>
      <c r="G69" s="16" t="n">
        <f aca="false">SUMIFS('Flat Data'!$I$2:$I$660,'Flat Data'!$A$2:$A$660,$A69,'Flat Data'!$B$2:$B$660,$B69,'Flat Data'!$E$2:$E$660,"0507900012")</f>
        <v>3342</v>
      </c>
      <c r="H69" s="16" t="n">
        <f aca="false">SUMIFS('Flat Data'!$I$2:$I$660,'Flat Data'!$A$2:$A$660,$A69,'Flat Data'!$B$2:$B$660,$B69,'Flat Data'!$E$2:$E$660,"0507900015")</f>
        <v>0</v>
      </c>
      <c r="I69" s="16" t="n">
        <f aca="false">SUMIFS('Flat Data'!$I$2:$I$660,'Flat Data'!$A$2:$A$660,$A69,'Flat Data'!$B$2:$B$660,$B69,'Flat Data'!$E$2:$E$660,"0507900038")</f>
        <v>0</v>
      </c>
    </row>
    <row r="70" customFormat="false" ht="15" hidden="false" customHeight="true" outlineLevel="0" collapsed="false">
      <c r="A70" s="20" t="n">
        <v>2024</v>
      </c>
      <c r="B70" s="14" t="n">
        <v>6</v>
      </c>
      <c r="C70" s="16" t="n">
        <f aca="false">SUMIFS('Flat Data'!$I$2:$I$660,'Flat Data'!$A$2:$A$660,$A70,'Flat Data'!$B$2:$B$660,$B70)</f>
        <v>13107</v>
      </c>
      <c r="D70" s="16" t="n">
        <f aca="false">SUMIFS('Flat Data'!$J$2:$J$660,'Flat Data'!$A$2:$A$660,$A70,'Flat Data'!$B$2:$B$660,$B70)</f>
        <v>771043</v>
      </c>
      <c r="E70" s="16" t="n">
        <f aca="false">SUMIFS('Flat Data'!$I$2:$I$660,'Flat Data'!$A$2:$A$660,$A70,'Flat Data'!$B$2:$B$660,$B70,'Flat Data'!$E$2:$E$660,"0507900002")</f>
        <v>7513</v>
      </c>
      <c r="F70" s="16" t="n">
        <f aca="false">SUMIFS('Flat Data'!$I$2:$I$660,'Flat Data'!$A$2:$A$660,$A70,'Flat Data'!$B$2:$B$660,$B70,'Flat Data'!$E$2:$E$660,"0507900011")</f>
        <v>5535</v>
      </c>
      <c r="G70" s="16" t="n">
        <f aca="false">SUMIFS('Flat Data'!$I$2:$I$660,'Flat Data'!$A$2:$A$660,$A70,'Flat Data'!$B$2:$B$660,$B70,'Flat Data'!$E$2:$E$660,"0507900012")</f>
        <v>0</v>
      </c>
      <c r="H70" s="16" t="n">
        <f aca="false">SUMIFS('Flat Data'!$I$2:$I$660,'Flat Data'!$A$2:$A$660,$A70,'Flat Data'!$B$2:$B$660,$B70,'Flat Data'!$E$2:$E$660,"0507900015")</f>
        <v>8</v>
      </c>
      <c r="I70" s="16" t="n">
        <f aca="false">SUMIFS('Flat Data'!$I$2:$I$660,'Flat Data'!$A$2:$A$660,$A70,'Flat Data'!$B$2:$B$660,$B70,'Flat Data'!$E$2:$E$660,"0507900038")</f>
        <v>51</v>
      </c>
    </row>
    <row r="71" customFormat="false" ht="15" hidden="false" customHeight="true" outlineLevel="0" collapsed="false">
      <c r="A71" s="20" t="n">
        <v>2024</v>
      </c>
      <c r="B71" s="14" t="n">
        <v>7</v>
      </c>
      <c r="C71" s="16" t="n">
        <f aca="false">SUMIFS('Flat Data'!$I$2:$I$660,'Flat Data'!$A$2:$A$660,$A71,'Flat Data'!$B$2:$B$660,$B71)</f>
        <v>7306</v>
      </c>
      <c r="D71" s="16" t="n">
        <f aca="false">SUMIFS('Flat Data'!$J$2:$J$660,'Flat Data'!$A$2:$A$660,$A71,'Flat Data'!$B$2:$B$660,$B71)</f>
        <v>2030051</v>
      </c>
      <c r="E71" s="16" t="n">
        <f aca="false">SUMIFS('Flat Data'!$I$2:$I$660,'Flat Data'!$A$2:$A$660,$A71,'Flat Data'!$B$2:$B$660,$B71,'Flat Data'!$E$2:$E$660,"0507900002")</f>
        <v>0</v>
      </c>
      <c r="F71" s="16" t="n">
        <f aca="false">SUMIFS('Flat Data'!$I$2:$I$660,'Flat Data'!$A$2:$A$660,$A71,'Flat Data'!$B$2:$B$660,$B71,'Flat Data'!$E$2:$E$660,"0507900011")</f>
        <v>970</v>
      </c>
      <c r="G71" s="16" t="n">
        <f aca="false">SUMIFS('Flat Data'!$I$2:$I$660,'Flat Data'!$A$2:$A$660,$A71,'Flat Data'!$B$2:$B$660,$B71,'Flat Data'!$E$2:$E$660,"0507900012")</f>
        <v>3166</v>
      </c>
      <c r="H71" s="16" t="n">
        <f aca="false">SUMIFS('Flat Data'!$I$2:$I$660,'Flat Data'!$A$2:$A$660,$A71,'Flat Data'!$B$2:$B$660,$B71,'Flat Data'!$E$2:$E$660,"0507900015")</f>
        <v>280</v>
      </c>
      <c r="I71" s="16" t="n">
        <f aca="false">SUMIFS('Flat Data'!$I$2:$I$660,'Flat Data'!$A$2:$A$660,$A71,'Flat Data'!$B$2:$B$660,$B71,'Flat Data'!$E$2:$E$660,"0507900038")</f>
        <v>2890</v>
      </c>
    </row>
    <row r="72" customFormat="false" ht="15" hidden="false" customHeight="true" outlineLevel="0" collapsed="false">
      <c r="A72" s="20" t="n">
        <v>2024</v>
      </c>
      <c r="B72" s="14" t="n">
        <v>8</v>
      </c>
      <c r="C72" s="16" t="n">
        <f aca="false">SUMIFS('Flat Data'!$I$2:$I$660,'Flat Data'!$A$2:$A$660,$A72,'Flat Data'!$B$2:$B$660,$B72)</f>
        <v>3331</v>
      </c>
      <c r="D72" s="16" t="n">
        <f aca="false">SUMIFS('Flat Data'!$J$2:$J$660,'Flat Data'!$A$2:$A$660,$A72,'Flat Data'!$B$2:$B$660,$B72)</f>
        <v>321671</v>
      </c>
      <c r="E72" s="16" t="n">
        <f aca="false">SUMIFS('Flat Data'!$I$2:$I$660,'Flat Data'!$A$2:$A$660,$A72,'Flat Data'!$B$2:$B$660,$B72,'Flat Data'!$E$2:$E$660,"0507900002")</f>
        <v>324</v>
      </c>
      <c r="F72" s="16" t="n">
        <f aca="false">SUMIFS('Flat Data'!$I$2:$I$660,'Flat Data'!$A$2:$A$660,$A72,'Flat Data'!$B$2:$B$660,$B72,'Flat Data'!$E$2:$E$660,"0507900011")</f>
        <v>3002</v>
      </c>
      <c r="G72" s="16" t="n">
        <f aca="false">SUMIFS('Flat Data'!$I$2:$I$660,'Flat Data'!$A$2:$A$660,$A72,'Flat Data'!$B$2:$B$660,$B72,'Flat Data'!$E$2:$E$660,"0507900012")</f>
        <v>5</v>
      </c>
      <c r="H72" s="16" t="n">
        <f aca="false">SUMIFS('Flat Data'!$I$2:$I$660,'Flat Data'!$A$2:$A$660,$A72,'Flat Data'!$B$2:$B$660,$B72,'Flat Data'!$E$2:$E$660,"0507900015")</f>
        <v>0</v>
      </c>
      <c r="I72" s="16" t="n">
        <f aca="false">SUMIFS('Flat Data'!$I$2:$I$660,'Flat Data'!$A$2:$A$660,$A72,'Flat Data'!$B$2:$B$660,$B72,'Flat Data'!$E$2:$E$660,"0507900038")</f>
        <v>0</v>
      </c>
    </row>
    <row r="73" customFormat="false" ht="15" hidden="false" customHeight="true" outlineLevel="0" collapsed="false">
      <c r="A73" s="20" t="n">
        <v>2024</v>
      </c>
      <c r="B73" s="14" t="n">
        <v>9</v>
      </c>
      <c r="C73" s="16" t="n">
        <f aca="false">SUMIFS('Flat Data'!$I$2:$I$660,'Flat Data'!$A$2:$A$660,$A73,'Flat Data'!$B$2:$B$660,$B73)</f>
        <v>1204</v>
      </c>
      <c r="D73" s="16" t="n">
        <f aca="false">SUMIFS('Flat Data'!$J$2:$J$660,'Flat Data'!$A$2:$A$660,$A73,'Flat Data'!$B$2:$B$660,$B73)</f>
        <v>69651</v>
      </c>
      <c r="E73" s="16" t="n">
        <f aca="false">SUMIFS('Flat Data'!$I$2:$I$660,'Flat Data'!$A$2:$A$660,$A73,'Flat Data'!$B$2:$B$660,$B73,'Flat Data'!$E$2:$E$660,"0507900002")</f>
        <v>0</v>
      </c>
      <c r="F73" s="16" t="n">
        <f aca="false">SUMIFS('Flat Data'!$I$2:$I$660,'Flat Data'!$A$2:$A$660,$A73,'Flat Data'!$B$2:$B$660,$B73,'Flat Data'!$E$2:$E$660,"0507900011")</f>
        <v>0</v>
      </c>
      <c r="G73" s="16" t="n">
        <f aca="false">SUMIFS('Flat Data'!$I$2:$I$660,'Flat Data'!$A$2:$A$660,$A73,'Flat Data'!$B$2:$B$660,$B73,'Flat Data'!$E$2:$E$660,"0507900012")</f>
        <v>1204</v>
      </c>
      <c r="H73" s="16" t="n">
        <f aca="false">SUMIFS('Flat Data'!$I$2:$I$660,'Flat Data'!$A$2:$A$660,$A73,'Flat Data'!$B$2:$B$660,$B73,'Flat Data'!$E$2:$E$660,"0507900015")</f>
        <v>0</v>
      </c>
      <c r="I73" s="16" t="n">
        <f aca="false">SUMIFS('Flat Data'!$I$2:$I$660,'Flat Data'!$A$2:$A$660,$A73,'Flat Data'!$B$2:$B$660,$B73,'Flat Data'!$E$2:$E$660,"0507900038")</f>
        <v>0</v>
      </c>
    </row>
    <row r="74" customFormat="false" ht="15" hidden="false" customHeight="true" outlineLevel="0" collapsed="false">
      <c r="A74" s="20" t="n">
        <v>2024</v>
      </c>
      <c r="B74" s="14" t="n">
        <v>10</v>
      </c>
      <c r="C74" s="16" t="n">
        <f aca="false">SUMIFS('Flat Data'!$I$2:$I$660,'Flat Data'!$A$2:$A$660,$A74,'Flat Data'!$B$2:$B$660,$B74)</f>
        <v>2516</v>
      </c>
      <c r="D74" s="16" t="n">
        <f aca="false">SUMIFS('Flat Data'!$J$2:$J$660,'Flat Data'!$A$2:$A$660,$A74,'Flat Data'!$B$2:$B$660,$B74)</f>
        <v>583256</v>
      </c>
      <c r="E74" s="16" t="n">
        <f aca="false">SUMIFS('Flat Data'!$I$2:$I$660,'Flat Data'!$A$2:$A$660,$A74,'Flat Data'!$B$2:$B$660,$B74,'Flat Data'!$E$2:$E$660,"0507900002")</f>
        <v>0</v>
      </c>
      <c r="F74" s="16" t="n">
        <f aca="false">SUMIFS('Flat Data'!$I$2:$I$660,'Flat Data'!$A$2:$A$660,$A74,'Flat Data'!$B$2:$B$660,$B74,'Flat Data'!$E$2:$E$660,"0507900011")</f>
        <v>0</v>
      </c>
      <c r="G74" s="16" t="n">
        <f aca="false">SUMIFS('Flat Data'!$I$2:$I$660,'Flat Data'!$A$2:$A$660,$A74,'Flat Data'!$B$2:$B$660,$B74,'Flat Data'!$E$2:$E$660,"0507900012")</f>
        <v>2496</v>
      </c>
      <c r="H74" s="16" t="n">
        <f aca="false">SUMIFS('Flat Data'!$I$2:$I$660,'Flat Data'!$A$2:$A$660,$A74,'Flat Data'!$B$2:$B$660,$B74,'Flat Data'!$E$2:$E$660,"0507900015")</f>
        <v>0</v>
      </c>
      <c r="I74" s="16" t="n">
        <f aca="false">SUMIFS('Flat Data'!$I$2:$I$660,'Flat Data'!$A$2:$A$660,$A74,'Flat Data'!$B$2:$B$660,$B74,'Flat Data'!$E$2:$E$660,"0507900038")</f>
        <v>20</v>
      </c>
    </row>
    <row r="75" customFormat="false" ht="15" hidden="false" customHeight="true" outlineLevel="0" collapsed="false">
      <c r="A75" s="20" t="n">
        <v>2024</v>
      </c>
      <c r="B75" s="14" t="n">
        <v>11</v>
      </c>
      <c r="C75" s="16" t="n">
        <f aca="false">SUMIFS('Flat Data'!$I$2:$I$660,'Flat Data'!$A$2:$A$660,$A75,'Flat Data'!$B$2:$B$660,$B75)</f>
        <v>15935</v>
      </c>
      <c r="D75" s="16" t="n">
        <f aca="false">SUMIFS('Flat Data'!$J$2:$J$660,'Flat Data'!$A$2:$A$660,$A75,'Flat Data'!$B$2:$B$660,$B75)</f>
        <v>1477536</v>
      </c>
      <c r="E75" s="16" t="n">
        <f aca="false">SUMIFS('Flat Data'!$I$2:$I$660,'Flat Data'!$A$2:$A$660,$A75,'Flat Data'!$B$2:$B$660,$B75,'Flat Data'!$E$2:$E$660,"0507900002")</f>
        <v>8936</v>
      </c>
      <c r="F75" s="16" t="n">
        <f aca="false">SUMIFS('Flat Data'!$I$2:$I$660,'Flat Data'!$A$2:$A$660,$A75,'Flat Data'!$B$2:$B$660,$B75,'Flat Data'!$E$2:$E$660,"0507900011")</f>
        <v>5440</v>
      </c>
      <c r="G75" s="16" t="n">
        <f aca="false">SUMIFS('Flat Data'!$I$2:$I$660,'Flat Data'!$A$2:$A$660,$A75,'Flat Data'!$B$2:$B$660,$B75,'Flat Data'!$E$2:$E$660,"0507900012")</f>
        <v>1559</v>
      </c>
      <c r="H75" s="16" t="n">
        <f aca="false">SUMIFS('Flat Data'!$I$2:$I$660,'Flat Data'!$A$2:$A$660,$A75,'Flat Data'!$B$2:$B$660,$B75,'Flat Data'!$E$2:$E$660,"0507900015")</f>
        <v>0</v>
      </c>
      <c r="I75" s="16" t="n">
        <f aca="false">SUMIFS('Flat Data'!$I$2:$I$660,'Flat Data'!$A$2:$A$660,$A75,'Flat Data'!$B$2:$B$660,$B75,'Flat Data'!$E$2:$E$660,"0507900038")</f>
        <v>0</v>
      </c>
    </row>
    <row r="76" customFormat="false" ht="15" hidden="false" customHeight="true" outlineLevel="0" collapsed="false">
      <c r="A76" s="20" t="n">
        <v>2024</v>
      </c>
      <c r="B76" s="14" t="n">
        <v>12</v>
      </c>
      <c r="C76" s="16" t="n">
        <f aca="false">SUMIFS('Flat Data'!$I$2:$I$660,'Flat Data'!$A$2:$A$660,$A76,'Flat Data'!$B$2:$B$660,$B76)</f>
        <v>180548</v>
      </c>
      <c r="D76" s="16" t="n">
        <f aca="false">SUMIFS('Flat Data'!$J$2:$J$660,'Flat Data'!$A$2:$A$660,$A76,'Flat Data'!$B$2:$B$660,$B76)</f>
        <v>13919911</v>
      </c>
      <c r="E76" s="16" t="n">
        <f aca="false">SUMIFS('Flat Data'!$I$2:$I$660,'Flat Data'!$A$2:$A$660,$A76,'Flat Data'!$B$2:$B$660,$B76,'Flat Data'!$E$2:$E$660,"0507900002")</f>
        <v>18933</v>
      </c>
      <c r="F76" s="16" t="n">
        <f aca="false">SUMIFS('Flat Data'!$I$2:$I$660,'Flat Data'!$A$2:$A$660,$A76,'Flat Data'!$B$2:$B$660,$B76,'Flat Data'!$E$2:$E$660,"0507900011")</f>
        <v>158199</v>
      </c>
      <c r="G76" s="16" t="n">
        <f aca="false">SUMIFS('Flat Data'!$I$2:$I$660,'Flat Data'!$A$2:$A$660,$A76,'Flat Data'!$B$2:$B$660,$B76,'Flat Data'!$E$2:$E$660,"0507900012")</f>
        <v>3416</v>
      </c>
      <c r="H76" s="16" t="n">
        <f aca="false">SUMIFS('Flat Data'!$I$2:$I$660,'Flat Data'!$A$2:$A$660,$A76,'Flat Data'!$B$2:$B$660,$B76,'Flat Data'!$E$2:$E$660,"0507900015")</f>
        <v>0</v>
      </c>
      <c r="I76" s="16" t="n">
        <f aca="false">SUMIFS('Flat Data'!$I$2:$I$660,'Flat Data'!$A$2:$A$660,$A76,'Flat Data'!$B$2:$B$660,$B76,'Flat Data'!$E$2:$E$660,"0507900038")</f>
        <v>0</v>
      </c>
    </row>
    <row r="77" customFormat="false" ht="15" hidden="false" customHeight="true" outlineLevel="0" collapsed="false">
      <c r="A77" s="20" t="n">
        <v>2025</v>
      </c>
      <c r="B77" s="14" t="n">
        <v>1</v>
      </c>
      <c r="C77" s="16" t="n">
        <f aca="false">SUMIFS('Flat Data'!$I$2:$I$660,'Flat Data'!$A$2:$A$660,$A77,'Flat Data'!$B$2:$B$660,$B77)</f>
        <v>35505</v>
      </c>
      <c r="D77" s="16" t="n">
        <f aca="false">SUMIFS('Flat Data'!$J$2:$J$660,'Flat Data'!$A$2:$A$660,$A77,'Flat Data'!$B$2:$B$660,$B77)</f>
        <v>3059338</v>
      </c>
      <c r="E77" s="16" t="n">
        <f aca="false">SUMIFS('Flat Data'!$I$2:$I$660,'Flat Data'!$A$2:$A$660,$A77,'Flat Data'!$B$2:$B$660,$B77,'Flat Data'!$E$2:$E$660,"0507900002")</f>
        <v>0</v>
      </c>
      <c r="F77" s="16" t="n">
        <f aca="false">SUMIFS('Flat Data'!$I$2:$I$660,'Flat Data'!$A$2:$A$660,$A77,'Flat Data'!$B$2:$B$660,$B77,'Flat Data'!$E$2:$E$660,"0507900011")</f>
        <v>35470</v>
      </c>
      <c r="G77" s="16" t="n">
        <f aca="false">SUMIFS('Flat Data'!$I$2:$I$660,'Flat Data'!$A$2:$A$660,$A77,'Flat Data'!$B$2:$B$660,$B77,'Flat Data'!$E$2:$E$660,"0507900012")</f>
        <v>35</v>
      </c>
      <c r="H77" s="16" t="n">
        <f aca="false">SUMIFS('Flat Data'!$I$2:$I$660,'Flat Data'!$A$2:$A$660,$A77,'Flat Data'!$B$2:$B$660,$B77,'Flat Data'!$E$2:$E$660,"0507900015")</f>
        <v>0</v>
      </c>
      <c r="I77" s="16" t="n">
        <f aca="false">SUMIFS('Flat Data'!$I$2:$I$660,'Flat Data'!$A$2:$A$660,$A77,'Flat Data'!$B$2:$B$660,$B77,'Flat Data'!$E$2:$E$660,"0507900038")</f>
        <v>0</v>
      </c>
    </row>
    <row r="78" customFormat="false" ht="15" hidden="false" customHeight="true" outlineLevel="0" collapsed="false">
      <c r="A78" s="20" t="n">
        <v>2025</v>
      </c>
      <c r="B78" s="14" t="n">
        <v>2</v>
      </c>
      <c r="C78" s="16" t="n">
        <f aca="false">SUMIFS('Flat Data'!$I$2:$I$660,'Flat Data'!$A$2:$A$660,$A78,'Flat Data'!$B$2:$B$660,$B78)</f>
        <v>239550</v>
      </c>
      <c r="D78" s="16" t="n">
        <f aca="false">SUMIFS('Flat Data'!$J$2:$J$660,'Flat Data'!$A$2:$A$660,$A78,'Flat Data'!$B$2:$B$660,$B78)</f>
        <v>20089107</v>
      </c>
      <c r="E78" s="16" t="n">
        <f aca="false">SUMIFS('Flat Data'!$I$2:$I$660,'Flat Data'!$A$2:$A$660,$A78,'Flat Data'!$B$2:$B$660,$B78,'Flat Data'!$E$2:$E$660,"0507900002")</f>
        <v>10408</v>
      </c>
      <c r="F78" s="16" t="n">
        <f aca="false">SUMIFS('Flat Data'!$I$2:$I$660,'Flat Data'!$A$2:$A$660,$A78,'Flat Data'!$B$2:$B$660,$B78,'Flat Data'!$E$2:$E$660,"0507900011")</f>
        <v>227819</v>
      </c>
      <c r="G78" s="16" t="n">
        <f aca="false">SUMIFS('Flat Data'!$I$2:$I$660,'Flat Data'!$A$2:$A$660,$A78,'Flat Data'!$B$2:$B$660,$B78,'Flat Data'!$E$2:$E$660,"0507900012")</f>
        <v>1033</v>
      </c>
      <c r="H78" s="16" t="n">
        <f aca="false">SUMIFS('Flat Data'!$I$2:$I$660,'Flat Data'!$A$2:$A$660,$A78,'Flat Data'!$B$2:$B$660,$B78,'Flat Data'!$E$2:$E$660,"0507900015")</f>
        <v>0</v>
      </c>
      <c r="I78" s="16" t="n">
        <f aca="false">SUMIFS('Flat Data'!$I$2:$I$660,'Flat Data'!$A$2:$A$660,$A78,'Flat Data'!$B$2:$B$660,$B78,'Flat Data'!$E$2:$E$660,"0507900038")</f>
        <v>290</v>
      </c>
    </row>
    <row r="79" customFormat="false" ht="15" hidden="false" customHeight="true" outlineLevel="0" collapsed="false">
      <c r="A79" s="20" t="n">
        <v>2025</v>
      </c>
      <c r="B79" s="14" t="n">
        <v>3</v>
      </c>
      <c r="C79" s="16" t="n">
        <f aca="false">SUMIFS('Flat Data'!$I$2:$I$660,'Flat Data'!$A$2:$A$660,$A79,'Flat Data'!$B$2:$B$660,$B79)</f>
        <v>207475</v>
      </c>
      <c r="D79" s="16" t="n">
        <f aca="false">SUMIFS('Flat Data'!$J$2:$J$660,'Flat Data'!$A$2:$A$660,$A79,'Flat Data'!$B$2:$B$660,$B79)</f>
        <v>18071089</v>
      </c>
      <c r="E79" s="16" t="n">
        <f aca="false">SUMIFS('Flat Data'!$I$2:$I$660,'Flat Data'!$A$2:$A$660,$A79,'Flat Data'!$B$2:$B$660,$B79,'Flat Data'!$E$2:$E$660,"0507900002")</f>
        <v>928</v>
      </c>
      <c r="F79" s="16" t="n">
        <f aca="false">SUMIFS('Flat Data'!$I$2:$I$660,'Flat Data'!$A$2:$A$660,$A79,'Flat Data'!$B$2:$B$660,$B79,'Flat Data'!$E$2:$E$660,"0507900011")</f>
        <v>204676</v>
      </c>
      <c r="G79" s="16" t="n">
        <f aca="false">SUMIFS('Flat Data'!$I$2:$I$660,'Flat Data'!$A$2:$A$660,$A79,'Flat Data'!$B$2:$B$660,$B79,'Flat Data'!$E$2:$E$660,"0507900012")</f>
        <v>1871</v>
      </c>
      <c r="H79" s="16" t="n">
        <f aca="false">SUMIFS('Flat Data'!$I$2:$I$660,'Flat Data'!$A$2:$A$660,$A79,'Flat Data'!$B$2:$B$660,$B79,'Flat Data'!$E$2:$E$660,"0507900015")</f>
        <v>0</v>
      </c>
      <c r="I79" s="16" t="n">
        <f aca="false">SUMIFS('Flat Data'!$I$2:$I$660,'Flat Data'!$A$2:$A$660,$A79,'Flat Data'!$B$2:$B$660,$B79,'Flat Data'!$E$2:$E$660,"0507900038")</f>
        <v>0</v>
      </c>
    </row>
    <row r="80" customFormat="false" ht="15" hidden="false" customHeight="true" outlineLevel="0" collapsed="false">
      <c r="A80" s="20" t="n">
        <v>2025</v>
      </c>
      <c r="B80" s="14" t="n">
        <v>4</v>
      </c>
      <c r="C80" s="16" t="n">
        <f aca="false">SUMIFS('Flat Data'!$I$2:$I$660,'Flat Data'!$A$2:$A$660,$A80,'Flat Data'!$B$2:$B$660,$B80)</f>
        <v>178296</v>
      </c>
      <c r="D80" s="16" t="n">
        <f aca="false">SUMIFS('Flat Data'!$J$2:$J$660,'Flat Data'!$A$2:$A$660,$A80,'Flat Data'!$B$2:$B$660,$B80)</f>
        <v>16336259</v>
      </c>
      <c r="E80" s="16" t="n">
        <f aca="false">SUMIFS('Flat Data'!$I$2:$I$660,'Flat Data'!$A$2:$A$660,$A80,'Flat Data'!$B$2:$B$660,$B80,'Flat Data'!$E$2:$E$660,"0507900002")</f>
        <v>2805</v>
      </c>
      <c r="F80" s="16" t="n">
        <f aca="false">SUMIFS('Flat Data'!$I$2:$I$660,'Flat Data'!$A$2:$A$660,$A80,'Flat Data'!$B$2:$B$660,$B80,'Flat Data'!$E$2:$E$660,"0507900011")</f>
        <v>172404</v>
      </c>
      <c r="G80" s="16" t="n">
        <f aca="false">SUMIFS('Flat Data'!$I$2:$I$660,'Flat Data'!$A$2:$A$660,$A80,'Flat Data'!$B$2:$B$660,$B80,'Flat Data'!$E$2:$E$660,"0507900012")</f>
        <v>3087</v>
      </c>
      <c r="H80" s="16" t="n">
        <f aca="false">SUMIFS('Flat Data'!$I$2:$I$660,'Flat Data'!$A$2:$A$660,$A80,'Flat Data'!$B$2:$B$660,$B80,'Flat Data'!$E$2:$E$660,"0507900015")</f>
        <v>0</v>
      </c>
      <c r="I80" s="16" t="n">
        <f aca="false">SUMIFS('Flat Data'!$I$2:$I$660,'Flat Data'!$A$2:$A$660,$A80,'Flat Data'!$B$2:$B$660,$B80,'Flat Data'!$E$2:$E$660,"0507900038")</f>
        <v>0</v>
      </c>
    </row>
    <row r="81" customFormat="false" ht="15" hidden="false" customHeight="true" outlineLevel="0" collapsed="false">
      <c r="A81" s="20" t="n">
        <v>2025</v>
      </c>
      <c r="B81" s="14" t="n">
        <v>5</v>
      </c>
      <c r="C81" s="16" t="n">
        <f aca="false">SUMIFS('Flat Data'!$I$2:$I$660,'Flat Data'!$A$2:$A$660,$A81,'Flat Data'!$B$2:$B$660,$B81)</f>
        <v>105609</v>
      </c>
      <c r="D81" s="16" t="n">
        <f aca="false">SUMIFS('Flat Data'!$J$2:$J$660,'Flat Data'!$A$2:$A$660,$A81,'Flat Data'!$B$2:$B$660,$B81)</f>
        <v>8348356</v>
      </c>
      <c r="E81" s="16" t="n">
        <f aca="false">SUMIFS('Flat Data'!$I$2:$I$660,'Flat Data'!$A$2:$A$660,$A81,'Flat Data'!$B$2:$B$660,$B81,'Flat Data'!$E$2:$E$660,"0507900002")</f>
        <v>4376</v>
      </c>
      <c r="F81" s="16" t="n">
        <f aca="false">SUMIFS('Flat Data'!$I$2:$I$660,'Flat Data'!$A$2:$A$660,$A81,'Flat Data'!$B$2:$B$660,$B81,'Flat Data'!$E$2:$E$660,"0507900011")</f>
        <v>101058</v>
      </c>
      <c r="G81" s="16" t="n">
        <f aca="false">SUMIFS('Flat Data'!$I$2:$I$660,'Flat Data'!$A$2:$A$660,$A81,'Flat Data'!$B$2:$B$660,$B81,'Flat Data'!$E$2:$E$660,"0507900012")</f>
        <v>98</v>
      </c>
      <c r="H81" s="16" t="n">
        <f aca="false">SUMIFS('Flat Data'!$I$2:$I$660,'Flat Data'!$A$2:$A$660,$A81,'Flat Data'!$B$2:$B$660,$B81,'Flat Data'!$E$2:$E$660,"0507900015")</f>
        <v>0</v>
      </c>
      <c r="I81" s="16" t="n">
        <f aca="false">SUMIFS('Flat Data'!$I$2:$I$660,'Flat Data'!$A$2:$A$660,$A81,'Flat Data'!$B$2:$B$660,$B81,'Flat Data'!$E$2:$E$660,"0507900038")</f>
        <v>77</v>
      </c>
    </row>
    <row r="82" customFormat="false" ht="15" hidden="false" customHeight="true" outlineLevel="0" collapsed="false">
      <c r="A82" s="20" t="n">
        <v>2025</v>
      </c>
      <c r="B82" s="14" t="n">
        <v>6</v>
      </c>
      <c r="C82" s="16" t="n">
        <f aca="false">SUMIFS('Flat Data'!$I$2:$I$660,'Flat Data'!$A$2:$A$660,$A82,'Flat Data'!$B$2:$B$660,$B82)</f>
        <v>91280</v>
      </c>
      <c r="D82" s="16" t="n">
        <f aca="false">SUMIFS('Flat Data'!$J$2:$J$660,'Flat Data'!$A$2:$A$660,$A82,'Flat Data'!$B$2:$B$660,$B82)</f>
        <v>7587501</v>
      </c>
      <c r="E82" s="16" t="n">
        <f aca="false">SUMIFS('Flat Data'!$I$2:$I$660,'Flat Data'!$A$2:$A$660,$A82,'Flat Data'!$B$2:$B$660,$B82,'Flat Data'!$E$2:$E$660,"0507900002")</f>
        <v>4825</v>
      </c>
      <c r="F82" s="16" t="n">
        <f aca="false">SUMIFS('Flat Data'!$I$2:$I$660,'Flat Data'!$A$2:$A$660,$A82,'Flat Data'!$B$2:$B$660,$B82,'Flat Data'!$E$2:$E$660,"0507900011")</f>
        <v>86443</v>
      </c>
      <c r="G82" s="16" t="n">
        <f aca="false">SUMIFS('Flat Data'!$I$2:$I$660,'Flat Data'!$A$2:$A$660,$A82,'Flat Data'!$B$2:$B$660,$B82,'Flat Data'!$E$2:$E$660,"0507900012")</f>
        <v>12</v>
      </c>
      <c r="H82" s="16" t="n">
        <f aca="false">SUMIFS('Flat Data'!$I$2:$I$660,'Flat Data'!$A$2:$A$660,$A82,'Flat Data'!$B$2:$B$660,$B82,'Flat Data'!$E$2:$E$660,"0507900015")</f>
        <v>0</v>
      </c>
      <c r="I82" s="16" t="n">
        <f aca="false">SUMIFS('Flat Data'!$I$2:$I$660,'Flat Data'!$A$2:$A$660,$A82,'Flat Data'!$B$2:$B$660,$B82,'Flat Data'!$E$2:$E$660,"0507900038")</f>
        <v>0</v>
      </c>
    </row>
    <row r="83" customFormat="false" ht="15" hidden="false" customHeight="true" outlineLevel="0" collapsed="false">
      <c r="A83" s="20" t="n">
        <v>2025</v>
      </c>
      <c r="B83" s="14" t="n">
        <v>7</v>
      </c>
      <c r="C83" s="16" t="n">
        <f aca="false">SUMIFS('Flat Data'!$I$2:$I$660,'Flat Data'!$A$2:$A$660,$A83,'Flat Data'!$B$2:$B$660,$B83)</f>
        <v>5420</v>
      </c>
      <c r="D83" s="16" t="n">
        <f aca="false">SUMIFS('Flat Data'!$J$2:$J$660,'Flat Data'!$A$2:$A$660,$A83,'Flat Data'!$B$2:$B$660,$B83)</f>
        <v>244858</v>
      </c>
      <c r="E83" s="16" t="n">
        <f aca="false">SUMIFS('Flat Data'!$I$2:$I$660,'Flat Data'!$A$2:$A$660,$A83,'Flat Data'!$B$2:$B$660,$B83,'Flat Data'!$E$2:$E$660,"0507900002")</f>
        <v>5272</v>
      </c>
      <c r="F83" s="16" t="n">
        <f aca="false">SUMIFS('Flat Data'!$I$2:$I$660,'Flat Data'!$A$2:$A$660,$A83,'Flat Data'!$B$2:$B$660,$B83,'Flat Data'!$E$2:$E$660,"0507900011")</f>
        <v>0</v>
      </c>
      <c r="G83" s="16" t="n">
        <f aca="false">SUMIFS('Flat Data'!$I$2:$I$660,'Flat Data'!$A$2:$A$660,$A83,'Flat Data'!$B$2:$B$660,$B83,'Flat Data'!$E$2:$E$660,"0507900012")</f>
        <v>40</v>
      </c>
      <c r="H83" s="16" t="n">
        <f aca="false">SUMIFS('Flat Data'!$I$2:$I$660,'Flat Data'!$A$2:$A$660,$A83,'Flat Data'!$B$2:$B$660,$B83,'Flat Data'!$E$2:$E$660,"0507900015")</f>
        <v>0</v>
      </c>
      <c r="I83" s="16" t="n">
        <f aca="false">SUMIFS('Flat Data'!$I$2:$I$660,'Flat Data'!$A$2:$A$660,$A83,'Flat Data'!$B$2:$B$660,$B83,'Flat Data'!$E$2:$E$660,"0507900038")</f>
        <v>108</v>
      </c>
    </row>
    <row r="84" customFormat="false" ht="15" hidden="false" customHeight="true" outlineLevel="0" collapsed="false">
      <c r="A84" s="20" t="n">
        <v>2025</v>
      </c>
      <c r="B84" s="14" t="n">
        <v>8</v>
      </c>
      <c r="C84" s="16" t="n">
        <f aca="false">SUMIFS('Flat Data'!$I$2:$I$660,'Flat Data'!$A$2:$A$660,$A84,'Flat Data'!$B$2:$B$660,$B84)</f>
        <v>6500</v>
      </c>
      <c r="D84" s="16" t="n">
        <f aca="false">SUMIFS('Flat Data'!$J$2:$J$660,'Flat Data'!$A$2:$A$660,$A84,'Flat Data'!$B$2:$B$660,$B84)</f>
        <v>905302</v>
      </c>
      <c r="E84" s="16" t="n">
        <f aca="false">SUMIFS('Flat Data'!$I$2:$I$660,'Flat Data'!$A$2:$A$660,$A84,'Flat Data'!$B$2:$B$660,$B84,'Flat Data'!$E$2:$E$660,"0507900002")</f>
        <v>4636</v>
      </c>
      <c r="F84" s="16" t="n">
        <f aca="false">SUMIFS('Flat Data'!$I$2:$I$660,'Flat Data'!$A$2:$A$660,$A84,'Flat Data'!$B$2:$B$660,$B84,'Flat Data'!$E$2:$E$660,"0507900011")</f>
        <v>0</v>
      </c>
      <c r="G84" s="16" t="n">
        <f aca="false">SUMIFS('Flat Data'!$I$2:$I$660,'Flat Data'!$A$2:$A$660,$A84,'Flat Data'!$B$2:$B$660,$B84,'Flat Data'!$E$2:$E$660,"0507900012")</f>
        <v>1864</v>
      </c>
      <c r="H84" s="16" t="n">
        <f aca="false">SUMIFS('Flat Data'!$I$2:$I$660,'Flat Data'!$A$2:$A$660,$A84,'Flat Data'!$B$2:$B$660,$B84,'Flat Data'!$E$2:$E$660,"0507900015")</f>
        <v>0</v>
      </c>
      <c r="I84" s="16" t="n">
        <f aca="false">SUMIFS('Flat Data'!$I$2:$I$660,'Flat Data'!$A$2:$A$660,$A84,'Flat Data'!$B$2:$B$660,$B84,'Flat Data'!$E$2:$E$660,"0507900038")</f>
        <v>0</v>
      </c>
    </row>
    <row r="85" customFormat="false" ht="15" hidden="false" customHeight="true" outlineLevel="0" collapsed="false">
      <c r="A85" s="20" t="n">
        <v>2025</v>
      </c>
      <c r="B85" s="14" t="n">
        <v>9</v>
      </c>
      <c r="C85" s="16" t="n">
        <f aca="false">SUMIFS('Flat Data'!$I$2:$I$660,'Flat Data'!$A$2:$A$660,$A85,'Flat Data'!$B$2:$B$660,$B85)</f>
        <v>13936</v>
      </c>
      <c r="D85" s="16" t="n">
        <f aca="false">SUMIFS('Flat Data'!$J$2:$J$660,'Flat Data'!$A$2:$A$660,$A85,'Flat Data'!$B$2:$B$660,$B85)</f>
        <v>1984951</v>
      </c>
      <c r="E85" s="16" t="n">
        <f aca="false">SUMIFS('Flat Data'!$I$2:$I$660,'Flat Data'!$A$2:$A$660,$A85,'Flat Data'!$B$2:$B$660,$B85,'Flat Data'!$E$2:$E$660,"0507900002")</f>
        <v>7043</v>
      </c>
      <c r="F85" s="16" t="n">
        <f aca="false">SUMIFS('Flat Data'!$I$2:$I$660,'Flat Data'!$A$2:$A$660,$A85,'Flat Data'!$B$2:$B$660,$B85,'Flat Data'!$E$2:$E$660,"0507900011")</f>
        <v>3204</v>
      </c>
      <c r="G85" s="16" t="n">
        <f aca="false">SUMIFS('Flat Data'!$I$2:$I$660,'Flat Data'!$A$2:$A$660,$A85,'Flat Data'!$B$2:$B$660,$B85,'Flat Data'!$E$2:$E$660,"0507900012")</f>
        <v>3665</v>
      </c>
      <c r="H85" s="16" t="n">
        <f aca="false">SUMIFS('Flat Data'!$I$2:$I$660,'Flat Data'!$A$2:$A$660,$A85,'Flat Data'!$B$2:$B$660,$B85,'Flat Data'!$E$2:$E$660,"0507900015")</f>
        <v>24</v>
      </c>
      <c r="I85" s="16" t="n">
        <f aca="false">SUMIFS('Flat Data'!$I$2:$I$660,'Flat Data'!$A$2:$A$660,$A85,'Flat Data'!$B$2:$B$660,$B85,'Flat Data'!$E$2:$E$660,"0507900038")</f>
        <v>0</v>
      </c>
    </row>
    <row r="86" customFormat="false" ht="15" hidden="false" customHeight="true" outlineLevel="0" collapsed="false">
      <c r="A86" s="20" t="n">
        <v>2025</v>
      </c>
      <c r="B86" s="14" t="n">
        <v>10</v>
      </c>
      <c r="C86" s="16" t="n">
        <f aca="false">SUMIFS('Flat Data'!$I$2:$I$660,'Flat Data'!$A$2:$A$660,$A86,'Flat Data'!$B$2:$B$660,$B86)</f>
        <v>11923</v>
      </c>
      <c r="D86" s="16" t="n">
        <f aca="false">SUMIFS('Flat Data'!$J$2:$J$660,'Flat Data'!$A$2:$A$660,$A86,'Flat Data'!$B$2:$B$660,$B86)</f>
        <v>736805</v>
      </c>
      <c r="E86" s="16" t="n">
        <f aca="false">SUMIFS('Flat Data'!$I$2:$I$660,'Flat Data'!$A$2:$A$660,$A86,'Flat Data'!$B$2:$B$660,$B86,'Flat Data'!$E$2:$E$660,"0507900002")</f>
        <v>9903</v>
      </c>
      <c r="F86" s="16" t="n">
        <f aca="false">SUMIFS('Flat Data'!$I$2:$I$660,'Flat Data'!$A$2:$A$660,$A86,'Flat Data'!$B$2:$B$660,$B86,'Flat Data'!$E$2:$E$660,"0507900011")</f>
        <v>1620</v>
      </c>
      <c r="G86" s="16" t="n">
        <f aca="false">SUMIFS('Flat Data'!$I$2:$I$660,'Flat Data'!$A$2:$A$660,$A86,'Flat Data'!$B$2:$B$660,$B86,'Flat Data'!$E$2:$E$660,"0507900012")</f>
        <v>0</v>
      </c>
      <c r="H86" s="16" t="n">
        <f aca="false">SUMIFS('Flat Data'!$I$2:$I$660,'Flat Data'!$A$2:$A$660,$A86,'Flat Data'!$B$2:$B$660,$B86,'Flat Data'!$E$2:$E$660,"0507900015")</f>
        <v>250</v>
      </c>
      <c r="I86" s="16" t="n">
        <f aca="false">SUMIFS('Flat Data'!$I$2:$I$660,'Flat Data'!$A$2:$A$660,$A86,'Flat Data'!$B$2:$B$660,$B86,'Flat Data'!$E$2:$E$660,"0507900038")</f>
        <v>150</v>
      </c>
    </row>
    <row r="87" customFormat="false" ht="15" hidden="false" customHeight="true" outlineLevel="0" collapsed="false">
      <c r="A87" s="20" t="n">
        <v>2025</v>
      </c>
      <c r="B87" s="14" t="n">
        <v>11</v>
      </c>
      <c r="C87" s="16" t="n">
        <f aca="false">SUMIFS('Flat Data'!$I$2:$I$660,'Flat Data'!$A$2:$A$660,$A87,'Flat Data'!$B$2:$B$660,$B87)</f>
        <v>32856</v>
      </c>
      <c r="D87" s="16" t="n">
        <f aca="false">SUMIFS('Flat Data'!$J$2:$J$660,'Flat Data'!$A$2:$A$660,$A87,'Flat Data'!$B$2:$B$660,$B87)</f>
        <v>1927769</v>
      </c>
      <c r="E87" s="16" t="n">
        <f aca="false">SUMIFS('Flat Data'!$I$2:$I$660,'Flat Data'!$A$2:$A$660,$A87,'Flat Data'!$B$2:$B$660,$B87,'Flat Data'!$E$2:$E$660,"0507900002")</f>
        <v>10146</v>
      </c>
      <c r="F87" s="16" t="n">
        <f aca="false">SUMIFS('Flat Data'!$I$2:$I$660,'Flat Data'!$A$2:$A$660,$A87,'Flat Data'!$B$2:$B$660,$B87,'Flat Data'!$E$2:$E$660,"0507900011")</f>
        <v>20797</v>
      </c>
      <c r="G87" s="16" t="n">
        <f aca="false">SUMIFS('Flat Data'!$I$2:$I$660,'Flat Data'!$A$2:$A$660,$A87,'Flat Data'!$B$2:$B$660,$B87,'Flat Data'!$E$2:$E$660,"0507900012")</f>
        <v>1438</v>
      </c>
      <c r="H87" s="16" t="n">
        <f aca="false">SUMIFS('Flat Data'!$I$2:$I$660,'Flat Data'!$A$2:$A$660,$A87,'Flat Data'!$B$2:$B$660,$B87,'Flat Data'!$E$2:$E$660,"0507900015")</f>
        <v>0</v>
      </c>
      <c r="I87" s="16" t="n">
        <f aca="false">SUMIFS('Flat Data'!$I$2:$I$660,'Flat Data'!$A$2:$A$660,$A87,'Flat Data'!$B$2:$B$660,$B87,'Flat Data'!$E$2:$E$660,"0507900038")</f>
        <v>475</v>
      </c>
    </row>
    <row r="88" customFormat="false" ht="15" hidden="false" customHeight="true" outlineLevel="0" collapsed="false">
      <c r="A88" s="20" t="n">
        <v>2025</v>
      </c>
      <c r="B88" s="14" t="n">
        <v>12</v>
      </c>
      <c r="C88" s="16" t="n">
        <f aca="false">SUMIFS('Flat Data'!$I$2:$I$660,'Flat Data'!$A$2:$A$660,$A88,'Flat Data'!$B$2:$B$660,$B88)</f>
        <v>139653</v>
      </c>
      <c r="D88" s="16" t="n">
        <f aca="false">SUMIFS('Flat Data'!$J$2:$J$660,'Flat Data'!$A$2:$A$660,$A88,'Flat Data'!$B$2:$B$660,$B88)</f>
        <v>8752445</v>
      </c>
      <c r="E88" s="16" t="n">
        <f aca="false">SUMIFS('Flat Data'!$I$2:$I$660,'Flat Data'!$A$2:$A$660,$A88,'Flat Data'!$B$2:$B$660,$B88,'Flat Data'!$E$2:$E$660,"0507900002")</f>
        <v>14844</v>
      </c>
      <c r="F88" s="16" t="n">
        <f aca="false">SUMIFS('Flat Data'!$I$2:$I$660,'Flat Data'!$A$2:$A$660,$A88,'Flat Data'!$B$2:$B$660,$B88,'Flat Data'!$E$2:$E$660,"0507900011")</f>
        <v>124809</v>
      </c>
      <c r="G88" s="16" t="n">
        <f aca="false">SUMIFS('Flat Data'!$I$2:$I$660,'Flat Data'!$A$2:$A$660,$A88,'Flat Data'!$B$2:$B$660,$B88,'Flat Data'!$E$2:$E$660,"0507900012")</f>
        <v>0</v>
      </c>
      <c r="H88" s="16" t="n">
        <f aca="false">SUMIFS('Flat Data'!$I$2:$I$660,'Flat Data'!$A$2:$A$660,$A88,'Flat Data'!$B$2:$B$660,$B88,'Flat Data'!$E$2:$E$660,"0507900015")</f>
        <v>0</v>
      </c>
      <c r="I88" s="16" t="n">
        <f aca="false">SUMIFS('Flat Data'!$I$2:$I$660,'Flat Data'!$A$2:$A$660,$A88,'Flat Data'!$B$2:$B$660,$B88,'Flat Data'!$E$2:$E$660,"0507900038")</f>
        <v>0</v>
      </c>
    </row>
    <row r="89" customFormat="false" ht="15" hidden="false" customHeight="true" outlineLevel="0" collapsed="false">
      <c r="A89" s="20" t="n">
        <v>2026</v>
      </c>
      <c r="B89" s="14" t="n">
        <v>1</v>
      </c>
      <c r="C89" s="16" t="n">
        <f aca="false">SUMIFS('Flat Data'!$I$2:$I$660,'Flat Data'!$A$2:$A$660,$A89,'Flat Data'!$B$2:$B$660,$B89)</f>
        <v>158940</v>
      </c>
      <c r="D89" s="16" t="n">
        <f aca="false">SUMIFS('Flat Data'!$J$2:$J$660,'Flat Data'!$A$2:$A$660,$A89,'Flat Data'!$B$2:$B$660,$B89)</f>
        <v>10513750</v>
      </c>
      <c r="E89" s="16" t="n">
        <f aca="false">SUMIFS('Flat Data'!$I$2:$I$660,'Flat Data'!$A$2:$A$660,$A89,'Flat Data'!$B$2:$B$660,$B89,'Flat Data'!$E$2:$E$660,"0507900002")</f>
        <v>1536</v>
      </c>
      <c r="F89" s="16" t="n">
        <f aca="false">SUMIFS('Flat Data'!$I$2:$I$660,'Flat Data'!$A$2:$A$660,$A89,'Flat Data'!$B$2:$B$660,$B89,'Flat Data'!$E$2:$E$660,"0507900011")</f>
        <v>157404</v>
      </c>
      <c r="G89" s="16" t="n">
        <f aca="false">SUMIFS('Flat Data'!$I$2:$I$660,'Flat Data'!$A$2:$A$660,$A89,'Flat Data'!$B$2:$B$660,$B89,'Flat Data'!$E$2:$E$660,"0507900012")</f>
        <v>0</v>
      </c>
      <c r="H89" s="16" t="n">
        <f aca="false">SUMIFS('Flat Data'!$I$2:$I$660,'Flat Data'!$A$2:$A$660,$A89,'Flat Data'!$B$2:$B$660,$B89,'Flat Data'!$E$2:$E$660,"0507900015")</f>
        <v>0</v>
      </c>
      <c r="I89" s="16" t="n">
        <f aca="false">SUMIFS('Flat Data'!$I$2:$I$660,'Flat Data'!$A$2:$A$660,$A89,'Flat Data'!$B$2:$B$660,$B89,'Flat Data'!$E$2:$E$660,"0507900038")</f>
        <v>0</v>
      </c>
    </row>
    <row r="90" customFormat="false" ht="15" hidden="false" customHeight="true" outlineLevel="0" collapsed="false">
      <c r="A90" s="20" t="n">
        <v>2026</v>
      </c>
      <c r="B90" s="14" t="n">
        <v>2</v>
      </c>
      <c r="C90" s="16" t="n">
        <f aca="false">SUMIFS('Flat Data'!$I$2:$I$660,'Flat Data'!$A$2:$A$660,$A90,'Flat Data'!$B$2:$B$660,$B90)</f>
        <v>135940</v>
      </c>
      <c r="D90" s="16" t="n">
        <f aca="false">SUMIFS('Flat Data'!$J$2:$J$660,'Flat Data'!$A$2:$A$660,$A90,'Flat Data'!$B$2:$B$660,$B90)</f>
        <v>9119102</v>
      </c>
      <c r="E90" s="16" t="n">
        <f aca="false">SUMIFS('Flat Data'!$I$2:$I$660,'Flat Data'!$A$2:$A$660,$A90,'Flat Data'!$B$2:$B$660,$B90,'Flat Data'!$E$2:$E$660,"0507900002")</f>
        <v>7703</v>
      </c>
      <c r="F90" s="16" t="n">
        <f aca="false">SUMIFS('Flat Data'!$I$2:$I$660,'Flat Data'!$A$2:$A$660,$A90,'Flat Data'!$B$2:$B$660,$B90,'Flat Data'!$E$2:$E$660,"0507900011")</f>
        <v>127991</v>
      </c>
      <c r="G90" s="16" t="n">
        <f aca="false">SUMIFS('Flat Data'!$I$2:$I$660,'Flat Data'!$A$2:$A$660,$A90,'Flat Data'!$B$2:$B$660,$B90,'Flat Data'!$E$2:$E$660,"0507900012")</f>
        <v>236</v>
      </c>
      <c r="H90" s="16" t="n">
        <f aca="false">SUMIFS('Flat Data'!$I$2:$I$660,'Flat Data'!$A$2:$A$660,$A90,'Flat Data'!$B$2:$B$660,$B90,'Flat Data'!$E$2:$E$660,"0507900015")</f>
        <v>0</v>
      </c>
      <c r="I90" s="16" t="n">
        <f aca="false">SUMIFS('Flat Data'!$I$2:$I$660,'Flat Data'!$A$2:$A$660,$A90,'Flat Data'!$B$2:$B$660,$B90,'Flat Data'!$E$2:$E$660,"0507900038")</f>
        <v>10</v>
      </c>
    </row>
    <row r="91" customFormat="false" ht="15" hidden="false" customHeight="true" outlineLevel="0" collapsed="false">
      <c r="A91" s="20" t="n">
        <v>2026</v>
      </c>
      <c r="B91" s="14" t="n">
        <v>3</v>
      </c>
      <c r="C91" s="16" t="n">
        <f aca="false">SUMIFS('Flat Data'!$I$2:$I$660,'Flat Data'!$A$2:$A$660,$A91,'Flat Data'!$B$2:$B$660,$B91)</f>
        <v>183810</v>
      </c>
      <c r="D91" s="16" t="n">
        <f aca="false">SUMIFS('Flat Data'!$J$2:$J$660,'Flat Data'!$A$2:$A$660,$A91,'Flat Data'!$B$2:$B$660,$B91)</f>
        <v>14297285</v>
      </c>
      <c r="E91" s="16" t="n">
        <f aca="false">SUMIFS('Flat Data'!$I$2:$I$660,'Flat Data'!$A$2:$A$660,$A91,'Flat Data'!$B$2:$B$660,$B91,'Flat Data'!$E$2:$E$660,"0507900002")</f>
        <v>8810</v>
      </c>
      <c r="F91" s="16" t="n">
        <f aca="false">SUMIFS('Flat Data'!$I$2:$I$660,'Flat Data'!$A$2:$A$660,$A91,'Flat Data'!$B$2:$B$660,$B91,'Flat Data'!$E$2:$E$660,"0507900011")</f>
        <v>174076</v>
      </c>
      <c r="G91" s="16" t="n">
        <f aca="false">SUMIFS('Flat Data'!$I$2:$I$660,'Flat Data'!$A$2:$A$660,$A91,'Flat Data'!$B$2:$B$660,$B91,'Flat Data'!$E$2:$E$660,"0507900012")</f>
        <v>924</v>
      </c>
      <c r="H91" s="16" t="n">
        <f aca="false">SUMIFS('Flat Data'!$I$2:$I$660,'Flat Data'!$A$2:$A$660,$A91,'Flat Data'!$B$2:$B$660,$B91,'Flat Data'!$E$2:$E$660,"0507900015")</f>
        <v>0</v>
      </c>
      <c r="I91" s="16" t="n">
        <f aca="false">SUMIFS('Flat Data'!$I$2:$I$660,'Flat Data'!$A$2:$A$660,$A91,'Flat Data'!$B$2:$B$660,$B91,'Flat Data'!$E$2:$E$660,"0507900038")</f>
        <v>0</v>
      </c>
    </row>
    <row r="92" customFormat="false" ht="15" hidden="false" customHeight="true" outlineLevel="0" collapsed="false">
      <c r="A92" s="20" t="n">
        <v>2026</v>
      </c>
      <c r="B92" s="14" t="n">
        <v>4</v>
      </c>
      <c r="C92" s="16" t="n">
        <f aca="false">SUMIFS('Flat Data'!$I$2:$I$660,'Flat Data'!$A$2:$A$660,$A92,'Flat Data'!$B$2:$B$660,$B92)</f>
        <v>114199</v>
      </c>
      <c r="D92" s="16" t="n">
        <f aca="false">SUMIFS('Flat Data'!$J$2:$J$660,'Flat Data'!$A$2:$A$660,$A92,'Flat Data'!$B$2:$B$660,$B92)</f>
        <v>9201834</v>
      </c>
      <c r="E92" s="16" t="n">
        <f aca="false">SUMIFS('Flat Data'!$I$2:$I$660,'Flat Data'!$A$2:$A$660,$A92,'Flat Data'!$B$2:$B$660,$B92,'Flat Data'!$E$2:$E$660,"0507900002")</f>
        <v>2826</v>
      </c>
      <c r="F92" s="16" t="n">
        <f aca="false">SUMIFS('Flat Data'!$I$2:$I$660,'Flat Data'!$A$2:$A$660,$A92,'Flat Data'!$B$2:$B$660,$B92,'Flat Data'!$E$2:$E$660,"0507900011")</f>
        <v>110482</v>
      </c>
      <c r="G92" s="16" t="n">
        <f aca="false">SUMIFS('Flat Data'!$I$2:$I$660,'Flat Data'!$A$2:$A$660,$A92,'Flat Data'!$B$2:$B$660,$B92,'Flat Data'!$E$2:$E$660,"0507900012")</f>
        <v>770</v>
      </c>
      <c r="H92" s="16" t="n">
        <f aca="false">SUMIFS('Flat Data'!$I$2:$I$660,'Flat Data'!$A$2:$A$660,$A92,'Flat Data'!$B$2:$B$660,$B92,'Flat Data'!$E$2:$E$660,"0507900015")</f>
        <v>0</v>
      </c>
      <c r="I92" s="16" t="n">
        <f aca="false">SUMIFS('Flat Data'!$I$2:$I$660,'Flat Data'!$A$2:$A$660,$A92,'Flat Data'!$B$2:$B$660,$B92,'Flat Data'!$E$2:$E$660,"0507900038")</f>
        <v>121</v>
      </c>
    </row>
    <row r="93" customFormat="false" ht="15" hidden="false" customHeight="true" outlineLevel="0" collapsed="false">
      <c r="A93" s="20" t="n">
        <v>2026</v>
      </c>
      <c r="B93" s="14" t="n">
        <v>5</v>
      </c>
      <c r="C93" s="16" t="n">
        <f aca="false">SUMIFS('Flat Data'!$I$2:$I$660,'Flat Data'!$A$2:$A$660,$A93,'Flat Data'!$B$2:$B$660,$B93)</f>
        <v>200457</v>
      </c>
      <c r="D93" s="16" t="n">
        <f aca="false">SUMIFS('Flat Data'!$J$2:$J$660,'Flat Data'!$A$2:$A$660,$A93,'Flat Data'!$B$2:$B$660,$B93)</f>
        <v>14872044</v>
      </c>
      <c r="E93" s="16" t="n">
        <f aca="false">SUMIFS('Flat Data'!$I$2:$I$660,'Flat Data'!$A$2:$A$660,$A93,'Flat Data'!$B$2:$B$660,$B93,'Flat Data'!$E$2:$E$660,"0507900002")</f>
        <v>8069</v>
      </c>
      <c r="F93" s="16" t="n">
        <f aca="false">SUMIFS('Flat Data'!$I$2:$I$660,'Flat Data'!$A$2:$A$660,$A93,'Flat Data'!$B$2:$B$660,$B93,'Flat Data'!$E$2:$E$660,"0507900011")</f>
        <v>189344</v>
      </c>
      <c r="G93" s="16" t="n">
        <f aca="false">SUMIFS('Flat Data'!$I$2:$I$660,'Flat Data'!$A$2:$A$660,$A93,'Flat Data'!$B$2:$B$660,$B93,'Flat Data'!$E$2:$E$660,"0507900012")</f>
        <v>3044</v>
      </c>
      <c r="H93" s="16" t="n">
        <f aca="false">SUMIFS('Flat Data'!$I$2:$I$660,'Flat Data'!$A$2:$A$660,$A93,'Flat Data'!$B$2:$B$660,$B93,'Flat Data'!$E$2:$E$660,"0507900015")</f>
        <v>0</v>
      </c>
      <c r="I93" s="16" t="n">
        <f aca="false">SUMIFS('Flat Data'!$I$2:$I$660,'Flat Data'!$A$2:$A$660,$A93,'Flat Data'!$B$2:$B$660,$B93,'Flat Data'!$E$2:$E$660,"0507900038")</f>
        <v>0</v>
      </c>
    </row>
    <row r="94" customFormat="false" ht="15" hidden="false" customHeight="true" outlineLevel="0" collapsed="false">
      <c r="A94" s="20" t="n">
        <v>2026</v>
      </c>
      <c r="B94" s="14" t="n">
        <v>6</v>
      </c>
      <c r="C94" s="16" t="n">
        <f aca="false">SUMIFS('Flat Data'!$I$2:$I$660,'Flat Data'!$A$2:$A$660,$A94,'Flat Data'!$B$2:$B$660,$B94)</f>
        <v>54048</v>
      </c>
      <c r="D94" s="16" t="n">
        <f aca="false">SUMIFS('Flat Data'!$J$2:$J$660,'Flat Data'!$A$2:$A$660,$A94,'Flat Data'!$B$2:$B$660,$B94)</f>
        <v>3921184</v>
      </c>
      <c r="E94" s="16" t="n">
        <f aca="false">SUMIFS('Flat Data'!$I$2:$I$660,'Flat Data'!$A$2:$A$660,$A94,'Flat Data'!$B$2:$B$660,$B94,'Flat Data'!$E$2:$E$660,"0507900002")</f>
        <v>26384</v>
      </c>
      <c r="F94" s="16" t="n">
        <f aca="false">SUMIFS('Flat Data'!$I$2:$I$660,'Flat Data'!$A$2:$A$660,$A94,'Flat Data'!$B$2:$B$660,$B94,'Flat Data'!$E$2:$E$660,"0507900011")</f>
        <v>26538</v>
      </c>
      <c r="G94" s="16" t="n">
        <f aca="false">SUMIFS('Flat Data'!$I$2:$I$660,'Flat Data'!$A$2:$A$660,$A94,'Flat Data'!$B$2:$B$660,$B94,'Flat Data'!$E$2:$E$660,"0507900012")</f>
        <v>1126</v>
      </c>
      <c r="H94" s="16" t="n">
        <f aca="false">SUMIFS('Flat Data'!$I$2:$I$660,'Flat Data'!$A$2:$A$660,$A94,'Flat Data'!$B$2:$B$660,$B94,'Flat Data'!$E$2:$E$660,"0507900015")</f>
        <v>0</v>
      </c>
      <c r="I94" s="16" t="n">
        <f aca="false">SUMIFS('Flat Data'!$I$2:$I$660,'Flat Data'!$A$2:$A$660,$A94,'Flat Data'!$B$2:$B$660,$B94,'Flat Data'!$E$2:$E$660,"0507900038")</f>
        <v>0</v>
      </c>
    </row>
    <row r="95" customFormat="false" ht="15" hidden="false" customHeight="true" outlineLevel="0" collapsed="false">
      <c r="B95" s="17" t="s">
        <v>68</v>
      </c>
      <c r="C95" s="18" t="n">
        <f aca="false">SUM(C5:C94)</f>
        <v>6835632</v>
      </c>
      <c r="D95" s="18" t="n">
        <f aca="false">SUM(D5:D94)</f>
        <v>654251368</v>
      </c>
      <c r="E95" s="18" t="n">
        <f aca="false">SUM(E5:E94)</f>
        <v>1156647</v>
      </c>
      <c r="F95" s="18" t="n">
        <f aca="false">SUM(F5:F94)</f>
        <v>5437638</v>
      </c>
      <c r="G95" s="18" t="n">
        <f aca="false">SUM(G5:G94)</f>
        <v>220880</v>
      </c>
      <c r="H95" s="18" t="n">
        <f aca="false">SUM(H5:H94)</f>
        <v>10787</v>
      </c>
      <c r="I95" s="18" t="n">
        <f aca="false">SUM(I5:I94)</f>
        <v>9680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2026-07-21T07:58:42Z</dcterms:created>
  <dc:creator>openpyxl</dc:creator>
  <dc:description/>
  <dc:language>en-US</dc:language>
  <cp:lastModifiedBy/>
  <dcterms:modified xsi:type="dcterms:W3CDTF">2026-07-21T07:58:59Z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