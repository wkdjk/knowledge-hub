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atlatitude.sharepoint.com/sites/dinz/Shared Documents/Quarterly reports/"/>
    </mc:Choice>
  </mc:AlternateContent>
  <xr:revisionPtr revIDLastSave="1847" documentId="13_ncr:1_{A231FD72-5137-4528-BAC2-CC2283880281}" xr6:coauthVersionLast="47" xr6:coauthVersionMax="47" xr10:uidLastSave="{6314C98F-861C-4FB2-9AC1-32931CBAD2B8}"/>
  <bookViews>
    <workbookView xWindow="2660" yWindow="2660" windowWidth="19200" windowHeight="11170" xr2:uid="{4BC4010F-E7D2-44F4-9E1A-DFD3BB0C0E4C}"/>
  </bookViews>
  <sheets>
    <sheet name="Summary" sheetId="5" r:id="rId1"/>
    <sheet name="List from release news" sheetId="2" r:id="rId2"/>
    <sheet name="Sheet1" sheetId="6" r:id="rId3"/>
  </sheets>
  <definedNames>
    <definedName name="_xlnm._FilterDatabase" localSheetId="1" hidden="1">'List from release news'!$A$1:$R$282</definedName>
  </definedNames>
  <calcPr calcId="191028"/>
  <pivotCaches>
    <pivotCache cacheId="16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1" i="2" l="1"/>
  <c r="G164" i="2"/>
  <c r="G9" i="2"/>
  <c r="G10" i="2"/>
  <c r="G163" i="2"/>
  <c r="G37" i="2"/>
  <c r="G150" i="2"/>
  <c r="G179" i="2"/>
  <c r="G178" i="2" l="1"/>
  <c r="G177" i="2"/>
  <c r="G176" i="2"/>
  <c r="G240" i="2"/>
  <c r="G202" i="2"/>
  <c r="G160" i="2" l="1"/>
  <c r="G152" i="2"/>
  <c r="G175" i="2"/>
  <c r="G252" i="2"/>
  <c r="G125" i="2"/>
  <c r="G113" i="2"/>
  <c r="G36" i="2"/>
  <c r="G11" i="2"/>
  <c r="G261" i="2"/>
  <c r="G262" i="2"/>
  <c r="G83" i="2"/>
  <c r="G53" i="2"/>
  <c r="G230" i="2"/>
  <c r="G233" i="2"/>
  <c r="G234" i="2"/>
  <c r="G269" i="2"/>
  <c r="G167" i="2"/>
  <c r="G241" i="2"/>
  <c r="G73" i="2"/>
  <c r="G201" i="2"/>
  <c r="G4" i="2"/>
  <c r="G159" i="2"/>
  <c r="G49" i="2"/>
  <c r="G120" i="2"/>
  <c r="G149" i="2"/>
  <c r="G268" i="2"/>
  <c r="G20" i="2"/>
  <c r="G162" i="2"/>
  <c r="G151" i="2"/>
  <c r="G148" i="2"/>
  <c r="G147" i="2"/>
  <c r="G227" i="2"/>
  <c r="G228" i="2"/>
  <c r="G229" i="2"/>
  <c r="G257" i="2"/>
  <c r="G112" i="2"/>
  <c r="G145" i="2"/>
  <c r="G50" i="2"/>
  <c r="G51" i="2"/>
  <c r="G5" i="2"/>
  <c r="G6" i="2"/>
  <c r="G146" i="2"/>
  <c r="G144" i="2"/>
  <c r="G158" i="2"/>
  <c r="G161" i="2"/>
  <c r="G180" i="2"/>
  <c r="G96" i="2"/>
  <c r="G47" i="2"/>
  <c r="G35" i="2"/>
  <c r="G90" i="2"/>
  <c r="G30" i="2"/>
  <c r="G99" i="2"/>
  <c r="G98" i="2"/>
  <c r="G100" i="2"/>
  <c r="G106" i="2"/>
  <c r="G250" i="2"/>
  <c r="G251" i="2"/>
  <c r="G92" i="2"/>
  <c r="G66" i="2"/>
  <c r="G107" i="2"/>
  <c r="G48" i="2"/>
  <c r="G235" i="2" l="1"/>
  <c r="G101" i="2" l="1"/>
  <c r="G203" i="2"/>
  <c r="G27" i="2"/>
  <c r="G65" i="2"/>
  <c r="G232" i="2"/>
  <c r="G87" i="2"/>
  <c r="G171" i="2"/>
  <c r="G103" i="2"/>
  <c r="G104" i="2"/>
  <c r="G231" i="2"/>
  <c r="G70" i="2"/>
  <c r="G71" i="2"/>
  <c r="G109" i="2"/>
  <c r="G215" i="2"/>
  <c r="G134" i="2"/>
  <c r="G267" i="2"/>
  <c r="G102" i="2" l="1"/>
  <c r="G58" i="2"/>
  <c r="G97" i="2"/>
  <c r="G169" i="2"/>
  <c r="G85" i="2"/>
  <c r="G24" i="2"/>
  <c r="G89" i="2"/>
  <c r="G255" i="2"/>
  <c r="G247" i="2"/>
  <c r="G86" i="2" l="1"/>
  <c r="G205" i="2"/>
  <c r="G19" i="2"/>
  <c r="G64" i="2" l="1"/>
  <c r="G168" i="2" l="1"/>
  <c r="G81" i="2"/>
  <c r="G31" i="2"/>
  <c r="G220" i="2"/>
  <c r="G264" i="2"/>
  <c r="G280" i="2"/>
  <c r="G282" i="2"/>
  <c r="G59" i="2"/>
  <c r="G108" i="2"/>
  <c r="G212" i="2"/>
  <c r="G111" i="2"/>
  <c r="G165" i="2"/>
  <c r="G7" i="2"/>
  <c r="G157" i="2"/>
  <c r="G2" i="2"/>
  <c r="G135" i="2"/>
  <c r="G3" i="2"/>
  <c r="G224" i="2"/>
  <c r="G207" i="2"/>
  <c r="G210" i="2"/>
  <c r="G80" i="2"/>
  <c r="G223" i="2"/>
  <c r="G153" i="2"/>
  <c r="G238" i="2"/>
  <c r="G237" i="2"/>
  <c r="G16" i="2"/>
  <c r="G67" i="2"/>
  <c r="G23" i="2"/>
  <c r="G26" i="2"/>
  <c r="G21" i="2"/>
  <c r="G28" i="2"/>
  <c r="G193" i="2"/>
  <c r="G186" i="2"/>
  <c r="G185" i="2"/>
  <c r="G195" i="2"/>
  <c r="G184" i="2"/>
  <c r="G69" i="2"/>
  <c r="G38" i="2"/>
  <c r="G46" i="2"/>
  <c r="G45" i="2"/>
  <c r="G222" i="2" l="1"/>
  <c r="G219" i="2"/>
  <c r="G218" i="2"/>
  <c r="G217" i="2"/>
  <c r="G221" i="2"/>
  <c r="G216" i="2"/>
  <c r="G213" i="2"/>
  <c r="G91" i="2"/>
  <c r="G29" i="2"/>
  <c r="G55" i="2"/>
  <c r="G14" i="2"/>
  <c r="G52" i="2"/>
  <c r="G110" i="2"/>
  <c r="G54" i="2"/>
  <c r="G263" i="2"/>
  <c r="G13" i="2"/>
  <c r="G12" i="2"/>
  <c r="G211" i="2"/>
  <c r="G88" i="2"/>
  <c r="G93" i="2"/>
  <c r="G8" i="2"/>
  <c r="G68" i="2"/>
  <c r="G79" i="2"/>
  <c r="G61" i="2"/>
  <c r="G253" i="2"/>
  <c r="G62" i="2"/>
  <c r="G18" i="2"/>
  <c r="G17" i="2"/>
  <c r="G57" i="2"/>
  <c r="G75" i="2"/>
  <c r="G78" i="2"/>
  <c r="G76" i="2"/>
  <c r="G77" i="2"/>
  <c r="G256" i="2"/>
  <c r="G84" i="2"/>
  <c r="G74" i="2"/>
  <c r="G105" i="2"/>
  <c r="G204" i="2"/>
  <c r="G63" i="2"/>
  <c r="G259" i="2"/>
  <c r="G214" i="2"/>
  <c r="G15" i="2"/>
  <c r="G226" i="2"/>
  <c r="G225" i="2"/>
  <c r="G258" i="2"/>
  <c r="G94" i="2"/>
  <c r="G95" i="2"/>
  <c r="G266" i="2"/>
  <c r="G265" i="2"/>
  <c r="G239" i="2"/>
  <c r="G236" i="2"/>
  <c r="G22" i="2"/>
  <c r="G25" i="2"/>
  <c r="G82" i="2"/>
  <c r="G155" i="2"/>
  <c r="G154" i="2"/>
  <c r="G254" i="2"/>
  <c r="G248" i="2"/>
  <c r="G242" i="2"/>
  <c r="G246" i="2"/>
  <c r="G244" i="2"/>
  <c r="G245" i="2"/>
  <c r="G243" i="2"/>
  <c r="G206" i="2"/>
  <c r="G209" i="2"/>
  <c r="G208" i="2"/>
  <c r="G197" i="2"/>
  <c r="G194" i="2"/>
  <c r="G189" i="2"/>
  <c r="G192" i="2"/>
  <c r="G196" i="2"/>
  <c r="G181" i="2"/>
  <c r="G188" i="2"/>
  <c r="G191" i="2"/>
  <c r="G183" i="2"/>
  <c r="G187" i="2"/>
  <c r="G190" i="2"/>
  <c r="G182" i="2"/>
  <c r="G60" i="2"/>
  <c r="G260" i="2"/>
  <c r="G170" i="2"/>
  <c r="G166" i="2"/>
  <c r="G172" i="2"/>
  <c r="G174" i="2"/>
  <c r="G173" i="2"/>
  <c r="G44" i="2"/>
  <c r="G32" i="2"/>
  <c r="G43" i="2"/>
  <c r="G34" i="2"/>
  <c r="G33" i="2"/>
  <c r="G39" i="2"/>
  <c r="G42" i="2"/>
  <c r="G41" i="2"/>
  <c r="G40" i="2"/>
  <c r="G273" i="2"/>
  <c r="G279" i="2"/>
  <c r="G278" i="2"/>
  <c r="G271" i="2"/>
  <c r="G270" i="2"/>
  <c r="G275" i="2"/>
  <c r="G277" i="2"/>
  <c r="G276" i="2"/>
  <c r="G274" i="2"/>
  <c r="G272" i="2"/>
  <c r="G200" i="2"/>
  <c r="G198" i="2"/>
  <c r="G199" i="2"/>
  <c r="G128" i="2"/>
  <c r="G127" i="2"/>
  <c r="G126" i="2"/>
  <c r="G124" i="2"/>
  <c r="G138" i="2"/>
  <c r="G137" i="2"/>
  <c r="G136" i="2"/>
  <c r="G133" i="2"/>
  <c r="G132" i="2"/>
  <c r="G131" i="2"/>
  <c r="G130" i="2"/>
  <c r="G129" i="2"/>
  <c r="G142" i="2"/>
  <c r="G123" i="2"/>
  <c r="G119" i="2"/>
  <c r="G118" i="2"/>
  <c r="G117" i="2"/>
  <c r="G116" i="2"/>
  <c r="G115" i="2"/>
  <c r="G141" i="2"/>
  <c r="G122" i="2"/>
  <c r="G121" i="2"/>
  <c r="G143" i="2"/>
  <c r="G140" i="2"/>
  <c r="G139" i="2"/>
  <c r="G114" i="2"/>
</calcChain>
</file>

<file path=xl/sharedStrings.xml><?xml version="1.0" encoding="utf-8"?>
<sst xmlns="http://schemas.openxmlformats.org/spreadsheetml/2006/main" count="3458" uniqueCount="1611">
  <si>
    <t>Row Labels</t>
  </si>
  <si>
    <t>Count of Month release</t>
  </si>
  <si>
    <t>Count of Year released</t>
  </si>
  <si>
    <t>January</t>
  </si>
  <si>
    <t>hy (Korea Yakult)</t>
  </si>
  <si>
    <t>April</t>
  </si>
  <si>
    <t>LG H&amp;H</t>
  </si>
  <si>
    <t>Pulmuone Lohas</t>
  </si>
  <si>
    <t>May</t>
  </si>
  <si>
    <t>Kwangdong Pharmaceutical</t>
  </si>
  <si>
    <t>July</t>
  </si>
  <si>
    <t>KGC</t>
  </si>
  <si>
    <t>August</t>
  </si>
  <si>
    <t>September</t>
  </si>
  <si>
    <t>Chunho N Care</t>
  </si>
  <si>
    <t>November</t>
  </si>
  <si>
    <t>Boram Bio</t>
  </si>
  <si>
    <t>March</t>
  </si>
  <si>
    <t xml:space="preserve">Kwangdong Geongangwon </t>
  </si>
  <si>
    <t>June</t>
  </si>
  <si>
    <t>Yuhan Care</t>
  </si>
  <si>
    <t>Grand Total</t>
  </si>
  <si>
    <t>Company</t>
  </si>
  <si>
    <t>Product</t>
  </si>
  <si>
    <t>Product name in Korean</t>
    <phoneticPr fontId="0" type="noConversion"/>
  </si>
  <si>
    <t>Unit size</t>
  </si>
  <si>
    <t>Units</t>
  </si>
  <si>
    <t>Total</t>
  </si>
  <si>
    <t>Price (KRW)</t>
  </si>
  <si>
    <t>Serving size</t>
  </si>
  <si>
    <t>Deer velvet % (solids)</t>
  </si>
  <si>
    <t>Deer velvet content in Korean</t>
    <phoneticPr fontId="0" type="noConversion"/>
  </si>
  <si>
    <t>Year released</t>
  </si>
  <si>
    <t>Month release</t>
  </si>
  <si>
    <t>Description</t>
  </si>
  <si>
    <t>Origin of Deer Velvet</t>
  </si>
  <si>
    <t>Channel Focus</t>
  </si>
  <si>
    <t>Target Consumer</t>
  </si>
  <si>
    <t>Add link</t>
  </si>
  <si>
    <t>Amazon Herb</t>
  </si>
  <si>
    <t>Chosun Hwangrim Chimhyang Gong Jin Dan</t>
  </si>
  <si>
    <t>조선 황림 침향 공진단</t>
  </si>
  <si>
    <t>g</t>
  </si>
  <si>
    <t>3.75 x 1 time per day</t>
  </si>
  <si>
    <t>Deer velvet powder 5%</t>
  </si>
  <si>
    <t>녹용 분말 5%</t>
  </si>
  <si>
    <t>Ball</t>
  </si>
  <si>
    <t>New Zealand</t>
  </si>
  <si>
    <t>E-commerce</t>
  </si>
  <si>
    <t>Adults</t>
  </si>
  <si>
    <t>http://www.11st.co.kr/products/2924547653?utm_medium=%EA%B0%80%EA%B2%A9%EB%B9%84%EA%B5%90&amp;utm_source=%EB%84%A4%EC%9D%B4%EB%B2%84_PC_PCS&amp;utm_campaign=%EB%84%A4%EC%9D%B4%EB%B2%84pc_%EA%B0%80%EA%B2%A9%EB%B9%84%EA%B5%90%EA%B8%B0%EB%B3%B8&amp;NaPm=ct%3Dkfncuaqo%7Cci%3Da05133ecc4e91e80dc442d3eb76cab7d910bbc02%7Ctr%3Dsls%7Csn%3D17703%7Chk%3Dc9c77b482543727ee97f0f61d0c6dec1fb8665f7&amp;utm_term=</t>
  </si>
  <si>
    <t>Amore Pacific</t>
  </si>
  <si>
    <t>Myungjak Soocheon</t>
  </si>
  <si>
    <t>명작수천</t>
  </si>
  <si>
    <t>gram</t>
  </si>
  <si>
    <t>25 x 1 time per day</t>
  </si>
  <si>
    <t>?</t>
  </si>
  <si>
    <t>Ampule</t>
  </si>
  <si>
    <t xml:space="preserve">Amore Pacific door-to-door sales counsellors </t>
  </si>
  <si>
    <t>https://blog.naver.com/frogmdrt/221961359377</t>
  </si>
  <si>
    <t>AhnGook</t>
  </si>
  <si>
    <t>Chim-Hyang-Hwan</t>
  </si>
  <si>
    <t>침향환</t>
  </si>
  <si>
    <t>Deer velvet powder</t>
  </si>
  <si>
    <t>녹용 분말</t>
  </si>
  <si>
    <t>https://shopagh.com/goods/goods_view.php?goodsNo=1000001282</t>
  </si>
  <si>
    <t>AtHome</t>
  </si>
  <si>
    <t>God’s agarwood</t>
  </si>
  <si>
    <t>신의침향</t>
  </si>
  <si>
    <t>Deer velvet powder 6%</t>
  </si>
  <si>
    <t>녹용분말 6%</t>
  </si>
  <si>
    <t>December</t>
  </si>
  <si>
    <t>Russia</t>
  </si>
  <si>
    <t>https://m.agallocha.co.kr/product/detail.html?product_no=14</t>
  </si>
  <si>
    <t>Bebest</t>
  </si>
  <si>
    <t>Kids Velvet Antler &amp; Red Ginseng</t>
  </si>
  <si>
    <t>처음 먹는 녹용 홍삼</t>
  </si>
  <si>
    <t>ml</t>
  </si>
  <si>
    <t>50 x 1 time per day</t>
  </si>
  <si>
    <t>Deer velvet extract (solid component 0.1%) 20%</t>
  </si>
  <si>
    <t>녹용추출액 20% (고형분 0.1%)</t>
  </si>
  <si>
    <t>Pouch</t>
  </si>
  <si>
    <t>Korea</t>
  </si>
  <si>
    <t>Kids</t>
  </si>
  <si>
    <t>http://bebestmall.co.kr/shop/shopdetail.html?branduid=1067123&amp;xcode=028&amp;mcode=001&amp;scode=003&amp;type=X&amp;sort=manual&amp;cur_code=028001&amp;GfDT=aG93UQ%3D%3D</t>
  </si>
  <si>
    <t>Bee Medical</t>
  </si>
  <si>
    <t>Jin Chim Hyang</t>
  </si>
  <si>
    <t>진침향</t>
  </si>
  <si>
    <t>Deer velvet</t>
  </si>
  <si>
    <t>녹용</t>
  </si>
  <si>
    <t>https://smartstore.naver.com/mbnhealth/products/5009053596?NaPm=ct%3Dkfni9uv4%7Cci%3D0366fcede8ae066493a3909124a9d1f7fdd0a9ff%7Ctr%3Dsls%7Csn%3D454952%7Chk%3D767aecfa0348ffa637dacf7aa16a499089851380</t>
  </si>
  <si>
    <t>Bom Korea</t>
  </si>
  <si>
    <t>GinSamRokDan</t>
  </si>
  <si>
    <t>진삼록단</t>
  </si>
  <si>
    <t>1 x 1 time per day</t>
  </si>
  <si>
    <t>Stick</t>
  </si>
  <si>
    <t>https://www.facebook.com/%EB%B4%84%EC%BD%94%EB%A6%AC%EC%95%84-228639261037953</t>
  </si>
  <si>
    <t>Boram Cheongung ChimHyang Hwan</t>
  </si>
  <si>
    <t>보람천궁 침향환</t>
  </si>
  <si>
    <t>https://smartstore.naver.com/doctorbr/products/12309712311</t>
  </si>
  <si>
    <t>Boram Cheongung Giryeok Go</t>
  </si>
  <si>
    <t>보람천궁 기력고</t>
  </si>
  <si>
    <t>1 pouch x 1-2 times per day</t>
  </si>
  <si>
    <t>Deer velvet extract</t>
    <phoneticPr fontId="0" type="noConversion"/>
  </si>
  <si>
    <t>녹용추출액</t>
  </si>
  <si>
    <t>https://smartstore.naver.com/doctorbr/products/12299071067</t>
  </si>
  <si>
    <t xml:space="preserve">Cosmetic The L </t>
  </si>
  <si>
    <t>Blessing Lab Plus Tongchihwan</t>
  </si>
  <si>
    <t>블레싱랩플러스 통치환</t>
  </si>
  <si>
    <t>4.5 x 1-2 times per day</t>
  </si>
  <si>
    <t>https://smartstore.naver.com/blessingmina/products/10243693304</t>
  </si>
  <si>
    <t>ChamDaHan</t>
  </si>
  <si>
    <t>Hongsam Daehwan</t>
  </si>
  <si>
    <t>홍삼대환</t>
  </si>
  <si>
    <t>Deer velvet extract (solid component, over 5%)</t>
  </si>
  <si>
    <t>녹용추출농축액 (고형분5% 이상)</t>
  </si>
  <si>
    <t xml:space="preserve">New Zealand </t>
  </si>
  <si>
    <t>E-commerce and ChamDaHan stores</t>
  </si>
  <si>
    <t>https://smartstore.naver.com/chamdahan/products/4561644573</t>
  </si>
  <si>
    <t>Nokyong Hongsam Jinaek</t>
  </si>
  <si>
    <t>녹용홍삼진액</t>
  </si>
  <si>
    <t>mg</t>
  </si>
  <si>
    <t>Fermented deer velvet concentrate 1.7% (solid component 5%)</t>
  </si>
  <si>
    <t>발효녹용농축액 1.7% (고형분 15%)</t>
  </si>
  <si>
    <t>https://www.chamdahan.com/goods/view?no=613</t>
  </si>
  <si>
    <t>ChamJinSam</t>
  </si>
  <si>
    <t>ChamJinHwan</t>
  </si>
  <si>
    <t>참진환</t>
  </si>
  <si>
    <t>https://www.chamjinsam.com/product/%EC%B0%B8%EC%A7%84%EC%82%BC-%ED%99%8D%EC%82%BC%EC%A0%95-%ED%94%84%EB%A6%AC%EB%AF%B8%EC%97%84-%EC%B0%B8%EC%A7%84%ED%99%98-375g30%ED%99%98/39/</t>
  </si>
  <si>
    <t>Cheongin Healing Bio</t>
    <phoneticPr fontId="0" type="noConversion"/>
  </si>
  <si>
    <t>Nogyong Hongsam Balhyo Jinekk</t>
    <phoneticPr fontId="0" type="noConversion"/>
  </si>
  <si>
    <t>녹용 홍삼 발효 진액</t>
    <phoneticPr fontId="0" type="noConversion"/>
  </si>
  <si>
    <t>ml</t>
    <phoneticPr fontId="0" type="noConversion"/>
  </si>
  <si>
    <t>100 x 2-3 times per day</t>
    <phoneticPr fontId="0" type="noConversion"/>
  </si>
  <si>
    <t>Deer velvet ginseng fermented liquid 97%</t>
    <phoneticPr fontId="0" type="noConversion"/>
  </si>
  <si>
    <t xml:space="preserve">녹용홍삼발효액 97% </t>
    <phoneticPr fontId="0" type="noConversion"/>
  </si>
  <si>
    <t>Pouch</t>
    <phoneticPr fontId="0" type="noConversion"/>
  </si>
  <si>
    <t>Russia</t>
    <phoneticPr fontId="0" type="noConversion"/>
  </si>
  <si>
    <t>Adults</t>
    <phoneticPr fontId="0" type="noConversion"/>
  </si>
  <si>
    <t>http://www.cheongin.co.kr/shop/goods/goods_view.php?goodsno=454&amp;category</t>
  </si>
  <si>
    <t>Cheongin Nokyong Hongsam</t>
  </si>
  <si>
    <t>청인 녹용홍삼</t>
  </si>
  <si>
    <t>100 x 2-3 times per day</t>
  </si>
  <si>
    <t>pouch</t>
  </si>
  <si>
    <t>http://www.cheongin.co.kr/m2/goods/view.php?goodsno=454</t>
  </si>
  <si>
    <t>CheonNyeon SoonSoo Hongsam</t>
  </si>
  <si>
    <t>Hongsam Jin Premium Soon</t>
    <phoneticPr fontId="0" type="noConversion"/>
  </si>
  <si>
    <t>홍삼진 프리미엄 순</t>
    <phoneticPr fontId="0" type="noConversion"/>
  </si>
  <si>
    <t>50 x 1 time per day</t>
    <phoneticPr fontId="0" type="noConversion"/>
  </si>
  <si>
    <t>New Zealand</t>
    <phoneticPr fontId="0" type="noConversion"/>
  </si>
  <si>
    <t>http://redginseng.net/shop/item.php?it_id=1536546675</t>
  </si>
  <si>
    <t>Hongsam Jin Premium Soo</t>
    <phoneticPr fontId="0" type="noConversion"/>
  </si>
  <si>
    <t>홍삼진 프리미엄 수</t>
    <phoneticPr fontId="0" type="noConversion"/>
  </si>
  <si>
    <t>Deer velvet extract</t>
  </si>
  <si>
    <t>http://redginseng.net/shop/item.php?it_id=1536546670</t>
  </si>
  <si>
    <t>CheonSimWon</t>
    <phoneticPr fontId="3" type="noConversion"/>
  </si>
  <si>
    <t>Cheonsim Hwan</t>
    <phoneticPr fontId="3" type="noConversion"/>
  </si>
  <si>
    <t>천심환</t>
    <phoneticPr fontId="3" type="noConversion"/>
  </si>
  <si>
    <t>g</t>
    <phoneticPr fontId="3" type="noConversion"/>
  </si>
  <si>
    <t>4.5 x 1 time per day</t>
    <phoneticPr fontId="3" type="noConversion"/>
  </si>
  <si>
    <t>Deer velvet bungol 7.14%</t>
    <phoneticPr fontId="3" type="noConversion"/>
  </si>
  <si>
    <t>녹용분골 7.14%</t>
    <phoneticPr fontId="3" type="noConversion"/>
  </si>
  <si>
    <t>Russia</t>
    <phoneticPr fontId="3" type="noConversion"/>
  </si>
  <si>
    <t>Adults</t>
    <phoneticPr fontId="3" type="noConversion"/>
  </si>
  <si>
    <t>http://www.cheonsimwon.com/goods/goods_view.php?goodsNo=1000000173&amp;mtn=8%5E%7C%5EPRODUCT%5E%7C%5En</t>
  </si>
  <si>
    <t>Cheon Ji Yang</t>
  </si>
  <si>
    <t>Nokyong Hongsam Jinaek Hyun</t>
  </si>
  <si>
    <t>녹용홍삼 진액스틱 현</t>
  </si>
  <si>
    <t>10 x 1 time per day</t>
  </si>
  <si>
    <t>Deer velvet extract liquid 8% (velvet 0.45% and aqua)</t>
  </si>
  <si>
    <t>녹용추출액(정제수, 녹용 0.45%) 8%</t>
  </si>
  <si>
    <t>https://www.cheonjiyang.co.kr/product/12428</t>
  </si>
  <si>
    <t>Chong Kun Dang Health Care</t>
  </si>
  <si>
    <t xml:space="preserve">Hwalryuk Nogyong Dan </t>
  </si>
  <si>
    <t>활력녹용단</t>
  </si>
  <si>
    <t>http://www.ckdhc.com/product/productView.do?r=CKD_CATE00000006&amp;category=CKD_CATE00000051&amp;prodCode=CHC0000045</t>
  </si>
  <si>
    <t>HyunRokHwang</t>
  </si>
  <si>
    <t>현록황</t>
  </si>
  <si>
    <t>Bottle</t>
  </si>
  <si>
    <t>http://www.ckdhc.com/product/productView.do?category=CKD_CATE00000051&amp;prodCode=CHC0000053</t>
  </si>
  <si>
    <t>Hwalryuk Nogyong</t>
  </si>
  <si>
    <t>활력녹용</t>
  </si>
  <si>
    <t>50 x 1-2 times per day</t>
  </si>
  <si>
    <t>Deer velvet extract (solid component 0.1%) 75%</t>
  </si>
  <si>
    <t>녹용추출액 (고형분 0.1%) 75%</t>
  </si>
  <si>
    <t>Costco stores</t>
  </si>
  <si>
    <t>https://smartstore.naver.com/no1costco/products/4755675586</t>
  </si>
  <si>
    <t>Kids Junior Hongsam</t>
    <phoneticPr fontId="3" type="noConversion"/>
  </si>
  <si>
    <t>키즈 주니어 홍삼</t>
    <phoneticPr fontId="3" type="noConversion"/>
  </si>
  <si>
    <t>ml</t>
    <phoneticPr fontId="3" type="noConversion"/>
  </si>
  <si>
    <t>20 x 1 time per day</t>
    <phoneticPr fontId="3" type="noConversion"/>
  </si>
  <si>
    <t>Deer velvet</t>
    <phoneticPr fontId="3" type="noConversion"/>
  </si>
  <si>
    <t>녹용</t>
    <phoneticPr fontId="3" type="noConversion"/>
  </si>
  <si>
    <t>Costco stores</t>
    <phoneticPr fontId="3" type="noConversion"/>
  </si>
  <si>
    <t>Children</t>
    <phoneticPr fontId="3" type="noConversion"/>
  </si>
  <si>
    <t>Hongsam Nokyong Premium</t>
    <phoneticPr fontId="0" type="noConversion"/>
  </si>
  <si>
    <t>홍삼 녹용 프리미엄</t>
    <phoneticPr fontId="0" type="noConversion"/>
  </si>
  <si>
    <t>Deer velvet 7.5%</t>
    <phoneticPr fontId="0" type="noConversion"/>
  </si>
  <si>
    <t>녹용 7.5%</t>
    <phoneticPr fontId="0" type="noConversion"/>
  </si>
  <si>
    <t>http://www.ckdhcmall.com/product/view.asp?ProductNo=2223</t>
  </si>
  <si>
    <t>Hwalryuk Nogyong Stick</t>
  </si>
  <si>
    <t>활력녹용스틱</t>
  </si>
  <si>
    <t>Deer velvet concentrate (solid component 5%) 10%</t>
  </si>
  <si>
    <t>녹용 농축액 (고형분 5%) 10%</t>
  </si>
  <si>
    <t>http://www.ckdhc.com/product/productView.do?r=CKD_CATE00000006&amp;category=CKD_CATE00000051&amp;prodCode=CHC0000046</t>
  </si>
  <si>
    <t>Chong Kun Dang</t>
    <phoneticPr fontId="0" type="noConversion"/>
  </si>
  <si>
    <t>Chim-Hyang-Hwan Premium</t>
  </si>
  <si>
    <t>침향환 프리미엄</t>
  </si>
  <si>
    <t>Deer velvet 10%</t>
  </si>
  <si>
    <t>녹용 10%</t>
  </si>
  <si>
    <t>https://smartstore.naver.com/chongkundang/products/5995055168?NaPm=ct%3Dky13fm7s%7Cci%3D854f945b6c37ed36f76ffab08f26bbff75b8ec6f%7Ctr%3Dsls%7Csn%3D3917198%7Chk%3D2d9e4690a91444a9728c943677b44c15ebfc84bf</t>
  </si>
  <si>
    <t>Choroc Maeul</t>
  </si>
  <si>
    <t>I Hongsam</t>
  </si>
  <si>
    <t>아이홍삼</t>
  </si>
  <si>
    <t>1000 x 1 time per day</t>
  </si>
  <si>
    <t>Deer velvet extract (solid component 0.5%) 5%</t>
  </si>
  <si>
    <t>녹용추출액 (고형분0.5%) 5%</t>
  </si>
  <si>
    <t>Choroc Maeul stores</t>
  </si>
  <si>
    <t>Children</t>
  </si>
  <si>
    <t>https://www.choroc.com/green/webpage/goods/goodsDetail.jsp?mall_cd=1&amp;store_cd=9002&amp;media_cd=00&amp;category_id=11100&amp;goods_cd=WG024619</t>
  </si>
  <si>
    <t>6 Years Jeongseong Hongsam Nogyong Stick</t>
  </si>
  <si>
    <t>6년 정성 홍삼 녹용 스틱</t>
  </si>
  <si>
    <t>Deer velvet concentrate (solid component 5%) 5%</t>
  </si>
  <si>
    <t>녹용농축액 (고형분5%) 5%,</t>
  </si>
  <si>
    <t>https://www.choroc.com/green/webpage/goods/goodsDetail.jsp?goods_cd=WG024490#detail1</t>
  </si>
  <si>
    <t>ChoSamWon</t>
  </si>
  <si>
    <t>ChoSamWon Nogyong Hongsam Stick</t>
  </si>
  <si>
    <t>조삼원 녹용 홍삼 스틱</t>
  </si>
  <si>
    <t>20 x 2-3 times per day</t>
  </si>
  <si>
    <t>Deer velvet extracts (solid component 0.1%) 40%</t>
  </si>
  <si>
    <t>녹용 추출액 (고형분 0.1%) 40%</t>
  </si>
  <si>
    <t>http://itempage3.auction.co.kr/DetailView.aspx?ItemNo=C652473902&amp;frm3=V2</t>
  </si>
  <si>
    <t>Chosun Boutique</t>
  </si>
  <si>
    <t>Gong Bit Dan</t>
  </si>
  <si>
    <t>공빛단</t>
  </si>
  <si>
    <t>15 x 1 time per day</t>
  </si>
  <si>
    <t>Deer velvet bungol 2g</t>
  </si>
  <si>
    <t>녹용분골 2g</t>
  </si>
  <si>
    <t>https://chosunboutique.com/shop/detail</t>
  </si>
  <si>
    <t>CheonSamBoRyuk</t>
  </si>
  <si>
    <t>천삼보력</t>
  </si>
  <si>
    <t>30 x 1 time per day</t>
  </si>
  <si>
    <t>Call center and E-commerce</t>
  </si>
  <si>
    <t>https://www.chunhomall.com/product_view/PBP1907023</t>
  </si>
  <si>
    <t>Cheonjin Dan</t>
    <phoneticPr fontId="0" type="noConversion"/>
  </si>
  <si>
    <t>천진단</t>
    <phoneticPr fontId="0" type="noConversion"/>
  </si>
  <si>
    <t>gm</t>
    <phoneticPr fontId="0" type="noConversion"/>
  </si>
  <si>
    <t>4 x 1-2 times per day</t>
    <phoneticPr fontId="0" type="noConversion"/>
  </si>
  <si>
    <t>Deer velvet 12%</t>
    <phoneticPr fontId="0" type="noConversion"/>
  </si>
  <si>
    <t>녹용 12%</t>
    <phoneticPr fontId="0" type="noConversion"/>
  </si>
  <si>
    <t>https://www.chunhomall.com/pageP/view.asp?p_prodcd=PBP1612030</t>
  </si>
  <si>
    <t>Taehwang CheonJin Dan</t>
    <phoneticPr fontId="3" type="noConversion"/>
  </si>
  <si>
    <t>태황천진단</t>
    <phoneticPr fontId="3" type="noConversion"/>
  </si>
  <si>
    <t>gram</t>
    <phoneticPr fontId="3" type="noConversion"/>
  </si>
  <si>
    <t>4.5 x 1-2 times per day</t>
    <phoneticPr fontId="3" type="noConversion"/>
  </si>
  <si>
    <t>https://www.chunhomall.com/product_view/PBP2203006</t>
  </si>
  <si>
    <t>Chimhyang CheonJin Dan</t>
  </si>
  <si>
    <t>침향천진단</t>
  </si>
  <si>
    <t>4 x 1-2 times per day</t>
  </si>
  <si>
    <t>Deer velvet 12%</t>
  </si>
  <si>
    <t>https://www.chunhomall.com/product_view/PBP2405001</t>
  </si>
  <si>
    <t>Sahyang CheonJin Dan</t>
  </si>
  <si>
    <t>사향천진단</t>
  </si>
  <si>
    <t>https://www.chunhomall.com/product_view/PBP2509014</t>
  </si>
  <si>
    <t>Cheonsam Boryuk</t>
  </si>
  <si>
    <t>30 x 1-2 time per day</t>
  </si>
  <si>
    <t>Boa Nokyong</t>
    <phoneticPr fontId="0" type="noConversion"/>
  </si>
  <si>
    <t>보아 녹용</t>
    <phoneticPr fontId="0" type="noConversion"/>
  </si>
  <si>
    <t>40 x 1 time per day</t>
    <phoneticPr fontId="0" type="noConversion"/>
  </si>
  <si>
    <t>Deer velvet extract liquid 82.4% (deer velvet 3.1%)</t>
    <phoneticPr fontId="0" type="noConversion"/>
  </si>
  <si>
    <t>녹용추출액 82.4% (녹용 3.1%)</t>
    <phoneticPr fontId="0" type="noConversion"/>
  </si>
  <si>
    <t>Kids</t>
    <phoneticPr fontId="0" type="noConversion"/>
  </si>
  <si>
    <t>https://www.chunhomall.com/pageP/view.asp?p_prodcd=PBP1710002</t>
  </si>
  <si>
    <t>Cheonsimbon Nokyong Hongsam</t>
    <phoneticPr fontId="0" type="noConversion"/>
  </si>
  <si>
    <t>천심본 녹용 홍삼</t>
    <phoneticPr fontId="0" type="noConversion"/>
  </si>
  <si>
    <t>80 x 1-2 times per day</t>
    <phoneticPr fontId="0" type="noConversion"/>
  </si>
  <si>
    <t>Deer velvet 1.92%</t>
    <phoneticPr fontId="0" type="noConversion"/>
  </si>
  <si>
    <t>녹용 1.92%</t>
    <phoneticPr fontId="0" type="noConversion"/>
  </si>
  <si>
    <t>https://www.chunhomall.com/pageP/view.asp?p_prodcd=PBP1704001</t>
  </si>
  <si>
    <t>Nokyong Hongsam Smart</t>
    <phoneticPr fontId="0" type="noConversion"/>
  </si>
  <si>
    <t>녹용 홍삼 스마트</t>
    <phoneticPr fontId="0" type="noConversion"/>
  </si>
  <si>
    <t>70 x 2-3 times per day</t>
    <phoneticPr fontId="0" type="noConversion"/>
  </si>
  <si>
    <t>Deer velvet extract liquid 9% (deer velvet 10%)</t>
    <phoneticPr fontId="0" type="noConversion"/>
  </si>
  <si>
    <t>녹용추출액 9% (녹용 10%)</t>
    <phoneticPr fontId="0" type="noConversion"/>
  </si>
  <si>
    <t>https://www.chunhomall.com/pageP/view.asp?p_prodcd=PBP1803006</t>
  </si>
  <si>
    <t>HwangJe Nokyong Hongsam</t>
    <phoneticPr fontId="0" type="noConversion"/>
  </si>
  <si>
    <t>황제 녹용 홍삼</t>
    <phoneticPr fontId="0" type="noConversion"/>
  </si>
  <si>
    <t>Deer velvet mixed extract liquid 84.7% (deer velvet 24%)</t>
    <phoneticPr fontId="0" type="noConversion"/>
  </si>
  <si>
    <t>녹용등 혼합추출액 84.7% (녹용 24%)</t>
    <phoneticPr fontId="0" type="noConversion"/>
  </si>
  <si>
    <t>https://www.chunhomall.com/pageP/view.asp?p_prodcd=PBP1809018</t>
    <phoneticPr fontId="0" type="noConversion"/>
  </si>
  <si>
    <t>Nokyong Kiryuk Jin</t>
  </si>
  <si>
    <t>녹용기력진</t>
  </si>
  <si>
    <t>60 x 1 time per day</t>
  </si>
  <si>
    <t>Deer velvet extract liquid 70% (deer velvet 0.1%)</t>
  </si>
  <si>
    <t>녹용추출액 70% (고형분 0.1%)</t>
  </si>
  <si>
    <t>https://www.chunhomall.com/product_view/PBP1909001</t>
  </si>
  <si>
    <t>TeunTeunSsukSsuk Nogyong Hongsam</t>
  </si>
  <si>
    <t>튼튼쑥쑥 녹용 홍삼</t>
  </si>
  <si>
    <t>40 x 1 time per day</t>
  </si>
  <si>
    <t>Deer velvet extract 1% (solid component 0.1%)</t>
  </si>
  <si>
    <t>녹용 추출액 1% (고형부 0.1%)</t>
  </si>
  <si>
    <t>https://www.chunhomall.com/product_view/PBP1912007</t>
  </si>
  <si>
    <t>Nogyong Hongsam Jin</t>
  </si>
  <si>
    <t>녹용 홍삼진</t>
  </si>
  <si>
    <t xml:space="preserve"> ml </t>
  </si>
  <si>
    <t xml:space="preserve">10 x 1-2 times per day </t>
  </si>
  <si>
    <t xml:space="preserve"> Deer velvet extract 60.5% (solid component 0.1%)</t>
  </si>
  <si>
    <t>녹용 추출액 60.5% (고형분 0.1%)</t>
  </si>
  <si>
    <t>https://www.chunhomall.com/product_view/PBP1912005</t>
  </si>
  <si>
    <t>Hongsam Smart Plus</t>
  </si>
  <si>
    <t>홍삼 스마트 플러스</t>
  </si>
  <si>
    <t>Students</t>
  </si>
  <si>
    <t>https://www.chunhomall.com/product_view/PBP2004014</t>
  </si>
  <si>
    <t>TeunTeunSsukSsuk Nogyong Hongsam Stick</t>
  </si>
  <si>
    <t>튼튼쑥쑥 녹용 홍삼 스틱</t>
  </si>
  <si>
    <t>20 x 1 time per day</t>
  </si>
  <si>
    <t>Deer velvet concentrate 5% (solid component 10%)</t>
  </si>
  <si>
    <t>녹용 농축액 5% (고형분 10%)</t>
  </si>
  <si>
    <t>http://itempage3.auction.co.kr/DetailView.aspx?ItemNo=C534583439&amp;frm3=V2</t>
  </si>
  <si>
    <t>Haru Hwallyuk Jin Nogyong Hongsam</t>
  </si>
  <si>
    <t>하루활력 진녹용홍삼</t>
  </si>
  <si>
    <t>70 x 1-2 times per day</t>
  </si>
  <si>
    <t>https://www.chunhomall.com/search/%ED%95%98%EB%A3%A8%20%ED%99%9C%EB%A0%A5%20%EC%A7%84%EB%85%B9%EC%9A%A9%ED%99%8D%EC%82%BC</t>
  </si>
  <si>
    <t>Cheonsimbon Nokyong Maneul</t>
  </si>
  <si>
    <t>천심본 녹용 마늘</t>
  </si>
  <si>
    <t>80 x 2-3 times per day</t>
  </si>
  <si>
    <t>Deer velvet mixed extract liquid 79.7% (deer velvet 0.4%)</t>
  </si>
  <si>
    <t>녹용등 혼합추출액 79.7% (녹용 0.4%)</t>
  </si>
  <si>
    <t xml:space="preserve">Adults </t>
  </si>
  <si>
    <t>https://www.chunhomall.com/product_view/PBP2307022</t>
  </si>
  <si>
    <t>Energy balls</t>
  </si>
  <si>
    <t>원기력단</t>
  </si>
  <si>
    <t>Animal-plant complex powder</t>
  </si>
  <si>
    <t>원기력동식물혼합분말</t>
  </si>
  <si>
    <t>https://brand.naver.com/chunhoncare/products/7404952965</t>
  </si>
  <si>
    <t>CJ Freshway</t>
  </si>
  <si>
    <t>Healthy Nuri Hwanshim</t>
  </si>
  <si>
    <t>헬씨누리 환심</t>
  </si>
  <si>
    <t>Unspecified</t>
  </si>
  <si>
    <t>https://smartstore.naver.com/cjfreshway01/products/6793985222?NaPm=ct%3Dl636ejq0%7Cci%3D989c369f74b79881b82e210f2d2dd2928af43cb1%7Ctr%3Dsls%7Csn%3D3367938%7Chk%3D9585f5c3b406f7b31a3f0b9f050bd79cfe93db0b</t>
  </si>
  <si>
    <t>Daesang Wellife</t>
  </si>
  <si>
    <t>Nokyong Bonwon Jin</t>
  </si>
  <si>
    <t>녹용 본원진</t>
  </si>
  <si>
    <t>6 x 2 times per day</t>
  </si>
  <si>
    <t>Deer velvet concentrate 22% (solid component, over 5%)</t>
  </si>
  <si>
    <t>녹용농축액 (고형분 5% 이상) 22%</t>
  </si>
  <si>
    <t>Red ginseng extract with deer velvet</t>
  </si>
  <si>
    <t>녹용담은 홍삼진액</t>
  </si>
  <si>
    <t>Deer velvet extract 22.45% (solid component 0.1%)</t>
  </si>
  <si>
    <t>녹용추출액 22.45% (고형분 0.1%)</t>
  </si>
  <si>
    <t>February</t>
  </si>
  <si>
    <t>https://www.wellife.co.kr/products/view/G2001001628</t>
  </si>
  <si>
    <t>Daewoong Life Science</t>
  </si>
  <si>
    <t xml:space="preserve">Daewoong Hwangje 88 Chimhyang Dan </t>
  </si>
  <si>
    <t>대웅 황제 88 침향단</t>
  </si>
  <si>
    <t>Deer velvet 5%</t>
  </si>
  <si>
    <t>녹용 5%</t>
  </si>
  <si>
    <t>http://item.gmarket.co.kr/DetailView/Item.asp?goodscode=1484672779&amp;GoodsSale=Y&amp;jaehuid=200001169&amp;NaPm=ct%3Djyi6kxrs%7Cci%3Dfdceac395f7c6d72012529bcb42424d623e15cf9%7Ctr%3Dsls%7Csn%3D24%7Chk%3D1102a04440448a09a7e804bfb71de5dadbe90484</t>
  </si>
  <si>
    <t>DamWon</t>
  </si>
  <si>
    <t>Kyunghee GongRyukHwan</t>
  </si>
  <si>
    <t>경희공력환</t>
  </si>
  <si>
    <t>Deer velvet extract 3% (solid component 2.6%)</t>
  </si>
  <si>
    <t>녹용추출액 (고형분 2.6%) 3%</t>
  </si>
  <si>
    <t>https://www.dndnmall.co.kr/product/detail.html?product_no=7619&amp;cate_no=24&amp;display_group=1</t>
  </si>
  <si>
    <t>Deer Family</t>
  </si>
  <si>
    <t>UB Bio's Deer Colo Berry</t>
  </si>
  <si>
    <t>디어 콜로 베리</t>
  </si>
  <si>
    <t>100 chewable tablets</t>
  </si>
  <si>
    <t>2-3 tablets per day</t>
  </si>
  <si>
    <t>Deer velvet extracts 1%</t>
  </si>
  <si>
    <t>녹용추출물 1%</t>
  </si>
  <si>
    <t>Kids and adults</t>
  </si>
  <si>
    <t>https://smartstore.naver.com/defamily/products/5847656050?NaPm=ct%3Dky0yejp4%7Cci%3D41aadc9dcf4385179dde9ff6fba2c942463e01b9%7Ctr%3Dsls%7Csn%3D1298722%7Chk%3Db0b71f17250900eebfda88b457790f62791677cd</t>
  </si>
  <si>
    <t>Dongjin Pharmaceutical</t>
    <phoneticPr fontId="0" type="noConversion"/>
  </si>
  <si>
    <t>HoGuanWon</t>
    <phoneticPr fontId="0" type="noConversion"/>
  </si>
  <si>
    <t>호관원</t>
    <phoneticPr fontId="0" type="noConversion"/>
  </si>
  <si>
    <t>N/A</t>
    <phoneticPr fontId="0" type="noConversion"/>
  </si>
  <si>
    <t xml:space="preserve">70 x 2 times per day </t>
    <phoneticPr fontId="0" type="noConversion"/>
  </si>
  <si>
    <t>Deer velvet</t>
    <phoneticPr fontId="0" type="noConversion"/>
  </si>
  <si>
    <t>녹용</t>
    <phoneticPr fontId="0" type="noConversion"/>
  </si>
  <si>
    <t>Korea</t>
    <phoneticPr fontId="0" type="noConversion"/>
  </si>
  <si>
    <t>http://www.hoguanwon.com/</t>
  </si>
  <si>
    <t>Dongsuh Wellbeing</t>
  </si>
  <si>
    <t>EZ Roun Nogyong Hongsam Stick</t>
  </si>
  <si>
    <t>이지로운 녹용홍삼스틱</t>
  </si>
  <si>
    <t>10 x 1-2 times per day</t>
  </si>
  <si>
    <t>Deer velvet extract 5% (solid component 0.1%)</t>
  </si>
  <si>
    <t>녹용추출액 5% (고형분 0.1% 이상)</t>
  </si>
  <si>
    <t>https://smartstore.naver.com/dsp1212/products/5526648817?NaPm=ct%3Dkqudqr08%7Cci%3D8dd9d97448b8dcb8fffa0230786138ed2ea27ae0%7Ctr%3Dsls%7Csn%3D2579198%7Chk%3Dff34b32b896a7963e1d483fdc7684d3e15c85529</t>
  </si>
  <si>
    <t>Donguidang</t>
  </si>
  <si>
    <t>Chim Hyang Hwan</t>
  </si>
  <si>
    <t>동의당 침향환</t>
  </si>
  <si>
    <t>Company shopping mall</t>
  </si>
  <si>
    <t>http://donguidang.com/shop/shopdetail.html?branduid=2177259&amp;xcode=006&amp;mcode=001&amp;scode=&amp;special=1&amp;GfDT=bGl3UQ%3D%3D</t>
  </si>
  <si>
    <t>Esoo Bio</t>
    <phoneticPr fontId="0" type="noConversion"/>
  </si>
  <si>
    <t>Lee Gyungje Nokyong Naekyung Stick</t>
    <phoneticPr fontId="0" type="noConversion"/>
  </si>
  <si>
    <t>이경제 녹용내경 스틱</t>
    <phoneticPr fontId="0" type="noConversion"/>
  </si>
  <si>
    <t>10 x 1 time per day</t>
    <phoneticPr fontId="0" type="noConversion"/>
  </si>
  <si>
    <t>Deer velvet extract (solid component 0.1%) 50%</t>
    <phoneticPr fontId="0" type="noConversion"/>
  </si>
  <si>
    <t>녹용추출물 (고형분 0.1%) 50%</t>
    <phoneticPr fontId="0" type="noConversion"/>
  </si>
  <si>
    <t>Stick</t>
    <phoneticPr fontId="0" type="noConversion"/>
  </si>
  <si>
    <t>Emart Traders, online shopping mall</t>
    <phoneticPr fontId="0" type="noConversion"/>
  </si>
  <si>
    <t>https://smartstore.naver.com/leolee/products/2777026145</t>
  </si>
  <si>
    <t>Eulji Life Science</t>
    <phoneticPr fontId="0" type="noConversion"/>
  </si>
  <si>
    <t>Haema Jinhwan</t>
    <phoneticPr fontId="0" type="noConversion"/>
  </si>
  <si>
    <t>해마진환</t>
    <phoneticPr fontId="0" type="noConversion"/>
  </si>
  <si>
    <t>gram</t>
    <phoneticPr fontId="0" type="noConversion"/>
  </si>
  <si>
    <t>4 x 1 time per day</t>
    <phoneticPr fontId="0" type="noConversion"/>
  </si>
  <si>
    <t>http://euljilife.com/?act=info.page&amp;pcode=s3_2</t>
    <phoneticPr fontId="0" type="noConversion"/>
  </si>
  <si>
    <t>Fine Natural</t>
    <phoneticPr fontId="0" type="noConversion"/>
  </si>
  <si>
    <t>Hwangje Yongryuk Hwan</t>
    <phoneticPr fontId="0" type="noConversion"/>
  </si>
  <si>
    <t>황제활력환</t>
    <phoneticPr fontId="0" type="noConversion"/>
  </si>
  <si>
    <t>3.75 x 1 time per day</t>
    <phoneticPr fontId="0" type="noConversion"/>
  </si>
  <si>
    <t>Gaesung Insam Nonghyup</t>
    <phoneticPr fontId="0" type="noConversion"/>
  </si>
  <si>
    <t>Hongsam Nokyong Jinaek Go</t>
    <phoneticPr fontId="0" type="noConversion"/>
  </si>
  <si>
    <t>홍삼 녹용 진액고</t>
    <phoneticPr fontId="0" type="noConversion"/>
  </si>
  <si>
    <t>3 x 2 times per day</t>
    <phoneticPr fontId="0" type="noConversion"/>
  </si>
  <si>
    <t>Deer velvet concentrate 10.2% (solid component 5%)</t>
    <phoneticPr fontId="0" type="noConversion"/>
  </si>
  <si>
    <t>녹용 농축액 10.2% (고형분 5%)</t>
    <phoneticPr fontId="0" type="noConversion"/>
  </si>
  <si>
    <t>Bottle, spoonable</t>
    <phoneticPr fontId="0" type="noConversion"/>
  </si>
  <si>
    <t xml:space="preserve">New Zealand </t>
    <phoneticPr fontId="0" type="noConversion"/>
  </si>
  <si>
    <t>https://smartstore.naver.com/nprime/products/3537429843</t>
  </si>
  <si>
    <t>Kim O-gon Nokyong Hongsam Be</t>
    <phoneticPr fontId="3" type="noConversion"/>
  </si>
  <si>
    <t>김오곤 녹용홍삼보</t>
    <phoneticPr fontId="3" type="noConversion"/>
  </si>
  <si>
    <t>70 x 1 time per day</t>
    <phoneticPr fontId="3" type="noConversion"/>
  </si>
  <si>
    <t>Deer velvet extract 8% (solid component 0.1%)</t>
    <phoneticPr fontId="3" type="noConversion"/>
  </si>
  <si>
    <t>녹용추출액 8% (고형분 0.1%)</t>
    <phoneticPr fontId="3" type="noConversion"/>
  </si>
  <si>
    <t>Pouch</t>
    <phoneticPr fontId="3" type="noConversion"/>
  </si>
  <si>
    <t>New Zealand</t>
    <phoneticPr fontId="3" type="noConversion"/>
  </si>
  <si>
    <t>TV쇼핑 방송 김오곤 원장의 녹용 홍삼보 6년.. : 네이버블로그 (naver.com)</t>
  </si>
  <si>
    <t>Gauiwon</t>
  </si>
  <si>
    <t>Nogyong Ssanghwacha</t>
  </si>
  <si>
    <t>가의원 녹용쌍화차</t>
  </si>
  <si>
    <t>https://gauiwon.kr/product/%EA%B0%80%EC%9D%98%EC%9B%90-%EB%85%B9%EC%9A%A9-%EC%8C%8D%ED%99%94%EC%B0%A8-2%EA%B0%9C/29/category/52/display/1/</t>
  </si>
  <si>
    <t>Geochang Food</t>
  </si>
  <si>
    <t>Nogyong Bullo Dan</t>
  </si>
  <si>
    <t>녹용불로단</t>
  </si>
  <si>
    <t>5 x 1 time per day</t>
  </si>
  <si>
    <t>Deer velvet 3%</t>
  </si>
  <si>
    <t>녹용 3%</t>
  </si>
  <si>
    <t>https://smartstore.naver.com/gcfood/products/5600718097?NaPm=ct%3Dl1n8bkew%7Cci%3D29bb2d025a63bdc4e256892d91728d7ec18ad475%7Ctr%3Dsls%7Csn%3D331083%7Chk%3Dca91de618579f801bd5fbeed37cae9d39fc1ac59</t>
  </si>
  <si>
    <t>Green Bio</t>
  </si>
  <si>
    <t>Kim Munho Euddeum Nogyong</t>
  </si>
  <si>
    <t>김문호 으뜸 녹용</t>
  </si>
  <si>
    <t>Deer velvet extract (solid component 0.1%) 70%</t>
  </si>
  <si>
    <t>녹용추출액 (고형분 0.1%) 70%</t>
  </si>
  <si>
    <t>Gongyoung cable TV home shopping channel</t>
  </si>
  <si>
    <t>https://www.gongyoungshop.kr/goods/selectGoodsDetail.do?prdId=11222165</t>
  </si>
  <si>
    <t>Green Store</t>
  </si>
  <si>
    <t>Green Store Nokyong Bo</t>
  </si>
  <si>
    <t>그린스토어 녹용보</t>
  </si>
  <si>
    <t>Deer velvet extract powder</t>
  </si>
  <si>
    <t>녹용추출분말</t>
  </si>
  <si>
    <t>Drug stores</t>
  </si>
  <si>
    <t>http://green-store.co.kr/xe/board_qEzza24/141263</t>
  </si>
  <si>
    <t>Green Store Nogyong Bo</t>
  </si>
  <si>
    <t>13 x 1 time per day</t>
  </si>
  <si>
    <t>Deer velvet extract powder 3.093%</t>
  </si>
  <si>
    <t>녹용 추출 분말 3.093%</t>
  </si>
  <si>
    <t>Pharmacies</t>
  </si>
  <si>
    <t>http://green-store.co.kr/xe/board_qEzza24/170989</t>
  </si>
  <si>
    <t>HA.routine</t>
  </si>
  <si>
    <t>HA. Routine Nogyong Hongsam Premium</t>
  </si>
  <si>
    <t>하루틴 녹용홍삼 프리미엄</t>
  </si>
  <si>
    <t>HA. Routine Nogyong Stick</t>
  </si>
  <si>
    <t>하루틴 녹용스틱</t>
  </si>
  <si>
    <t>Deer velvet and herbs mixed extracts (solid component 2%) 95%</t>
  </si>
  <si>
    <t>녹용식물혼합추출액 (고형분 2% 이상) 95%</t>
  </si>
  <si>
    <t>https://haroutine.co.kr/product/%ED%95%98%EB%A3%A8%ED%8B%B4-%EB%85%B9%EC%9A%A9%EC%8A%A4%ED%8B%B1-10%ED%8F%AC-x-3%EB%B0%95%EC%8A%A4-30%EC%9D%BC%EB%B6%84%EC%84%A0%EB%AC%BC%EC%9A%A9%EC%87%BC%ED%95%91%EB%B0%B1/33/category/36/display/1/#none</t>
  </si>
  <si>
    <t>Han Sam Geun</t>
    <phoneticPr fontId="0" type="noConversion"/>
  </si>
  <si>
    <t>Hwangje Hwangyong Dan</t>
    <phoneticPr fontId="0" type="noConversion"/>
  </si>
  <si>
    <t>황제황용단</t>
    <phoneticPr fontId="0" type="noConversion"/>
  </si>
  <si>
    <t>Deer velvet powder</t>
    <phoneticPr fontId="0" type="noConversion"/>
  </si>
  <si>
    <t>http://hansamgeun.com/</t>
  </si>
  <si>
    <t>Handong</t>
  </si>
  <si>
    <t>Handong Lab Hyoryukwhan</t>
  </si>
  <si>
    <t>한동녹용연구소 효력환</t>
  </si>
  <si>
    <t>3.75g x 1 time per day</t>
  </si>
  <si>
    <t>https://handonglab.com/shop_view/?idx=47</t>
  </si>
  <si>
    <t>HanEui BoGam</t>
    <phoneticPr fontId="0" type="noConversion"/>
  </si>
  <si>
    <t>HanEui BoGam Nokyong Hongsam Zeup</t>
    <phoneticPr fontId="0" type="noConversion"/>
  </si>
  <si>
    <t>한의보감 녹용홍삼즙</t>
    <phoneticPr fontId="0" type="noConversion"/>
  </si>
  <si>
    <t>Deer velvet mixed extract liquid (deer velvet, Korean angelica root, jujube, milk vetch root) 98.5%</t>
    <phoneticPr fontId="0" type="noConversion"/>
  </si>
  <si>
    <t>녹용복합추출액 (녹용, 당귀, 대추, 지황, 황기) 98.5%</t>
    <phoneticPr fontId="0" type="noConversion"/>
  </si>
  <si>
    <t>http://www.hbogam.com/shop/prd_view.php?prdcode=1608280004</t>
  </si>
  <si>
    <t>HanJeWon</t>
    <phoneticPr fontId="0" type="noConversion"/>
  </si>
  <si>
    <t>ChimHyang Dan</t>
    <phoneticPr fontId="0" type="noConversion"/>
  </si>
  <si>
    <t>침향단</t>
    <phoneticPr fontId="0" type="noConversion"/>
  </si>
  <si>
    <t>4.5 x over 1 time per day</t>
    <phoneticPr fontId="0" type="noConversion"/>
  </si>
  <si>
    <t>Deer velvet 16%</t>
    <phoneticPr fontId="0" type="noConversion"/>
  </si>
  <si>
    <t>녹용 16%</t>
    <phoneticPr fontId="0" type="noConversion"/>
  </si>
  <si>
    <t>Hongsam Nokyong Go</t>
    <phoneticPr fontId="0" type="noConversion"/>
  </si>
  <si>
    <t>홍삼녹용고</t>
    <phoneticPr fontId="0" type="noConversion"/>
  </si>
  <si>
    <t>1 spoon x over 1 time per day</t>
    <phoneticPr fontId="0" type="noConversion"/>
  </si>
  <si>
    <t>Cheonnok Bichaekk</t>
    <phoneticPr fontId="0" type="noConversion"/>
  </si>
  <si>
    <t>천녹비책</t>
    <phoneticPr fontId="0" type="noConversion"/>
  </si>
  <si>
    <t>10 x over 1 time per day</t>
    <phoneticPr fontId="0" type="noConversion"/>
  </si>
  <si>
    <t>Deer velvet 3%</t>
    <phoneticPr fontId="0" type="noConversion"/>
  </si>
  <si>
    <t>녹용 3%</t>
    <phoneticPr fontId="0" type="noConversion"/>
  </si>
  <si>
    <t>http://www.hanjewon.com/product/detail.html?product_no=34&amp;cate_no=24&amp;display_group=1</t>
  </si>
  <si>
    <t>Hongsam Nokyong Go Stick</t>
    <phoneticPr fontId="0" type="noConversion"/>
  </si>
  <si>
    <t>홍삼녹용고 스틱</t>
    <phoneticPr fontId="0" type="noConversion"/>
  </si>
  <si>
    <t>HanKukSam</t>
  </si>
  <si>
    <t>Hongsam Nokyong Jin</t>
    <phoneticPr fontId="0" type="noConversion"/>
  </si>
  <si>
    <t>홍삼녹용진</t>
    <phoneticPr fontId="0" type="noConversion"/>
  </si>
  <si>
    <t>녹용추출액</t>
    <phoneticPr fontId="0" type="noConversion"/>
  </si>
  <si>
    <t>http://hankuksam.com/product/detail.html?product_no=49&amp;cate_no=1&amp;display_group=2#none</t>
    <phoneticPr fontId="0" type="noConversion"/>
  </si>
  <si>
    <t>Hanmi Health Care</t>
  </si>
  <si>
    <t>Nogyong Bo</t>
  </si>
  <si>
    <t>녹용보</t>
  </si>
  <si>
    <t>Deer velvet extract (solid component 2%) 0.1%</t>
  </si>
  <si>
    <t>녹용추출액 0.1% (고형분 2%)</t>
  </si>
  <si>
    <t>Pharmacies and E-commerce</t>
  </si>
  <si>
    <t>https://front.wemakeprice.com/product/979137100?utm_source=naver_ep&amp;utm_medium=PRICE_af&amp;utm_campaign=null&amp;NaPm=ct%3Dk9uwmp6g%7Cci%3D4bb7a900aed851bfce276e10bd1cc81469c51238%7Ctr%3Dsls%7Csn%3D197023%7Chk%3D356cda3de74fa1e626f0121fb68283bc9911702d</t>
  </si>
  <si>
    <t>HanSamIn</t>
    <phoneticPr fontId="0" type="noConversion"/>
  </si>
  <si>
    <t>Kiryuk Bogam Hwan</t>
  </si>
  <si>
    <t>기력보감환</t>
  </si>
  <si>
    <t>https://www.hansamin.com/shop/goods/goods_view.php?&amp;goodsno=4427</t>
  </si>
  <si>
    <t>A Plus Up</t>
    <phoneticPr fontId="0" type="noConversion"/>
  </si>
  <si>
    <t>에이 플러스 업</t>
    <phoneticPr fontId="0" type="noConversion"/>
  </si>
  <si>
    <t>Teenagers</t>
    <phoneticPr fontId="0" type="noConversion"/>
  </si>
  <si>
    <t>https://www.hansamin.com/shop/goods/goods_view.php?goodsno=4347&amp;category=004008</t>
  </si>
  <si>
    <t>HongSamJin Good Day Ample</t>
  </si>
  <si>
    <t>홍삼진 굿데이앰플</t>
  </si>
  <si>
    <t>Deer velvet concentrate</t>
  </si>
  <si>
    <t>녹용농축액</t>
  </si>
  <si>
    <t>https://www.hansamin.com/shop/goods/goods_view.php?goodsno=4579</t>
  </si>
  <si>
    <t>Health Maru</t>
    <phoneticPr fontId="0" type="noConversion"/>
  </si>
  <si>
    <t>Nokgak Wooseul Jinaekk</t>
    <phoneticPr fontId="0" type="noConversion"/>
  </si>
  <si>
    <t>녹각 우슬 진액</t>
    <phoneticPr fontId="0" type="noConversion"/>
  </si>
  <si>
    <t>95 x 1 time per day</t>
    <phoneticPr fontId="0" type="noConversion"/>
  </si>
  <si>
    <t>Hard antler 30%</t>
    <phoneticPr fontId="0" type="noConversion"/>
  </si>
  <si>
    <t>녹각 30%</t>
    <phoneticPr fontId="0" type="noConversion"/>
  </si>
  <si>
    <t>https://smartstore.naver.com/maruwell/products/424780926?NaPm=ct%3Djncfvoi8%7Cci%3D0zm0000wvWnpMjSlheYI%7Ctr%3Dsa%7Chk%3D6eb5786a197d192a9e6314774cdc02764a8b741e</t>
  </si>
  <si>
    <t>Hiliving</t>
  </si>
  <si>
    <t>Masterpiece made by Nature, Chimhyang</t>
  </si>
  <si>
    <t>자연이 만든 명작, 침향</t>
  </si>
  <si>
    <t>20 x 1-2 times per day</t>
  </si>
  <si>
    <t>https://mall.hiliving.co.kr/10_goods/goods_view.asp?gcode=101527</t>
  </si>
  <si>
    <t>Horang Nabi Life &amp; Health</t>
    <phoneticPr fontId="3" type="noConversion"/>
  </si>
  <si>
    <t>Sipjeon Nogyong Hongsam</t>
    <phoneticPr fontId="3" type="noConversion"/>
  </si>
  <si>
    <t>십전녹용홍삼</t>
    <phoneticPr fontId="3" type="noConversion"/>
  </si>
  <si>
    <t>50 x 1-2 times per day</t>
    <phoneticPr fontId="3" type="noConversion"/>
  </si>
  <si>
    <t>Russian deer velvet powder 0.03%, New Zealand fermented deer velvet concentrate 1.7% (solid component 17%)</t>
    <phoneticPr fontId="3" type="noConversion"/>
  </si>
  <si>
    <t>러시아 녹용분말 0.03%, 뉴질랜드 발효녹용농축액 1.7% (고형분 17%)</t>
    <phoneticPr fontId="3" type="noConversion"/>
  </si>
  <si>
    <t>Russia and New Zealand</t>
    <phoneticPr fontId="3" type="noConversion"/>
  </si>
  <si>
    <t>https://arambi.kr/product/detail.html?product_no=1533&amp;cate_no=96&amp;display_group=1</t>
    <phoneticPr fontId="3" type="noConversion"/>
  </si>
  <si>
    <t>Huone Natural</t>
  </si>
  <si>
    <t>Inner Set Nogyong Hongsam Stick</t>
  </si>
  <si>
    <t>이너셋 녹용홍삼 스틱</t>
  </si>
  <si>
    <t>Deer velvet extracts (solid component 20%) 1%</t>
  </si>
  <si>
    <t>녹용추출농축액 (고형분 20% 이상) 1%</t>
  </si>
  <si>
    <t>http://item.gmarket.co.kr/DetailView/Item.asp?goodscode=2309723619&amp;GoodsSale=Y&amp;jaehuid=200001169&amp;NaPm=ct%3Dky0yqi94%7Cci%3D61a8bb7e00306912e3feab5b07616c1fe270af28%7Ctr%3Dsls%7Csn%3D24%7Chk%3Def2aa59d4b8ced41ddb9e20643fd55be6a0d7248</t>
  </si>
  <si>
    <t>Huons Nature</t>
  </si>
  <si>
    <t>JinSamRokDan</t>
  </si>
  <si>
    <t>Deer velvet powder 1%</t>
  </si>
  <si>
    <t>녹용분말 1%</t>
  </si>
  <si>
    <t>https://smartstore.naver.com/mhkbom/products/4461941073</t>
  </si>
  <si>
    <t>Hurum</t>
    <phoneticPr fontId="3" type="noConversion"/>
  </si>
  <si>
    <t>Mum</t>
    <phoneticPr fontId="3" type="noConversion"/>
  </si>
  <si>
    <t>뮴</t>
    <phoneticPr fontId="3" type="noConversion"/>
  </si>
  <si>
    <t>3 x 1-2 times per day</t>
    <phoneticPr fontId="3" type="noConversion"/>
  </si>
  <si>
    <t>Deer velvet extract powder 3% (solid component 30%)</t>
    <phoneticPr fontId="3" type="noConversion"/>
  </si>
  <si>
    <t>녹용추출농축분말 3% (고형분 30%)</t>
    <phoneticPr fontId="3" type="noConversion"/>
  </si>
  <si>
    <t>Powder</t>
    <phoneticPr fontId="3" type="noConversion"/>
  </si>
  <si>
    <t>https://www.hurumshop.com/goods/goods_view.php?goodsNo=1000001022</t>
    <phoneticPr fontId="3" type="noConversion"/>
  </si>
  <si>
    <t>HyeMinKwan</t>
  </si>
  <si>
    <t>Maeil Nogyong</t>
  </si>
  <si>
    <t>매일 녹용</t>
  </si>
  <si>
    <t>Deer velvet extracts (solid component 0.1%) 10.15%</t>
  </si>
  <si>
    <t>녹용 추출액 (고형분 0.1%) 10.15%</t>
  </si>
  <si>
    <t>https://smartstore.naver.com/hyeminkwan/products/6541258593</t>
  </si>
  <si>
    <t>Hyundai Pharm</t>
  </si>
  <si>
    <t>Dasrim Nogyong Ggulmul</t>
  </si>
  <si>
    <t>다스림 녹용 꿀물</t>
  </si>
  <si>
    <t>Deer velvet extract (solid component, over 3.5%)</t>
  </si>
  <si>
    <t>녹용추출물(고형분 3.5%이상)</t>
  </si>
  <si>
    <t>http://www.hyundaipharm.co.kr/servlet/SearchProduct?master=/product/drink.jsp&amp;productpt=&amp;productpage=3&amp;prod_pt1_cd=D&amp;prod_pt2_cd=&amp;productword=</t>
  </si>
  <si>
    <t>Iksu Health</t>
  </si>
  <si>
    <t>Iksu Noghyang 4.2</t>
  </si>
  <si>
    <t>익수녹향 4.2</t>
  </si>
  <si>
    <t>4.2 x 1 time per day</t>
  </si>
  <si>
    <t>Deer velvet 20%</t>
  </si>
  <si>
    <t>녹용 20%</t>
  </si>
  <si>
    <t>http://iksuhealth.com/?NaPm=ct%3Dl1n8tof4%7Cci%3D0AG0003adOPwWIEWXLlN%7Ctr%3Dsa%7Chk%3D7c844cc5b70409eb18a050c175dd6636259b4a51</t>
  </si>
  <si>
    <t>Ilhwa</t>
  </si>
  <si>
    <t>Children Hongsam Nokyong Stick</t>
  </si>
  <si>
    <t>어린이 홍삼 녹용 스틱</t>
  </si>
  <si>
    <t>https://www.ilhwamall.co.kr/product.php?boardT=v&amp;sh_data=aWR4PTE1MTY5%7C%7C</t>
  </si>
  <si>
    <t>Ilyang Pharm</t>
    <phoneticPr fontId="0" type="noConversion"/>
  </si>
  <si>
    <t xml:space="preserve">6 Year Old Red Ginseng Nokyong Gold </t>
    <phoneticPr fontId="0" type="noConversion"/>
  </si>
  <si>
    <t>6년홍삼 녹용골드</t>
    <phoneticPr fontId="0" type="noConversion"/>
  </si>
  <si>
    <t>60 x 1 time per day</t>
    <phoneticPr fontId="0" type="noConversion"/>
  </si>
  <si>
    <t>Deer velvet 1.72%</t>
    <phoneticPr fontId="0" type="noConversion"/>
  </si>
  <si>
    <t>녹용 1.72%</t>
    <phoneticPr fontId="0" type="noConversion"/>
  </si>
  <si>
    <t>unknown</t>
  </si>
  <si>
    <t>http://ilyangmall.co.kr/product/detail.html?product_no=653&amp;cate_no=97&amp;display_group=1</t>
  </si>
  <si>
    <t>Daily Nokyong Hongsam Jeong</t>
    <phoneticPr fontId="0" type="noConversion"/>
  </si>
  <si>
    <t>데일리 녹용 홍삼정</t>
    <phoneticPr fontId="0" type="noConversion"/>
  </si>
  <si>
    <t>Deer velvet extract powder [deer velvet extract (soild component 1.5%) 73.53%, dextrin, Arabian gum] 3.325%</t>
    <phoneticPr fontId="0" type="noConversion"/>
  </si>
  <si>
    <t>녹용추출물분말 [녹용추출액 (고형분 1.5%) 73.53%, 덱스트린, 아라비아 검] 3.325%</t>
    <phoneticPr fontId="0" type="noConversion"/>
  </si>
  <si>
    <t>http://ilyangmall.co.kr/product/detail.html?product_no=677&amp;cate_no=97&amp;display_group=1</t>
  </si>
  <si>
    <t>Ilyang Heuksam ChimHyangKo</t>
  </si>
  <si>
    <t>일양흑삼침향고</t>
  </si>
  <si>
    <t xml:space="preserve">Deer velvet </t>
  </si>
  <si>
    <t>녹용 1.72%</t>
  </si>
  <si>
    <t>https://smartstore.naver.com/ilyanghealth/products/6835042639?NaPm=ct%3Dl6362bwo%7Cci%3Dff9b94efc272842777d23a3ce97e7975bb1caa13%7Ctr%3Dsls%7Csn%3D336766%7Chk%3D1f59fc176c7ec7b31f9d725b97720fd72fd004f1</t>
  </si>
  <si>
    <t>Immune Lab</t>
  </si>
  <si>
    <t>MyeonRyukDaeCheop</t>
  </si>
  <si>
    <t>면력대첩</t>
  </si>
  <si>
    <t>10 x 2 times per day</t>
  </si>
  <si>
    <t>면력대첩 내 삶을 지키는 힘 (30포) : 이뮨랩 (immunelab.co.kr)</t>
  </si>
  <si>
    <t>Immunity Plus</t>
  </si>
  <si>
    <t>Hwallyuk Up Sam</t>
  </si>
  <si>
    <t>활력 UP삼</t>
  </si>
  <si>
    <t>Deer velvet extracts (solid component 0.2%) 50%</t>
  </si>
  <si>
    <t>녹용 추출액 (고형분 0.5%) 50%</t>
  </si>
  <si>
    <t>https://www.immunityplus.co.kr/product/520e325a-4714-4a80-9f31-eaee7d6a88b9-17</t>
  </si>
  <si>
    <t>Inuri</t>
  </si>
  <si>
    <t>Kids Teunteun Hongsam Nogyong</t>
  </si>
  <si>
    <t xml:space="preserve">키즈튼튼 홍삼녹용 </t>
  </si>
  <si>
    <t>Deer velvet extract 5%</t>
  </si>
  <si>
    <t>녹용추출액 5%</t>
  </si>
  <si>
    <t>E-commerce and iruni clinics</t>
  </si>
  <si>
    <t>https://smartstore.naver.com/inurishop/products/6577008339</t>
  </si>
  <si>
    <t>Jaimdang</t>
  </si>
  <si>
    <t>BoKwanWon</t>
  </si>
  <si>
    <t>보관원</t>
  </si>
  <si>
    <t>4 x 1 timer per day</t>
  </si>
  <si>
    <t>https://jaimdangmall.com/product/detail.html?product_no=18621&amp;cate_no=114&amp;display_group=1</t>
  </si>
  <si>
    <t>Jallon Natural</t>
  </si>
  <si>
    <t>Everyday CheonKi PalPal</t>
  </si>
  <si>
    <t>에브리데이 천기팔팔</t>
  </si>
  <si>
    <t>30  x 1 time per day</t>
  </si>
  <si>
    <t>Deer velvet extracts (solid component 20%)</t>
  </si>
  <si>
    <t>녹용추출농축액 (고형분 20%)</t>
  </si>
  <si>
    <t>http://item.gmarket.co.kr/DetailView/Item.asp?goodscode=2318511660&amp;GoodsSale=Y&amp;jaehuid=200001169&amp;NaPm=ct%3Dky14n97c%7Cci%3D1aaa5f6ad88d4ab244eb5ae3e1b1c13910b955df%7Ctr%3Dsls%7Csn%3D24%7Chk%3Da318cedf1392eb83ac5bd0b91036948760ea2e0b</t>
  </si>
  <si>
    <t>Jaseng Bio</t>
  </si>
  <si>
    <t>Jaseng Nok</t>
  </si>
  <si>
    <t>자생녹</t>
  </si>
  <si>
    <t>70 x 1 time per day</t>
  </si>
  <si>
    <t>Deer velvet concentrate 48% (solid component 0.4%)</t>
  </si>
  <si>
    <t>녹용농축액 48% (고형분 0.4%)</t>
  </si>
  <si>
    <t>https://jasengbio.shop/goods/goods_view.php?goodsNo=796&amp;mtn=7%5E%7C%5E%5BWIB%5D+%EB%B2%A0%EC%8A%A4%ED%8A%B8%EC%83%81%ED%92%88%5E%7C%5En</t>
  </si>
  <si>
    <t>Jaseng Nok Kids</t>
  </si>
  <si>
    <t>자생녹키즈</t>
  </si>
  <si>
    <t>Jaseng Nok Stick</t>
  </si>
  <si>
    <t>자생녹 스틱</t>
  </si>
  <si>
    <t>JaYeon MaDang</t>
    <phoneticPr fontId="0" type="noConversion"/>
  </si>
  <si>
    <t>NokOkGo</t>
    <phoneticPr fontId="0" type="noConversion"/>
  </si>
  <si>
    <t>녹옥고</t>
    <phoneticPr fontId="0" type="noConversion"/>
  </si>
  <si>
    <t>1 spoon x 2-3 times per day</t>
    <phoneticPr fontId="0" type="noConversion"/>
  </si>
  <si>
    <t>Deer velvet 5%</t>
    <phoneticPr fontId="0" type="noConversion"/>
  </si>
  <si>
    <t>녹용 5%</t>
    <phoneticPr fontId="0" type="noConversion"/>
  </si>
  <si>
    <t>http://natureyard.co.kr/?NaPm=ct%3Djnbaz5rn%7Cci%3Dcheckout%7Ctr%3Dds%7Ctrx%3D%7Chk%3Dc940fb992906e802aa115f7ed78ee2cba189671d</t>
  </si>
  <si>
    <t>Jeonbuk Insam Nonghyup</t>
  </si>
  <si>
    <t>YoungMyoHyang Balhyo ChimHyangHwan</t>
  </si>
  <si>
    <t>영묘향 발효 침향환</t>
  </si>
  <si>
    <t>https://www.tmon.co.kr/deal/11151529798?coupon_srl=2931906&amp;utm_source=naver&amp;utm_medium=affiliate&amp;utm_term=72093_1008&amp;utm_content=&amp;utm_campaign=META_%EB%84%A4%EC%9D%B4%EB%B2%84%EC%A7%80%EC%8B%9D%EC%87%BC%ED%95%91</t>
  </si>
  <si>
    <t>JeongSamWon</t>
  </si>
  <si>
    <t>Goryo Nogyong Hongsam</t>
  </si>
  <si>
    <t>고려녹용홍삼</t>
  </si>
  <si>
    <t>Deer velvet 0.15%</t>
  </si>
  <si>
    <t>녹용 0.15%</t>
  </si>
  <si>
    <t>https://smartstore.naver.com/raidcorp/products/6153430281?NaPm=ct%3Dl1n6eyi8%7Cci%3Dae82f523a81e482575386dc7da68c5c4a854bc3e%7Ctr%3Dsls%7Csn%3D3504299%7Chk%3D6073339bae415183b3b386e3d75f05b575de3bd5</t>
  </si>
  <si>
    <t>Jewoldang</t>
  </si>
  <si>
    <t>Byunseok Hong Ok Go</t>
  </si>
  <si>
    <t>변석 홍옥고</t>
  </si>
  <si>
    <t>Deer velvet bungol 4%</t>
  </si>
  <si>
    <t>녹용 분골 4%</t>
  </si>
  <si>
    <t>https://smartstore.naver.com/smallwindow_suwon/products/5112090400?NaPm=ct%3Dkfniwljc%7Cci%3Deefe4821f143e8950e9e7b07d30d90027a9e4e7d%7Ctr%3Dslsl%7Csn%3D1850537%7Chk%3D493fd4870df0cacd27c6980eb31917b7b52c1b68</t>
  </si>
  <si>
    <t>JeYakKwan</t>
  </si>
  <si>
    <t>JeOkGo</t>
  </si>
  <si>
    <t>제옥고</t>
  </si>
  <si>
    <t>https://smartstore.naver.com/dradol/products/5784845804?NaPm=ct%3Dkuwauycw%7Cci%3D3af6b3f57ea3cf7339640126d9fd007e491cbc0e%7Ctr%3Dsls%7Csn%3D702339%7Chk%3Dff0f11a590f0cba2dce550756b6ebe850bdce995</t>
  </si>
  <si>
    <t>JinSengDang</t>
  </si>
  <si>
    <t>Chimhyang Won</t>
  </si>
  <si>
    <t>침향원</t>
  </si>
  <si>
    <t>Deer velvet powder 13.7%</t>
  </si>
  <si>
    <t>녹용분말 13.7%</t>
  </si>
  <si>
    <t>http://www.jinsengdang.com/product/detail.html?product_no=23&amp;cate_no=47&amp;display_group=1</t>
  </si>
  <si>
    <t>Joa Pharm</t>
  </si>
  <si>
    <t>Joa Saeng Nok Jin Gold</t>
  </si>
  <si>
    <t>조아 생녹진 골드</t>
  </si>
  <si>
    <t>Deer velvet concentrate 5%</t>
  </si>
  <si>
    <t>녹용추출물 5%</t>
  </si>
  <si>
    <t>https://www.lotteon.com/p/product/LO1333538507?sitmNo=LO1333538507_1333538508&amp;ch_no=100065&amp;ch_dtl_no=1000030&amp;entryPoint=pcs&amp;dp_infw_cd=CHT&amp;NaPm=ct%3Dkfnii9c0%7Cci%3D20118298aaf92b6212a8a11c8bf0ec56dd16a7c2%7Ctr%3Dsls%7Csn%3D1243359%7Chk%3Dc0c10937e4cbc7ca4f5688de36d60c0d474e65d1</t>
  </si>
  <si>
    <t>Josun Bichaek</t>
  </si>
  <si>
    <t>Josun HwangRim Hyo</t>
  </si>
  <si>
    <t>조선 황림 효</t>
  </si>
  <si>
    <t>Deer velvet 20%, Fermented deer velvet extract 2%</t>
  </si>
  <si>
    <t>녹용 (러시아산) 20%, hy 발효녹용 농축액 2% (뉴질랜드산)</t>
  </si>
  <si>
    <t>Russia and New Zealand</t>
  </si>
  <si>
    <t>https://www.josunbichaek.com/product/111-%ED%98%9C%ED%83%9D-%EC%A1%B0%EC%84%A0%ED%99%A9%EB%A6%BC-%ED%9A%A8%E5%AD%9D-%EB%B0%9C%ED%9A%A8-%EC%B9%A8%ED%96%A5%ED%99%98-30%ED%99%98/13/#prdDetail</t>
  </si>
  <si>
    <t>JM Global Group</t>
  </si>
  <si>
    <t>Cheonmyeongsam Myeongin Jiryeok Chimhyanghwan</t>
  </si>
  <si>
    <t>천명삼 명인지력침향환</t>
  </si>
  <si>
    <t>Deer velvet extract powder</t>
    <phoneticPr fontId="0" type="noConversion"/>
  </si>
  <si>
    <t>https://smartstore.naver.com/jmz/products/10571759842</t>
  </si>
  <si>
    <t>CheonNok Jeong</t>
    <phoneticPr fontId="0" type="noConversion"/>
  </si>
  <si>
    <t>천녹정</t>
    <phoneticPr fontId="0" type="noConversion"/>
  </si>
  <si>
    <t>6 x 2 times per day</t>
    <phoneticPr fontId="0" type="noConversion"/>
  </si>
  <si>
    <t>Deer velvet concentrate (solid component 16%) 10.12%</t>
    <phoneticPr fontId="0" type="noConversion"/>
  </si>
  <si>
    <t>녹용농축액(고형분 16%) 10.12%</t>
    <phoneticPr fontId="0" type="noConversion"/>
  </si>
  <si>
    <t>2 bottles, spoonable</t>
  </si>
  <si>
    <t>800 shop-in-shop stores in department stores and hypermart stores, road shops; cable TV home shopping channels.</t>
    <phoneticPr fontId="0" type="noConversion"/>
  </si>
  <si>
    <t>https://www.kgc.co.kr/front/product/ckj/deer/antler05/230/productDetail.do</t>
    <phoneticPr fontId="0" type="noConversion"/>
  </si>
  <si>
    <t>Hwangjindan Cheon</t>
    <phoneticPr fontId="0" type="noConversion"/>
  </si>
  <si>
    <t>황진단천</t>
    <phoneticPr fontId="0" type="noConversion"/>
  </si>
  <si>
    <t>Deer velvet (tip) extract powder</t>
    <phoneticPr fontId="0" type="noConversion"/>
  </si>
  <si>
    <t>녹용(분골)추출분말</t>
  </si>
  <si>
    <t>800 shop-in-shop stores in department stores and hypermart stores, road shops; cable TV home shopping channels.</t>
  </si>
  <si>
    <t>https://www.kgc.co.kr/front/product/ckj/antler/antler01/195/productDetail.do</t>
    <phoneticPr fontId="0" type="noConversion"/>
  </si>
  <si>
    <t>Hwangjindan Cheon Nobleline</t>
  </si>
  <si>
    <t>황진단천 노블라인</t>
  </si>
  <si>
    <t>Deer velvet (tip) extract powder</t>
  </si>
  <si>
    <t>https://www.cheongkwanjang.co.kr/products/view.do?ref_id=952&amp;id=1362</t>
  </si>
  <si>
    <t>CheonNok Gang Hwan</t>
    <phoneticPr fontId="0" type="noConversion"/>
  </si>
  <si>
    <t>천녹강환</t>
    <phoneticPr fontId="0" type="noConversion"/>
  </si>
  <si>
    <t>Deer velvet extract powder 7.5%</t>
  </si>
  <si>
    <t>녹용추출분말 7.5%</t>
  </si>
  <si>
    <t>https://www.kgc.co.kr/front/product/ckj/deer/antler05/254/productDetail.do</t>
    <phoneticPr fontId="0" type="noConversion"/>
  </si>
  <si>
    <t>Deer velvet extract powder 7.5%</t>
    <phoneticPr fontId="0" type="noConversion"/>
  </si>
  <si>
    <t>Hwanjindan Aek</t>
    <phoneticPr fontId="0" type="noConversion"/>
  </si>
  <si>
    <t>황진단액</t>
    <phoneticPr fontId="0" type="noConversion"/>
  </si>
  <si>
    <t>70 x 1 time per day</t>
    <phoneticPr fontId="0" type="noConversion"/>
  </si>
  <si>
    <t>녹용추출물분말</t>
    <phoneticPr fontId="0" type="noConversion"/>
  </si>
  <si>
    <t>Bottle</t>
    <phoneticPr fontId="0" type="noConversion"/>
  </si>
  <si>
    <t>https://www.kgc.co.kr/front/product/ckj/antler/antler01/198/productDetail.do</t>
    <phoneticPr fontId="0" type="noConversion"/>
  </si>
  <si>
    <t>Ipass Power</t>
    <phoneticPr fontId="0" type="noConversion"/>
  </si>
  <si>
    <t>아이패스 파워</t>
  </si>
  <si>
    <t>https://www.kgc.co.kr/front/product/ckj/kids/kids02/187/productDetail.do</t>
    <phoneticPr fontId="0" type="noConversion"/>
  </si>
  <si>
    <t>Ipass Focusing</t>
  </si>
  <si>
    <t>아이패스 포커싱</t>
  </si>
  <si>
    <t>Deer velvet extract liquid</t>
    <phoneticPr fontId="0" type="noConversion"/>
  </si>
  <si>
    <t>October</t>
  </si>
  <si>
    <t>https://www.jungkwanjang.co.kr/products/view.do?ref_id=1072&amp;id=1551</t>
  </si>
  <si>
    <t xml:space="preserve">I KeeKer (4 flavours, including apple, orange, grape, tangerine) </t>
    <phoneticPr fontId="0" type="noConversion"/>
  </si>
  <si>
    <t>아이키커</t>
    <phoneticPr fontId="0" type="noConversion"/>
  </si>
  <si>
    <t>100 x 1 time per day</t>
    <phoneticPr fontId="0" type="noConversion"/>
  </si>
  <si>
    <t>Children</t>
    <phoneticPr fontId="0" type="noConversion"/>
  </si>
  <si>
    <t>https://www.kgc.co.kr/front/product/ckj/kids/kids03/216/productDetail.do</t>
  </si>
  <si>
    <t xml:space="preserve">I KeeKer Vita Gold (3 flavours, including apple, orange, grape) </t>
    <phoneticPr fontId="0" type="noConversion"/>
  </si>
  <si>
    <t>아이키커 비타골드</t>
    <phoneticPr fontId="0" type="noConversion"/>
  </si>
  <si>
    <t>https://www.kgc.co.kr/front/product/ckj/kids/kids03/188/productDetail.do</t>
  </si>
  <si>
    <t xml:space="preserve">I KeeKer Plus (4 flavours, including apple, orange, grape, mango) </t>
    <phoneticPr fontId="0" type="noConversion"/>
  </si>
  <si>
    <t>아이키키 플러스</t>
    <phoneticPr fontId="0" type="noConversion"/>
  </si>
  <si>
    <t>https://www.kgc.co.kr/front/product/ckj/kids/kids03/274/productDetail.do</t>
  </si>
  <si>
    <t>Hongyi Jangkoon Step 2</t>
    <phoneticPr fontId="0" type="noConversion"/>
  </si>
  <si>
    <t>홍이장군 2단계</t>
    <phoneticPr fontId="0" type="noConversion"/>
  </si>
  <si>
    <t>20 x 1 time per day</t>
    <phoneticPr fontId="0" type="noConversion"/>
  </si>
  <si>
    <t>5-7 years old kids</t>
    <phoneticPr fontId="0" type="noConversion"/>
  </si>
  <si>
    <t>https://www.kgc.co.kr/front/product/ckj/kids/kids01/178/productDetail.do</t>
  </si>
  <si>
    <t>Hongyi Jangkoon Step 3</t>
    <phoneticPr fontId="0" type="noConversion"/>
  </si>
  <si>
    <t>홍이장군 3단계</t>
    <phoneticPr fontId="0" type="noConversion"/>
  </si>
  <si>
    <t>8-10 years old kids</t>
    <phoneticPr fontId="0" type="noConversion"/>
  </si>
  <si>
    <t>https://www.kgc.co.kr/front/product/ckj/kids/kids01/176/productDetail.do</t>
  </si>
  <si>
    <t>Hongyi Jangkoon Royal Step 1</t>
    <phoneticPr fontId="0" type="noConversion"/>
  </si>
  <si>
    <t xml:space="preserve">홍이장군 로얄 1단계 </t>
    <phoneticPr fontId="0" type="noConversion"/>
  </si>
  <si>
    <t>15 x 1 time per day</t>
    <phoneticPr fontId="0" type="noConversion"/>
  </si>
  <si>
    <t>3-4 years old kids</t>
    <phoneticPr fontId="0" type="noConversion"/>
  </si>
  <si>
    <t>https://www.kgc.co.kr/front/product/ckj/kids/kids01/179/productDetail.do</t>
  </si>
  <si>
    <t>Hongyi Jangkoon Royal Step 2</t>
    <phoneticPr fontId="0" type="noConversion"/>
  </si>
  <si>
    <t xml:space="preserve">홍이장군 로얄 2단계 </t>
    <phoneticPr fontId="0" type="noConversion"/>
  </si>
  <si>
    <t>https://www.kgc.co.kr/front/product/ckj/kids/kids01/177/productDetail.do</t>
    <phoneticPr fontId="0" type="noConversion"/>
  </si>
  <si>
    <t>Hongyi Jangkoon Royal Step 3</t>
    <phoneticPr fontId="0" type="noConversion"/>
  </si>
  <si>
    <t xml:space="preserve">홍이장군 로얄 3단계 </t>
    <phoneticPr fontId="0" type="noConversion"/>
  </si>
  <si>
    <t>https://www.kgc.co.kr/front/product/ckj/kids/kids01/175/productDetail.do</t>
  </si>
  <si>
    <t>Cheon-Nok W</t>
  </si>
  <si>
    <t>천녹W</t>
  </si>
  <si>
    <t>Deer velvet concentrate (solid component 16%) 1%</t>
  </si>
  <si>
    <t>녹용 농축액 (고형분 16%) 1%</t>
  </si>
  <si>
    <t xml:space="preserve">KGC franchise stores </t>
  </si>
  <si>
    <t>Women</t>
  </si>
  <si>
    <t>https://www.kgcshop.co.kr/shop/goodsView?itemId=64333</t>
  </si>
  <si>
    <t>Cheon-Nok S</t>
  </si>
  <si>
    <t>천녹S</t>
  </si>
  <si>
    <t>Deer velvet concentrate (solid component 16%) 1.29%</t>
  </si>
  <si>
    <t>녹용 농축액 (고형분 16%) 1.29%</t>
  </si>
  <si>
    <t>Senior people</t>
  </si>
  <si>
    <t>https://www.kgcshop.co.kr/shop/goodsView?itemId=70624</t>
  </si>
  <si>
    <t>Hongyi Jangkoon Step 1 Immune Ssokssok</t>
    <phoneticPr fontId="0" type="noConversion"/>
  </si>
  <si>
    <t>홍이장군 1단계 면역력 쑥쑥</t>
    <phoneticPr fontId="0" type="noConversion"/>
  </si>
  <si>
    <t>https://www.kgc.co.kr/front/product/ckj/kids/kids01/173/productDetail.do</t>
  </si>
  <si>
    <t>Hongyi Jangkoon Step 2 Immune Ssokssok</t>
    <phoneticPr fontId="0" type="noConversion"/>
  </si>
  <si>
    <t>홍이장군 2단계 면역력 쑥쑥</t>
    <phoneticPr fontId="0" type="noConversion"/>
  </si>
  <si>
    <t>https://www.kgc.co.kr/front/product/ckj/kids/kids01/172/productDetail.do</t>
  </si>
  <si>
    <t>Hongyi Jangkoon Step 3 Immune Ssokssok</t>
    <phoneticPr fontId="0" type="noConversion"/>
  </si>
  <si>
    <t>홍이장군 3단계 면역력 쑥쑥</t>
    <phoneticPr fontId="0" type="noConversion"/>
  </si>
  <si>
    <t>https://www.kgc.co.kr/front/product/ckj/kids/kids01/171/productDetail.do</t>
  </si>
  <si>
    <t>CheonNok Ton</t>
    <phoneticPr fontId="0" type="noConversion"/>
  </si>
  <si>
    <t>천녹톤</t>
    <phoneticPr fontId="0" type="noConversion"/>
  </si>
  <si>
    <t>70 x 2 times per day</t>
    <phoneticPr fontId="0" type="noConversion"/>
  </si>
  <si>
    <t>Deer velvet concentrate (solid component 16%) 1%</t>
    <phoneticPr fontId="0" type="noConversion"/>
  </si>
  <si>
    <t>녹용농축액(고형분 16%) 1%</t>
    <phoneticPr fontId="0" type="noConversion"/>
  </si>
  <si>
    <t>https://www.kgc.co.kr/front/product/ckj/deer/antler05/231/productDetail.do</t>
    <phoneticPr fontId="0" type="noConversion"/>
  </si>
  <si>
    <t>CheonNok Yong Bang</t>
  </si>
  <si>
    <t>천녹용방</t>
    <phoneticPr fontId="0" type="noConversion"/>
  </si>
  <si>
    <t>50 x 1-2 times per day</t>
    <phoneticPr fontId="0" type="noConversion"/>
  </si>
  <si>
    <t>Deer velvet concentrate (solid component 16%) 0.7%</t>
    <phoneticPr fontId="0" type="noConversion"/>
  </si>
  <si>
    <t>녹용농축액(고형분 16%) 0.7%</t>
    <phoneticPr fontId="0" type="noConversion"/>
  </si>
  <si>
    <t>https://www.kgc.co.kr/front/product/ckj/deer/antler05/265/productDetail.do</t>
    <phoneticPr fontId="0" type="noConversion"/>
  </si>
  <si>
    <t>HwaAeRak Hu</t>
    <phoneticPr fontId="0" type="noConversion"/>
  </si>
  <si>
    <t>화애락 후</t>
    <phoneticPr fontId="0" type="noConversion"/>
  </si>
  <si>
    <t>Deer velvet concentrate</t>
    <phoneticPr fontId="0" type="noConversion"/>
  </si>
  <si>
    <t>녹용농축액</t>
    <phoneticPr fontId="0" type="noConversion"/>
  </si>
  <si>
    <t>Women</t>
    <phoneticPr fontId="0" type="noConversion"/>
  </si>
  <si>
    <t>https://www.hwaaerak.com/product-1_detail?code=ea7b092797</t>
    <phoneticPr fontId="0" type="noConversion"/>
  </si>
  <si>
    <t>CheonNok Jeong Every Time</t>
    <phoneticPr fontId="0" type="noConversion"/>
  </si>
  <si>
    <t>천녹정 에브리타임</t>
    <phoneticPr fontId="0" type="noConversion"/>
  </si>
  <si>
    <t>10 x 2 times per day</t>
    <phoneticPr fontId="0" type="noConversion"/>
  </si>
  <si>
    <t>Deer velvet concentrate (solid component 16%) 7%</t>
    <phoneticPr fontId="0" type="noConversion"/>
  </si>
  <si>
    <t>녹용농축액(고형분 16%) 7%</t>
    <phoneticPr fontId="0" type="noConversion"/>
  </si>
  <si>
    <t>https://www.kgc.co.kr/front/product/ckj/deer/antler05/233/productDetail.do</t>
    <phoneticPr fontId="0" type="noConversion"/>
  </si>
  <si>
    <t>CheonNok Be Strong</t>
  </si>
  <si>
    <t>천녹 비스트롱</t>
  </si>
  <si>
    <t>4 x 1 time per day</t>
  </si>
  <si>
    <t>Deer velvet concentrate powder 7.5%</t>
  </si>
  <si>
    <t>녹용농축액분말 7.5%</t>
  </si>
  <si>
    <t>Men</t>
  </si>
  <si>
    <t>https://www.kgcshop.co.kr/shop/goodsView?itemId=83278</t>
  </si>
  <si>
    <t>CheonNok Hanjae</t>
  </si>
  <si>
    <t>천녹 한제</t>
  </si>
  <si>
    <t>50 x 2 time per day</t>
  </si>
  <si>
    <t>https://www.kgcshop.co.kr/shop/goodsView?itemId=83862</t>
  </si>
  <si>
    <t>Ipass Power Stick</t>
  </si>
  <si>
    <t>아이패스 파워스틱</t>
  </si>
  <si>
    <t>녹용추출물분말</t>
  </si>
  <si>
    <t>https://www.kgcshop.co.kr/shop/goodsView?itemId=82231</t>
  </si>
  <si>
    <t>CheonNok Returning</t>
  </si>
  <si>
    <t>천녹 리터닝</t>
  </si>
  <si>
    <t>70 x 2 times per day</t>
  </si>
  <si>
    <t>녹용농축액(고형분 16%) 1.29%</t>
  </si>
  <si>
    <t>https://www.kgcshop.co.kr/shop/goodsView?itemId=87590</t>
  </si>
  <si>
    <t>CheonNok Boosting</t>
  </si>
  <si>
    <t>천녹 부스팅</t>
  </si>
  <si>
    <t>50 x 2 times per day</t>
  </si>
  <si>
    <t>Deer velvet concentrate (solid component 16%) 1.8%</t>
  </si>
  <si>
    <t>녹용농축액(고형분 16%) 1.8%</t>
  </si>
  <si>
    <t>https://www.kgcshop.co.kr/shop/goodsView?itemId=87477</t>
  </si>
  <si>
    <t>CheonNok Growing</t>
  </si>
  <si>
    <t>천녹 그로잉</t>
  </si>
  <si>
    <t>40 x 2 times per day</t>
  </si>
  <si>
    <t>Deer velvet concentrate (solid component 16%) 2.5%</t>
  </si>
  <si>
    <t>녹용농축액(고형분 16%) 2.5%</t>
  </si>
  <si>
    <t>https://www.kgcshop.co.kr/shop/goodsView?itemId=89847</t>
  </si>
  <si>
    <t>CheonNok Growing Kids U7</t>
  </si>
  <si>
    <t>천녹 그로잉 키즈 U7</t>
  </si>
  <si>
    <t>Deer velvet concentrate (solid component 16%) 3.45%</t>
  </si>
  <si>
    <t>녹용농축액(고형분 16%) 3.45%</t>
  </si>
  <si>
    <t>https://www.kgcshop.co.kr/shop/goodsView?itemId=110738</t>
  </si>
  <si>
    <t>Goodbase Black maca with deer velvet</t>
  </si>
  <si>
    <t>녹용 담은 블랙마카 스틱</t>
  </si>
  <si>
    <t>Deer velvet extract (solid component 0.5%) 1%</t>
  </si>
  <si>
    <t>녹용추출액 1% (고형분 0.5%)</t>
  </si>
  <si>
    <t>https://www.kgcshop.co.kr/shop/goodsView?itemId=87703</t>
  </si>
  <si>
    <t>Jangsu:Yul Jangsu Tonic</t>
  </si>
  <si>
    <t>장수:율 장수진액</t>
  </si>
  <si>
    <t>녹용추출물</t>
  </si>
  <si>
    <t>https://www.kgcshop.co.kr/shop/goodsView?itemId=105392</t>
  </si>
  <si>
    <t>Kim Jeongmoon Aloe</t>
  </si>
  <si>
    <t>Nokyong Daebo Hwal</t>
  </si>
  <si>
    <t>녹용대보활</t>
  </si>
  <si>
    <t>80 x 1 time per day</t>
  </si>
  <si>
    <t>Deer velvet extract (solid component 0.1%) 70.51%</t>
  </si>
  <si>
    <t>녹용추출액 70.51% (고형분 0.1%)</t>
  </si>
  <si>
    <t>https://blog.naver.com/milkam83/221743825423</t>
  </si>
  <si>
    <t>Fermented Red Ginseng Hwangsil Giryuk Dan</t>
    <phoneticPr fontId="0" type="noConversion"/>
  </si>
  <si>
    <t>황실기력단</t>
    <phoneticPr fontId="0" type="noConversion"/>
  </si>
  <si>
    <t>Deer velvet powder, fermented deer velvet extract powder</t>
    <phoneticPr fontId="0" type="noConversion"/>
  </si>
  <si>
    <t>녹용분말, 녹용발효추출분말</t>
  </si>
  <si>
    <t>http://www.hyfresh.co.kr/product/prdProductDetails.do?prdId=33861&amp;NaPm=ct%3Djn5txh0o%7Cci%3D5d6d271741ce12a2d4e6d6e9a0439037d1a5dca3%7Ctr%3Dsls%7Csn%3D678690%7Chk%3Dbf43e800766a8a68194dd1430ee85c08df3fd562</t>
  </si>
  <si>
    <t>BalHyo Hongsam CheonJinNokBo</t>
  </si>
  <si>
    <t>발효홍삼천진녹보</t>
  </si>
  <si>
    <t>Deer velvet powder 9%</t>
  </si>
  <si>
    <t>녹용분말 9%</t>
  </si>
  <si>
    <t>Korea Yakult's street carts</t>
    <phoneticPr fontId="0" type="noConversion"/>
  </si>
  <si>
    <t>http://m.hyfresh.co.kr/product/prdProductDetails.do?prdId=34058#none</t>
  </si>
  <si>
    <t>Fermented Red Ginseng Wongi Jinekk</t>
    <phoneticPr fontId="0" type="noConversion"/>
  </si>
  <si>
    <t>발효홍삼원기진액</t>
    <phoneticPr fontId="0" type="noConversion"/>
  </si>
  <si>
    <t>Deer velvet powder / balls 1250 mg (25 mg×5 balls) and liquid 80ml</t>
  </si>
  <si>
    <t>녹용분말</t>
    <phoneticPr fontId="0" type="noConversion"/>
  </si>
  <si>
    <t>Balls and liquid</t>
    <phoneticPr fontId="0" type="noConversion"/>
  </si>
  <si>
    <t>http://www.hyfresh.co.kr/product/prdProductDetails.do?prdId=33865&amp;NaPm=ct%3Djn5zcd80%7Cci%3D855f13f63b97a6dcb9dce8a3d41a54aafc1e55c2%7Ctr%3Dsls%7Csn%3D678690%7Chk%3D812fd856ac08126c0cf74912407073dcd1f66bbf</t>
  </si>
  <si>
    <t>Balhyo Hongsam Jin Nok Won</t>
  </si>
  <si>
    <t>발효 홍삼 진녹원</t>
  </si>
  <si>
    <t xml:space="preserve">Deer velvet concentrate </t>
  </si>
  <si>
    <t xml:space="preserve">녹용 농축액 </t>
  </si>
  <si>
    <t>Door to door sales ladies</t>
  </si>
  <si>
    <t>https://smartstore.naver.com/wellbeingsis/products/5082028937?NaPm=ct%3Dkfni4ji8%7Cci%3Dfd0eead7a1a87e0dcc086a1a29a8eb5af3806c10%7Ctr%3Dsls%7Csn%3D1644846%7Chk%3De4f83206cf746a8c33807e223017079001405b87</t>
  </si>
  <si>
    <t>Balhyo NokyongCheon Dual Jin</t>
  </si>
  <si>
    <t>발효녹용 녹용천 듀얼진</t>
  </si>
  <si>
    <t/>
  </si>
  <si>
    <t>Fermented deer velvet concentrate powder</t>
  </si>
  <si>
    <t>발효녹용분말</t>
  </si>
  <si>
    <t>Door to door sales ladies, E-commerce</t>
  </si>
  <si>
    <t>https://m.fredit.co.kr/product/prdProductDetails.do?prdId=36664</t>
  </si>
  <si>
    <t>Balwhee Balhyo Nokyong The Nokyong</t>
  </si>
  <si>
    <t>발휘 발효녹용 더녹용</t>
  </si>
  <si>
    <t>Fermented deer velvet concentrate 616mg</t>
  </si>
  <si>
    <t>발효녹용농축액 (고형분 20%) 0.707%</t>
  </si>
  <si>
    <t>https://m.fredit.co.kr/product/detail?prdId=37910</t>
  </si>
  <si>
    <t>Balwhee Balhyo NokyongJeong</t>
  </si>
  <si>
    <t>발휘 발효녹용정</t>
  </si>
  <si>
    <t>4 x 2 times per day</t>
  </si>
  <si>
    <t>Fermented deer velvet concentrate 15% (solid content 20.5%)</t>
  </si>
  <si>
    <t>발효녹용농축액 (고형분 20.5%) 15%</t>
  </si>
  <si>
    <t>https://m.fredit.co.kr/product/detail?prdId=38840</t>
  </si>
  <si>
    <t>Balhyo NokyongCheongo</t>
  </si>
  <si>
    <t>발효녹용 녹용천고</t>
  </si>
  <si>
    <t>12 x 1 time per day</t>
  </si>
  <si>
    <t>Fermented deer velvet concentrate 5%, (Solid content 20.5%)</t>
  </si>
  <si>
    <t>발효녹용농축액 (고형분 20.5%) 5%</t>
  </si>
  <si>
    <t>https://m.fredit.co.kr/product/prdProductDetails.do?prdId=36663</t>
  </si>
  <si>
    <t>Nokyong Bogam stick</t>
  </si>
  <si>
    <t>녹용보감 젤리스틱</t>
  </si>
  <si>
    <t>17 x 1 time per day</t>
  </si>
  <si>
    <t>Fermented deer velvet concentrate 2.5%, (Solid content 20.5%)</t>
  </si>
  <si>
    <t>발효녹용농축액(고형분 20.5%) 2.5%</t>
  </si>
  <si>
    <t>https://m.fredit.co.kr/product/detail?prdId=37650</t>
  </si>
  <si>
    <t>Balwhee Nokyong Wonbo</t>
  </si>
  <si>
    <t>발휘 녹용원보</t>
  </si>
  <si>
    <t>Fermented deer velvet concentrate 1.78% (solid content 20.5%)</t>
  </si>
  <si>
    <t>발효녹용농축액 (고형분 20.5%) 1.78%</t>
  </si>
  <si>
    <t>https://m.fredit.co.kr/product/detail?prdId=39051</t>
  </si>
  <si>
    <t>Deer Velvet Sturgeon</t>
  </si>
  <si>
    <t>광동거북원 녹용철갑상어</t>
  </si>
  <si>
    <t>90 x 1~2 time per day</t>
  </si>
  <si>
    <t>Angelica Gigas, Deer Velvet, and Astragalus Root Composite Extract Powder</t>
  </si>
  <si>
    <t>참당귀·녹용·황기복합추출물분말</t>
  </si>
  <si>
    <t>https://smartstore.naver.com/kd_healthlab/products/13291614003</t>
  </si>
  <si>
    <t>Kwangdong Oriental Hospital</t>
  </si>
  <si>
    <t>Gong Jin Chim Hyang Dan</t>
  </si>
  <si>
    <t>공진 침향단</t>
  </si>
  <si>
    <t>Hospital</t>
  </si>
  <si>
    <t>http://www.ekwangdong.co.kr/landing3/index.php</t>
  </si>
  <si>
    <t>Kwangdong Pharmaceutical</t>
    <phoneticPr fontId="0" type="noConversion"/>
  </si>
  <si>
    <t>Chimhyang Hwan</t>
    <phoneticPr fontId="0" type="noConversion"/>
  </si>
  <si>
    <t>침향환</t>
    <phoneticPr fontId="0" type="noConversion"/>
  </si>
  <si>
    <t>Deer velvet powder 10%</t>
    <phoneticPr fontId="0" type="noConversion"/>
  </si>
  <si>
    <t>녹용분말 10%</t>
    <phoneticPr fontId="0" type="noConversion"/>
  </si>
  <si>
    <t>Onine shopping malls and cable TV home shopping channels</t>
    <phoneticPr fontId="0" type="noConversion"/>
  </si>
  <si>
    <t>http://www.ekdp.com/product/items_view.asp?s=574</t>
  </si>
  <si>
    <t>Chimhyang Hwan Premium</t>
  </si>
  <si>
    <t>E-commerce, Call center</t>
  </si>
  <si>
    <t>https://www.ekdp.com/product/items_view.do?s=791</t>
  </si>
  <si>
    <t>Kwangdong Chimhyang Candy</t>
  </si>
  <si>
    <t>광동 침향 캔디</t>
  </si>
  <si>
    <t>-</t>
  </si>
  <si>
    <t>Candy</t>
  </si>
  <si>
    <t>https://www.ekdp.com/product/items_view.do?s=683</t>
  </si>
  <si>
    <t>Kwangdong GongJinDan</t>
  </si>
  <si>
    <t>광동 공진단</t>
  </si>
  <si>
    <t>4 x 3 times per day</t>
  </si>
  <si>
    <t>https://www.ekdp.com/product/items_view.do?s=96</t>
  </si>
  <si>
    <t>GinNokKyung</t>
  </si>
  <si>
    <t>진녹경</t>
  </si>
  <si>
    <t>http://jinnokgyeong.com/?cg_ref=1wVkK4&amp;ch_ref=19Gfjp&amp;n_media=27758&amp;n_query=%EC%A7%84%EB%85%B9%EA%B2%BD&amp;n_rank=1&amp;n_ad_group=grp-a001-04-000000010832698&amp;n_ad=nad-a001-04-000000067817280&amp;n_keyword_id=nkw-a001-04-000002007017277&amp;n_keyword=%EC%A7%84%EB%85%B9%EA%B2%BD&amp;n_campaign_type=4&amp;n_contract=tct-a001-04-000000000159364&amp;NaPm=ct%3Djyi7wbsg%7Cci%3D0z40002cchzrV3Gw2vjE%7Ctr%3Dbrnd%7Chk%3Dc26f54014153e64ed810b5ba9715e12340a629a7</t>
  </si>
  <si>
    <t>Kwangdong Jeong-Nok-Cheong</t>
  </si>
  <si>
    <t>광동 정녹청</t>
  </si>
  <si>
    <t>Deer velvet 0.3%</t>
  </si>
  <si>
    <t>녹용 0.3%</t>
  </si>
  <si>
    <t>광동 바르게 만든 녹용 정녹청 30포 1박스 : 광동생활건강 (naver.com)</t>
  </si>
  <si>
    <t>Hongsam Nokyong</t>
    <phoneticPr fontId="0" type="noConversion"/>
  </si>
  <si>
    <t>홍삼녹용</t>
    <phoneticPr fontId="0" type="noConversion"/>
  </si>
  <si>
    <t>Deer velvet extract liquid (solid component 10%) 0.1%</t>
    <phoneticPr fontId="0" type="noConversion"/>
  </si>
  <si>
    <t>녹용농축추출액(고형분 10%) 0.1%</t>
    <phoneticPr fontId="0" type="noConversion"/>
  </si>
  <si>
    <t>http://www.ekdp.com/product/items_view.asp?s=551</t>
  </si>
  <si>
    <t>Kwangdong Euigam Nokyong</t>
    <phoneticPr fontId="0" type="noConversion"/>
  </si>
  <si>
    <t>광동 의감녹용</t>
    <phoneticPr fontId="0" type="noConversion"/>
  </si>
  <si>
    <t>10 x 1-2 times per day</t>
    <phoneticPr fontId="0" type="noConversion"/>
  </si>
  <si>
    <t>Fermented deer velvet concentrate (solid component over 3%) 3.4%</t>
    <phoneticPr fontId="0" type="noConversion"/>
  </si>
  <si>
    <t>녹용발효농축원액(녹용 고형분 3%이상} 3.4%</t>
    <phoneticPr fontId="0" type="noConversion"/>
  </si>
  <si>
    <t>http://www.ekdp.com/product/items_view.asp?s=563</t>
  </si>
  <si>
    <t>Nokyong 12 Poom</t>
    <phoneticPr fontId="0" type="noConversion"/>
  </si>
  <si>
    <t>녹용 십이품</t>
    <phoneticPr fontId="0" type="noConversion"/>
  </si>
  <si>
    <t>-</t>
    <phoneticPr fontId="0" type="noConversion"/>
  </si>
  <si>
    <t>Deer velvet (upper part) [4g x 5 packs (20g)]</t>
    <phoneticPr fontId="0" type="noConversion"/>
  </si>
  <si>
    <t>녹용(상대)[4 g X 5포(20 g]</t>
    <phoneticPr fontId="0" type="noConversion"/>
  </si>
  <si>
    <t>http://www.ekdp.com/product/items_view.asp?s=495</t>
  </si>
  <si>
    <t>Deer Velvet Prostate Supplement</t>
  </si>
  <si>
    <t>녹용 전립선 보감</t>
  </si>
  <si>
    <t>0.7 x 2 times per day</t>
  </si>
  <si>
    <t>Deer velvet Angelica Gigas Root complex extract</t>
  </si>
  <si>
    <t>녹용당귀등 복합추출물</t>
  </si>
  <si>
    <t>Capsule</t>
  </si>
  <si>
    <t>Phone and e-commerce</t>
  </si>
  <si>
    <t>https://kdmemory365.com/product/list.html?cate_no=73</t>
  </si>
  <si>
    <t>Kwangdong Nokyong Bogam Ball</t>
  </si>
  <si>
    <t>광동 메모리365 녹용보감환</t>
  </si>
  <si>
    <t>Deer velvet fermented extract powder</t>
  </si>
  <si>
    <t>녹용발효추출분말</t>
  </si>
  <si>
    <t>https://kdmemory365.com/product/detail.html?product_no=40&amp;cate_no=71&amp;display_group=1</t>
  </si>
  <si>
    <t>Kwangdong Nokyong Bogam Ball Gold</t>
  </si>
  <si>
    <t>광동 메모리365 녹용보감환 골드</t>
  </si>
  <si>
    <t>4.25 x 1 time per day</t>
  </si>
  <si>
    <t>https://kdmemory365.com/product/detail.html?product_no=41&amp;cate_no=71&amp;display_group=1</t>
  </si>
  <si>
    <t>Kwangdong Nokyong Bogam Stick</t>
  </si>
  <si>
    <t>광동 메모리365 녹용보감고</t>
  </si>
  <si>
    <t>Deer velvet fermented extract</t>
  </si>
  <si>
    <t>녹용발효추출액</t>
  </si>
  <si>
    <t>https://kdmemory365.com/product/detail.html?product_no=42&amp;cate_no=71&amp;display_group=1</t>
  </si>
  <si>
    <t>Kwangdong Nokyong Sanghwang Liquid</t>
  </si>
  <si>
    <t>광동 메모리365 녹용 상황진액</t>
  </si>
  <si>
    <t>80ml x 1 time per day</t>
  </si>
  <si>
    <t>Deer velvet &amp; Meshima mushroom extract</t>
  </si>
  <si>
    <t>녹용상황추출액</t>
  </si>
  <si>
    <t>https://kdmemory365.com/product/detail.html?product_no=43&amp;cate_no=71&amp;display_group=1</t>
  </si>
  <si>
    <t>Kyungbang Shinyak</t>
  </si>
  <si>
    <t>Kyungbang Nogyong CheonLyuk Bo</t>
  </si>
  <si>
    <t>경방 녹용천력보</t>
  </si>
  <si>
    <t>75 x 1 time per day</t>
  </si>
  <si>
    <t>Deer velvet extracts (solid component 0.5%) 20%</t>
  </si>
  <si>
    <t>녹용 추출액 (고형분 0.5%) 20%</t>
  </si>
  <si>
    <t>https://smartstore.naver.com/kyungbangnature/products/5811645388?NaPm=ct%3Dl636s128%7Cci%3D6325645f78154679ffc181dc21a5e3abf3f9b8c3%7Ctr%3Dsls%7Csn%3D1943668%7Chk%3D64c51b8ddd5040775253ffbd3029ee55be0d28bd</t>
  </si>
  <si>
    <t>Leo Lee Gyungje</t>
  </si>
  <si>
    <t>The Himchan Nokyong Ampoule</t>
  </si>
  <si>
    <t>더힘찬 녹용앰플</t>
  </si>
  <si>
    <t>Deer velvet extract (solid component 0.2%) 50%</t>
  </si>
  <si>
    <t>녹용추출액 (고형분 0.2%) 50%</t>
  </si>
  <si>
    <t>Hwangje CheonYongDan</t>
  </si>
  <si>
    <t>황제 천용단</t>
  </si>
  <si>
    <t>4 x 1-3 per day</t>
  </si>
  <si>
    <t xml:space="preserve">녹용추출 분말 </t>
  </si>
  <si>
    <t>https://drleo.kr/_wg/import/sub/product/pro_list01.html</t>
  </si>
  <si>
    <t>Hwangje NokyongDan</t>
  </si>
  <si>
    <t>황제 녹용단</t>
  </si>
  <si>
    <t>4.17 x 1 time per day</t>
  </si>
  <si>
    <t>Deer velvet powder 15%</t>
  </si>
  <si>
    <t>녹용분말 15%</t>
  </si>
  <si>
    <t xml:space="preserve">Hwangje GongBit Dan </t>
  </si>
  <si>
    <t>황제공빛단</t>
  </si>
  <si>
    <t>Deer velvet extract powder 5%</t>
  </si>
  <si>
    <t>녹용 추출 분말 5%</t>
  </si>
  <si>
    <t>Internet shopping malls</t>
  </si>
  <si>
    <t>https://shop.drleo.kr/product/%EC%9D%B4%EA%B2%BD%EC%A0%9C-%ED%99%A9%EC%A0%9C%EA%B3%B5%EB%B9%9B%EB%8B%A8-1%EB%B0%95%EC%8A%A4375g60%ED%99%98/134/category/1/display/11/</t>
  </si>
  <si>
    <t>Lee Gyungje The Himchan 60 Bungol Nokyong Dan</t>
  </si>
  <si>
    <t>더힘찬 60분골 녹용단</t>
  </si>
  <si>
    <t>3.5 x 1 time per day</t>
  </si>
  <si>
    <t>Deer velvet bungol powder 20%</t>
  </si>
  <si>
    <t>녹용 분골 분말 20%</t>
  </si>
  <si>
    <t>Lotte cable TV home shipping channel, E-commerce</t>
  </si>
  <si>
    <t>http://www.11st.co.kr/product/SellerProductDetail.tmall?method=getSellerProductDetail&amp;prdNo=2800524731&amp;trTypeCd=21&amp;trCtgrNo=585021</t>
  </si>
  <si>
    <t>Hwangje GongBit Dan Gold</t>
  </si>
  <si>
    <t>황제공빛단 골드</t>
  </si>
  <si>
    <t>Deer velvet extract powder (solid component 10%) 5%</t>
  </si>
  <si>
    <t>녹용 추출 분말 (고형분 10%) 5%</t>
  </si>
  <si>
    <t>https://shop.drleo.kr/product/%EC%9D%B4%EA%B2%BD%EC%A0%9C-%ED%99%A9%EC%A0%9C%EA%B3%B5%EB%B9%9B%EB%8B%A8-%EA%B3%A8%EB%93%9C-4g60%ED%99%98-%EC%87%BC%ED%95%91%EB%B0%B1%EC%A6%9D%EC%A0%95/187/category/1/display/3/</t>
  </si>
  <si>
    <t>Hwangje CheonYongGo</t>
  </si>
  <si>
    <t>황제 천용고</t>
  </si>
  <si>
    <t>Kg</t>
  </si>
  <si>
    <t>Deer velvet mixed extract</t>
  </si>
  <si>
    <t>녹용 혼합 추출물 (고형분 0.2%) 2%</t>
  </si>
  <si>
    <t>Jar</t>
  </si>
  <si>
    <t>The Himchan NokyongGo</t>
  </si>
  <si>
    <t>더힘찬 녹용고</t>
  </si>
  <si>
    <t>3-5 x 1-2 times per day</t>
  </si>
  <si>
    <t xml:space="preserve">The Himchan Nokyong JinAek </t>
  </si>
  <si>
    <t>더힘찬 녹용진액</t>
  </si>
  <si>
    <t>Hwangje CheonYongJinAk</t>
  </si>
  <si>
    <t>황제 천용진액</t>
  </si>
  <si>
    <t>녹용 혼합 추출물 (고형분 0.2%) 64%</t>
  </si>
  <si>
    <t>The Himchan I Nokyong Hongsam</t>
  </si>
  <si>
    <t>더힘찬 아이 녹용 홍삼</t>
  </si>
  <si>
    <t>Deer velvet extract (solid component 0.1%) 15%</t>
  </si>
  <si>
    <t>녹용추출액 (고형분 0.1%) 15%</t>
  </si>
  <si>
    <t>The Himchan Nokyong</t>
  </si>
  <si>
    <t>더힘찬 녹용</t>
  </si>
  <si>
    <t>Deer velvet extract liquid (solid component 0.1%) 70%</t>
  </si>
  <si>
    <t>녹용추출액(고형분0.1%) 70%</t>
  </si>
  <si>
    <t>Hwangje GongBit Jinaek Gold</t>
  </si>
  <si>
    <t>황제공빛단 진액 골드</t>
  </si>
  <si>
    <t xml:space="preserve"> Deer velvet extract (solid component 0.1%) 1%</t>
  </si>
  <si>
    <t>녹용 추출액 (고형분 0.1%) 1%</t>
  </si>
  <si>
    <t>https://shop.drleo.kr/product/%EC%9D%B4%EA%B2%BD%EC%A0%9C-%ED%99%A9%EC%A0%9C%EA%B3%B5%EB%B9%9B%EC%A7%84%EC%95%A1-%EA%B3%A8%EB%93%9C-50ml30%ED%8F%AC/188/category/1/display/3/</t>
  </si>
  <si>
    <t>The Himchan Nogyong Gummie</t>
  </si>
  <si>
    <t>더힘찬 녹용구미</t>
  </si>
  <si>
    <t xml:space="preserve">Deer velvet extract 5% (solid component 6.25%) </t>
  </si>
  <si>
    <t>녹용추출액 5% (고형분 6.25%)</t>
  </si>
  <si>
    <t>Adults and children</t>
  </si>
  <si>
    <t>https://shop.drleo.kr/product/%EC%9D%B4%EA%B2%BD%EC%A0%9C-%EB%8D%94%ED%9E%98%EC%B0%AC-%EB%85%B9%EC%9A%A9%EA%B5%AC%EB%AF%B8-1%EB%B0%95%EC%8A%A4-25%EB%B4%89/68/category/55/display/1/</t>
  </si>
  <si>
    <t>Kids Wang Nogyong</t>
  </si>
  <si>
    <t>키즈왕녹용</t>
  </si>
  <si>
    <t>1.8 x 1 time per day</t>
  </si>
  <si>
    <t>Deer velvet bungol powder 10%</t>
  </si>
  <si>
    <t>녹용 분골 분말 10%</t>
  </si>
  <si>
    <t>powder/stick</t>
  </si>
  <si>
    <t>http://www.11st.co.kr/product/SellerProductDetail.tmall?method=getSellerProductDetail&amp;prdNo=2786805579&amp;trTypeCd=21&amp;trCtgrNo=585021&amp;lCtgrNo=1001342&amp;mCtgrNo=1002108</t>
  </si>
  <si>
    <t>The Himchan Nokyong Stick</t>
  </si>
  <si>
    <t>더힘찬 녹용 스틱</t>
  </si>
  <si>
    <t>Deer velvet extract powder (solid component 0.5%) 38%</t>
  </si>
  <si>
    <t>녹용추출분말 (고형분 0.5%) 38%</t>
  </si>
  <si>
    <t>Lee Gyungje TongKoeHan Nogyong Cream</t>
  </si>
  <si>
    <t>이경제 통쾌한 녹용크림</t>
  </si>
  <si>
    <t>Deer velvet extract 75%</t>
  </si>
  <si>
    <t>녹용추출액 75%</t>
  </si>
  <si>
    <t>https://shop.drleo.kr/product/%EC%9D%B4%EA%B2%BD%EC%A0%9C-%ED%86%B5%EC%BE%8C%ED%95%9C-%EB%85%B9%EC%9A%A9%ED%81%AC%EB%A6%BC-120ml-x-2%EA%B0%9C/53/category/56/display/1/</t>
  </si>
  <si>
    <t>LG H&amp;H</t>
    <phoneticPr fontId="0" type="noConversion"/>
  </si>
  <si>
    <t>Tae-Ja-Rok</t>
    <phoneticPr fontId="0" type="noConversion"/>
  </si>
  <si>
    <t>태자록</t>
    <phoneticPr fontId="0" type="noConversion"/>
  </si>
  <si>
    <t>Fermented deer velvet extract powder 54.5mg</t>
    <phoneticPr fontId="0" type="noConversion"/>
  </si>
  <si>
    <t>발효녹용추출물분말 54.5 mg</t>
    <phoneticPr fontId="0" type="noConversion"/>
  </si>
  <si>
    <t>Door-to-door sales channel with 540 regional distributors and 22,000 lady counsellors</t>
  </si>
  <si>
    <t>http://www.lglifegarden.com/product/view.jsp?cid1=L&amp;cid2=5&amp;pid=ACM35624</t>
  </si>
  <si>
    <t>Jinhyo Nokyong Won</t>
    <phoneticPr fontId="0" type="noConversion"/>
  </si>
  <si>
    <t>진효 녹용원</t>
    <phoneticPr fontId="0" type="noConversion"/>
  </si>
  <si>
    <t>Fermented deer velvet extract powder 0.17%</t>
    <phoneticPr fontId="0" type="noConversion"/>
  </si>
  <si>
    <t>발효녹용추출분말 0.17%</t>
    <phoneticPr fontId="0" type="noConversion"/>
  </si>
  <si>
    <t>http://www.lglifegarden.com/product/view.jsp?cid1=L&amp;cid2=3&amp;pid=ACM37294</t>
  </si>
  <si>
    <t>Jinhyo Nokyong Bon Daily</t>
    <phoneticPr fontId="0" type="noConversion"/>
  </si>
  <si>
    <t>진효 녹용본 데일리</t>
    <phoneticPr fontId="0" type="noConversion"/>
  </si>
  <si>
    <t>mg</t>
    <phoneticPr fontId="0" type="noConversion"/>
  </si>
  <si>
    <t xml:space="preserve">100 x 1 time per day </t>
    <phoneticPr fontId="0" type="noConversion"/>
  </si>
  <si>
    <t>Fermented deer velvet extract powder 0.8%</t>
    <phoneticPr fontId="0" type="noConversion"/>
  </si>
  <si>
    <t>발효녹용추출분말 0.8%</t>
    <phoneticPr fontId="0" type="noConversion"/>
  </si>
  <si>
    <t>http://www.lglifegarden.com/product/view.jsp?cid2=3&amp;pid=ACM38758</t>
  </si>
  <si>
    <t>Nokyongwon Balhyo Jinaekk</t>
  </si>
  <si>
    <t>생활정원 녹용원 발효진액</t>
  </si>
  <si>
    <t xml:space="preserve">70 x 1 time per day </t>
  </si>
  <si>
    <t>Deer velvet complex extract (solid component 3.5%) 83.8%</t>
  </si>
  <si>
    <t>녹용혼합추출액 83.8%[(고형분 3.5% 이상)</t>
  </si>
  <si>
    <t>https://k-beauties.com/product/lg%EC%83%9D%ED%99%9C%EA%B1%B4%EA%B0%95-%EC%83%9D%ED%99%9C%EC%A0%95%EC%9B%90-%EC%A7%84%ED%9A%A8-%EB%85%B9%EC%9A%A9%EC%9B%90-%EB%B0%9C%ED%9A%A8%EC%A7%84%EC%95%A1-30%EC%9D%BC-%EB%B3%B8/1053/</t>
  </si>
  <si>
    <t>Nutrition Gummy Balance Care</t>
  </si>
  <si>
    <t>공진구미 밸런스 케어</t>
  </si>
  <si>
    <t>4.5g x 1 time per day</t>
  </si>
  <si>
    <t>Fermented deer velvet extract powder</t>
  </si>
  <si>
    <t>발효녹용추출분말</t>
  </si>
  <si>
    <t>https://www.thewhoo.com/product/detail.html?product_no=774#</t>
  </si>
  <si>
    <t>Linz</t>
  </si>
  <si>
    <t>Kim So-Hyung Sambon Chim-Hyang-Hwan</t>
  </si>
  <si>
    <t>김소형 삼본 침향환</t>
  </si>
  <si>
    <t>http://item.gmarket.co.kr/DetailView/Item.asp?goodscode=2247102834&amp;GoodsSale=Y&amp;jaehuid=200001169&amp;NaPm=ct%3Dky143rtc%7Cci%3Db3ca717261cf1c449c1944483b800b37c86b3f51%7Ctr%3Dsls%7Csn%3D24%7Chk%3D102e2bcabd9db762a0ea8675da4edf72aa6af6a8</t>
  </si>
  <si>
    <t>Lotte Health One</t>
    <phoneticPr fontId="0" type="noConversion"/>
  </si>
  <si>
    <t>HwangJak Nokyong Jinaekk</t>
    <phoneticPr fontId="0" type="noConversion"/>
  </si>
  <si>
    <t>황작 녹용 진액</t>
    <phoneticPr fontId="0" type="noConversion"/>
  </si>
  <si>
    <t>Deer velvet 0.1%</t>
    <phoneticPr fontId="0" type="noConversion"/>
  </si>
  <si>
    <t>녹용 0.1%</t>
    <phoneticPr fontId="0" type="noConversion"/>
  </si>
  <si>
    <t>http://item.gmarket.co.kr/DetailView/Item.asp?goodscode=1493528078&amp;GoodsSale=Y&amp;jaehuid=200001169&amp;NaPm=ct%3Djnbcugjk%7Cci%3D4364ecf161f859dc76036996b1b9eeee3d23e17c%7Ctr%3Dsls%7Csn%3D24%7Chk%3Dc18b4752720742901aee08f7414f73a345477d33</t>
  </si>
  <si>
    <t>Lotte Mart</t>
    <phoneticPr fontId="3" type="noConversion"/>
  </si>
  <si>
    <t>Hav'eat Chimhyang Hwan</t>
    <phoneticPr fontId="3" type="noConversion"/>
  </si>
  <si>
    <t>해빗 침향환</t>
    <phoneticPr fontId="3" type="noConversion"/>
  </si>
  <si>
    <t>3.7 x 1 time per day</t>
    <phoneticPr fontId="3" type="noConversion"/>
  </si>
  <si>
    <t>Deer velvet powder</t>
    <phoneticPr fontId="3" type="noConversion"/>
  </si>
  <si>
    <t>녹용분말</t>
    <phoneticPr fontId="3" type="noConversion"/>
  </si>
  <si>
    <t xml:space="preserve">New Zealand </t>
    <phoneticPr fontId="3" type="noConversion"/>
  </si>
  <si>
    <t>Lotte Mart stores</t>
    <phoneticPr fontId="3" type="noConversion"/>
  </si>
  <si>
    <t>MayJune</t>
    <phoneticPr fontId="0" type="noConversion"/>
  </si>
  <si>
    <t>Chimhyang Dan</t>
    <phoneticPr fontId="0" type="noConversion"/>
  </si>
  <si>
    <t>5 x 1 time per day</t>
    <phoneticPr fontId="0" type="noConversion"/>
  </si>
  <si>
    <t>E-commerce and cable TV home shopping channels</t>
  </si>
  <si>
    <t>http://www.0506mall.com/shop/detail.php?pno=28267AB848BCF807B2ED53C3A8F8FC8A&amp;rURL=http%3A%2F%2Fwww.0506mall.com%2Fshop%2Fbig_section.php%3Fcno1%3D1364&amp;ctype=1&amp;cno1=1364</t>
  </si>
  <si>
    <t>Jinsim Balhyo Nokyong Whan</t>
  </si>
  <si>
    <t>진심 발효 녹용환</t>
  </si>
  <si>
    <t>Fermented deer velvet powder 3%</t>
  </si>
  <si>
    <t>발효녹용분말 3%</t>
  </si>
  <si>
    <t>https://www.0506mall.com/product/%EB%B0%95%EA%B2%BD%ED%98%B8%EC%9D%98-%EC%A7%84%EC%8B%AC-%EB%B0%9C%ED%9A%A8-%EB%85%B9%EC%9A%A9%ED%99%98-30%ED%99%981%EB%B0%95%EC%8A%A4/158/category/97/display/1/</t>
  </si>
  <si>
    <t>Park's Nokyong Hwalryeok Plus</t>
    <phoneticPr fontId="0" type="noConversion"/>
  </si>
  <si>
    <t>녹용 활력 플러스</t>
    <phoneticPr fontId="0" type="noConversion"/>
  </si>
  <si>
    <t>60 x 1-2 times per day</t>
    <phoneticPr fontId="0" type="noConversion"/>
  </si>
  <si>
    <t>Deer velvet extract liquid (solid component 0.1%) 20%</t>
    <phoneticPr fontId="0" type="noConversion"/>
  </si>
  <si>
    <t>녹용추출액(고형분0.1%) 20%</t>
    <phoneticPr fontId="0" type="noConversion"/>
  </si>
  <si>
    <t>http://www.0506mall.com/shop/detail.php?pno=96EA64F3A1AA2FD00C72FAACF0CB8AC9&amp;rURL=http%3A%2F%2Fwww.0506mall.com%2Fshop%2Fbig_section.php%3Fcno1%3D1351&amp;ctype=1&amp;cno1=1351</t>
  </si>
  <si>
    <t>Park's Nokyong Hwalryeok Shin</t>
    <phoneticPr fontId="0" type="noConversion"/>
  </si>
  <si>
    <t>녹용 활력신</t>
    <phoneticPr fontId="0" type="noConversion"/>
  </si>
  <si>
    <t>Deer velvet extract liquid (solid component 0.1%) 75%</t>
    <phoneticPr fontId="0" type="noConversion"/>
  </si>
  <si>
    <t>녹용추출액(고형분0.1%) 75%</t>
    <phoneticPr fontId="0" type="noConversion"/>
  </si>
  <si>
    <t>http://www.0506mall.com/shop/detail.php?pno=82489C9737CC245530C7A6EBEF3753EC&amp;rURL=http%3A%2F%2Fwww.0506mall.com%2Fshop%2Fbig_section.php%3Fcno1%3D1352&amp;ctype=1&amp;cno1=1352</t>
  </si>
  <si>
    <t>Park Kyungho Nokyong Hwalryeok Myungjak</t>
  </si>
  <si>
    <t>박경호 녹용 활력 명작</t>
  </si>
  <si>
    <t>Deer velvet extract (solid component 0.15%) 55%</t>
  </si>
  <si>
    <t>녹용추출액 55% (고형분 0.15%)</t>
  </si>
  <si>
    <t>Cable TV homeshopping channels</t>
  </si>
  <si>
    <t>https://www.0506mall.com/product/6%EB%B0%95%EC%8A%A4%EB%B0%95%EA%B2%BD%ED%98%B8%EC%9D%98-%EB%85%B9%EC%9A%A9%ED%99%9C%EB%A0%A5-%EB%AA%85%EC%9E%9150mlx20%ED%8F%AC/86/category/69/display/1/</t>
  </si>
  <si>
    <t>Medi-Post</t>
  </si>
  <si>
    <t>Hongsam Jin Daily</t>
  </si>
  <si>
    <t>홍삼진 데일리</t>
  </si>
  <si>
    <t>http://www.mo-vita.co.kr/shop/goods/goods_view.php?goodsno=1398&amp;category=</t>
  </si>
  <si>
    <t>Meta Formula</t>
  </si>
  <si>
    <t>Meta Fermented Nokyong 1 bottle</t>
  </si>
  <si>
    <t>메타 발효 녹용 1병</t>
  </si>
  <si>
    <t>3 x 1 time per day</t>
  </si>
  <si>
    <t>Deer velvet concentrate powder 2.5%</t>
  </si>
  <si>
    <t>녹용추출분말 2.5%</t>
  </si>
  <si>
    <t>http://www.metaformula.co.kr/shop/goods/goods_view.php?goodsno=622&amp;category=001001001</t>
  </si>
  <si>
    <t>Meta Balhyo Nogyong</t>
  </si>
  <si>
    <t>메타 발효 녹용</t>
  </si>
  <si>
    <t>3gr x 1 time per day</t>
  </si>
  <si>
    <t>Fermented deer velvet extract powder 2.5%</t>
  </si>
  <si>
    <t>녹용 발효 추출 분말 2.5%</t>
  </si>
  <si>
    <t>NS cable TV home shopping channel and E-commerce</t>
  </si>
  <si>
    <t>http://www.metaformula.co.kr/shop/goods/goods_view.php?goodsno=622&amp;category=001</t>
  </si>
  <si>
    <t>Miracle Food</t>
    <phoneticPr fontId="0" type="noConversion"/>
  </si>
  <si>
    <t>SongGangDang Jinbo Ganghwang</t>
    <phoneticPr fontId="0" type="noConversion"/>
  </si>
  <si>
    <t>송강당 진보강황</t>
    <phoneticPr fontId="0" type="noConversion"/>
  </si>
  <si>
    <t>Deer velvet 10%</t>
    <phoneticPr fontId="0" type="noConversion"/>
  </si>
  <si>
    <t>녹용 10%</t>
    <phoneticPr fontId="0" type="noConversion"/>
  </si>
  <si>
    <t xml:space="preserve">Russia </t>
    <phoneticPr fontId="0" type="noConversion"/>
  </si>
  <si>
    <t>http://miraclefoodmall.com/product/%EC%A7%84%EB%B3%B4%EA%B0%95%ED%99%A9-30%EA%B0%9C%EC%9E%85/39/category/1/display/3/</t>
  </si>
  <si>
    <t>Mom &amp; Young</t>
  </si>
  <si>
    <t>Mat It Neun Nokyong (Delicious Deer Velvet)</t>
    <phoneticPr fontId="3" type="noConversion"/>
  </si>
  <si>
    <t>맛있는 녹용</t>
  </si>
  <si>
    <t>Deer velvet extract (solid component 1%) 1%</t>
  </si>
  <si>
    <t>녹용추출액 1% (고형분 1%)</t>
  </si>
  <si>
    <t>https://www.momnyoung.com/goods/goods_view.php?goodsNo=1000000118</t>
  </si>
  <si>
    <t>Him &amp; Young</t>
  </si>
  <si>
    <t>힘엔용</t>
  </si>
  <si>
    <t>60ml x 1 time per day</t>
  </si>
  <si>
    <t>Deer velvet extract (solid component 0.1%) 83%</t>
  </si>
  <si>
    <t>녹용 추출액 (고형분 0.1%) 83%</t>
  </si>
  <si>
    <t>http://momnyoung.com/goods/goods_view.php?goodsNo=1000000094</t>
  </si>
  <si>
    <t>Kee &amp; Young</t>
  </si>
  <si>
    <t>키엔용</t>
  </si>
  <si>
    <t>50ml x 1 time per day</t>
  </si>
  <si>
    <t>Deer velvet extract (solid component 0.1%) 8%</t>
  </si>
  <si>
    <t>녹용 추출액 (고형분 0.1%) 8%</t>
  </si>
  <si>
    <t>http://momnyoung.com/goods/goods_list.php?cateCd=001003</t>
  </si>
  <si>
    <t>Ki &amp; Young</t>
  </si>
  <si>
    <t>녹용 추출액 (고형분 0.1%) 20%</t>
  </si>
  <si>
    <t>http://momnyoung.com/goods/goods_view.php?goodsNo=1000000081</t>
  </si>
  <si>
    <t>Ki &amp; Young Plus</t>
  </si>
  <si>
    <t>키엔용 플러스</t>
  </si>
  <si>
    <t>Deer velvet extract (solid component 0.1%) 30%</t>
  </si>
  <si>
    <t>녹용 추출액 (고형분 0.1%) 30%</t>
  </si>
  <si>
    <t>Elementary students</t>
  </si>
  <si>
    <t>http://momnyoung.com/goods/goods_view.php?goodsNo=1000000077</t>
  </si>
  <si>
    <t>Achim (meaning ‘morning’) Nogyong</t>
  </si>
  <si>
    <t>아침 녹용</t>
  </si>
  <si>
    <t>녹용추출액 30% (고형분 0.1%)</t>
  </si>
  <si>
    <t>https://www.momnyoung.com/goods/goods_view.php?goodsNo=1000000124&amp;mtn=14%5E%7C%5EBEST+SELLER%5E%7C%5En</t>
  </si>
  <si>
    <t>Mee &amp; Young</t>
  </si>
  <si>
    <t>미엔용</t>
  </si>
  <si>
    <t>10ml x 1 time per day</t>
  </si>
  <si>
    <t>Deer velvet extract (solid component 0.1%) 50%</t>
  </si>
  <si>
    <t>녹용 추출액 (고형분 0.1%) 50%</t>
  </si>
  <si>
    <t>http://momnyoung.com/goods/goods_view.php?goodsNo=1000000091</t>
  </si>
  <si>
    <t>HimNae Young</t>
  </si>
  <si>
    <t>힘내용</t>
  </si>
  <si>
    <t>Deer velvet extract (solid component 0.1%) 40%</t>
  </si>
  <si>
    <t>http://momnyoung.com/goods/goods_list.php?cateCd=001006</t>
  </si>
  <si>
    <t>Muju Chunma</t>
  </si>
  <si>
    <t>CheonHongRok Jeong Premium</t>
  </si>
  <si>
    <t>천홍록 정 프리미엄</t>
  </si>
  <si>
    <t>Deer velvet extract (solid component 3%) 1%</t>
  </si>
  <si>
    <t>녹용추출액 1% (고형분 3%)</t>
  </si>
  <si>
    <t>http://www.mjchunma.com/shop/item.php?it_id=1586509063&amp;ca_id=10&amp;page=1</t>
  </si>
  <si>
    <t>NewFormula</t>
  </si>
  <si>
    <t>Super Meal Nokyong</t>
  </si>
  <si>
    <t>슈퍼밀 녹용</t>
  </si>
  <si>
    <t xml:space="preserve">30 x 2 times per day </t>
  </si>
  <si>
    <t>Deer velvet powder 0.13%</t>
  </si>
  <si>
    <t>녹용분말 0.13%</t>
  </si>
  <si>
    <t>https://www.newformula.co.kr/goods/goods_view.php?goodsNo=1000000001&amp;mtn=12%5E%7C%5EBEST+PRODUCT%5E%7C%5En</t>
  </si>
  <si>
    <t>Next BT</t>
    <phoneticPr fontId="0" type="noConversion"/>
  </si>
  <si>
    <t>Wang Hye Moon Nokyong Bogam</t>
    <phoneticPr fontId="0" type="noConversion"/>
  </si>
  <si>
    <t>왕혜문 녹용보감</t>
    <phoneticPr fontId="0" type="noConversion"/>
  </si>
  <si>
    <t>Deer velvet extract (solid component over 0.1%, purified water, deer velvet) 92%</t>
    <phoneticPr fontId="0" type="noConversion"/>
  </si>
  <si>
    <t>녹용추출물 (고형분 0.1% 이상, 정제수, 녹용) 92%</t>
    <phoneticPr fontId="0" type="noConversion"/>
  </si>
  <si>
    <t>http://www.nextbt.co.kr/bbs/board.php?bo_table=info_02&amp;wr_id=4</t>
  </si>
  <si>
    <t>Wang Hye Moon Nokyong Jinekk</t>
    <phoneticPr fontId="0" type="noConversion"/>
  </si>
  <si>
    <t>왕혜문 녹용진액</t>
    <phoneticPr fontId="0" type="noConversion"/>
  </si>
  <si>
    <t>Deer velvet concentrate (solid component 20%) 0.6%</t>
    <phoneticPr fontId="0" type="noConversion"/>
  </si>
  <si>
    <t>녹용농축액 (고형분 20%) 0.6%</t>
    <phoneticPr fontId="0" type="noConversion"/>
  </si>
  <si>
    <t>http://www.akmall.com/goods/GoodsDetail.do?goods_id=79192121#</t>
  </si>
  <si>
    <t>NongHyup - Rabbit &amp; Deer Co-op</t>
  </si>
  <si>
    <t>Re-floral</t>
  </si>
  <si>
    <t>리플로라</t>
  </si>
  <si>
    <t>Deer velvet extract 1.25%</t>
  </si>
  <si>
    <t>녹용농축액 1.25%</t>
  </si>
  <si>
    <t>http://xn--p80bmb239hy8n.com/product/%EB%A6%AC%ED%94%8C%EB%A1%9C%EB%9D%BC-%EC%97%AC%EC%84%B1-%EA%B0%B1%EB%85%84%EA%B8%B0-%EC%98%81%EC%96%91%EC%A0%9C-%EB%A9%B4%EC%97%AD%EB%A0%A5-%ED%94%BC%EB%A1%9C%EA%B0%9C%EC%84%A0-%ED%98%88%ED%96%89%EA%B4%80%EB%A6%AC-%EA%B1%B4%EA%B0%95%EA%B8%B0%EB%8A%A5%EC%8B%9D%ED%92%88-%EB%B0%B1%EC%88%98%EC%98%A4-%ED%99%8D%EC%82%BC-%EB%85%B9%EC%9A%A9/68/category/1/display/2/</t>
  </si>
  <si>
    <t>Smart &amp; Strong</t>
  </si>
  <si>
    <t>스마트앤튼튼</t>
  </si>
  <si>
    <t>25g x 1 time per day</t>
  </si>
  <si>
    <t>Deer velvet extract (solid component 20%)</t>
  </si>
  <si>
    <t>녹용농축액 (고형분 20%)</t>
  </si>
  <si>
    <t>http://xn--p80bmb239hy8n.com/product/%EC%8A%A4%EB%A7%88%ED%8A%B8%EC%95%A4%ED%8A%BC%ED%8A%BC/67/category/1/display/2/</t>
  </si>
  <si>
    <t>NutriCore</t>
  </si>
  <si>
    <t>Balhyo Chimhyung Nokyong</t>
  </si>
  <si>
    <t>발표침향녹용</t>
  </si>
  <si>
    <t>Fermented deer velvet extract</t>
  </si>
  <si>
    <t>발효침향녹용복합농축액, 발효녹용농축액</t>
  </si>
  <si>
    <t>https://www.nutricore.co.kr/goods/view?no=900</t>
  </si>
  <si>
    <t>Black Goat Extract</t>
  </si>
  <si>
    <t>흑염소 진액</t>
  </si>
  <si>
    <t>발효녹용농축액</t>
  </si>
  <si>
    <t>https://www.nutricore.co.kr/goods/view?no=1022</t>
  </si>
  <si>
    <t>NutriOne</t>
  </si>
  <si>
    <t>Premium Nogyong Jin</t>
  </si>
  <si>
    <t>더생 프리미엄 녹용진</t>
  </si>
  <si>
    <t>Online and cable TV homeshopping channels</t>
  </si>
  <si>
    <t>OG-I</t>
  </si>
  <si>
    <t>Samnoki</t>
  </si>
  <si>
    <t>삼녹이</t>
  </si>
  <si>
    <t>발효녹용추출액</t>
  </si>
  <si>
    <t>https://www.og-i.com/product/detail.html?product_no=105</t>
  </si>
  <si>
    <t>Pulmuone</t>
    <phoneticPr fontId="0" type="noConversion"/>
  </si>
  <si>
    <t>San Nok Sam Gold</t>
  </si>
  <si>
    <t>산녹삼 골드</t>
  </si>
  <si>
    <t xml:space="preserve">100 x 1 time per day </t>
  </si>
  <si>
    <t>Deer velvet mixed extract 83% (solid component over 1.0%)</t>
  </si>
  <si>
    <t>녹용혼합추출물 83%[(고형분 1.0% 이상)</t>
  </si>
  <si>
    <t>E-commerce and door-to-door sales</t>
  </si>
  <si>
    <t>https://shop.pulmuone.co.kr/shop/goodsView?goods=39357&amp;PageCd=P_PC_goods&amp;ContentCd=37439-AIGds</t>
  </si>
  <si>
    <t>Keum Sa Hwan</t>
    <phoneticPr fontId="0" type="noConversion"/>
  </si>
  <si>
    <t>금사환</t>
    <phoneticPr fontId="0" type="noConversion"/>
  </si>
  <si>
    <t xml:space="preserve">Deer velvet processed extract 0.15% </t>
    <phoneticPr fontId="0" type="noConversion"/>
  </si>
  <si>
    <t>https://www.pulmuone-lohas.com/pc/brand/product/prd_view.do?cacode=11010000&amp;pdcode=PF0760#detail1</t>
  </si>
  <si>
    <t>Nokyong Jin</t>
  </si>
  <si>
    <t>녹용진</t>
  </si>
  <si>
    <t>Fermented deer velvet extract (solid component 4%) 0.5%</t>
  </si>
  <si>
    <t>발효녹용추출물 0.5% (고형분 4.0% 이상)</t>
  </si>
  <si>
    <t>LG25 convenience stores</t>
  </si>
  <si>
    <t>https://smartstore.naver.com/jadamteo/products/5314890293</t>
  </si>
  <si>
    <t>Nokyong &amp; Sam's Power</t>
    <phoneticPr fontId="0" type="noConversion"/>
  </si>
  <si>
    <t>산이 내린 녹용과 인삼의 힘</t>
    <phoneticPr fontId="0" type="noConversion"/>
  </si>
  <si>
    <t>Deer velvet mixed extract 83% (solid component over 1.0%)</t>
    <phoneticPr fontId="0" type="noConversion"/>
  </si>
  <si>
    <t>녹용혼합추출물 83%[(고형분 1.0% 이상)</t>
    <phoneticPr fontId="0" type="noConversion"/>
  </si>
  <si>
    <t>https://www.pulmuoneshop.co.kr/goods/displayView.do?headCateCd=009003&amp;headGoodsNo=8544</t>
  </si>
  <si>
    <t>Nokyong and Sam’s Power from Mountain</t>
  </si>
  <si>
    <t>산이 내린 녹용과 삼의 힘</t>
  </si>
  <si>
    <t>100 x 1 time per day</t>
  </si>
  <si>
    <t>Deer velvet extract (solid component 0.49%) 83%</t>
  </si>
  <si>
    <t>녹용혼합추출물 83%[녹용 0.49%]</t>
  </si>
  <si>
    <t>Door-to-door sales</t>
  </si>
  <si>
    <t>https://www.pulmuoneshop.co.kr/goods/displayView.do?headCateCd=020001002&amp;headGoodsNo=8545</t>
  </si>
  <si>
    <t>ChamJinHan Nogyong HongsamJeong</t>
  </si>
  <si>
    <t>참진한 녹용 홍삼정</t>
  </si>
  <si>
    <t>Deer velvet concentrate (solid component 15%) 2%</t>
  </si>
  <si>
    <t>녹용농축액 2% (고형분 15% 이상)</t>
  </si>
  <si>
    <t>By Orga' stores</t>
  </si>
  <si>
    <t>https://shop.pulmuone.co.kr/shop/goodsView?goods=32285</t>
  </si>
  <si>
    <t>KyungNokWon</t>
  </si>
  <si>
    <t>경녹원</t>
  </si>
  <si>
    <t>Deer velvet extract 16.3% (solid component 4%)</t>
  </si>
  <si>
    <t>녹용추출물 16.3% (고형분 4%, 녹용:뉴질랜드산</t>
  </si>
  <si>
    <t>https://www.pulmuone-lohas.com/pc/brand/product/prd_view.do?cacode=11000000&amp;pdcode=1557812062</t>
  </si>
  <si>
    <t>Deep Mountain Precious Ginseng Vitality Tonic</t>
  </si>
  <si>
    <t>깊은산 귀한삼 활력보감</t>
  </si>
  <si>
    <t>Deer velvet is part of a plant complex extract</t>
  </si>
  <si>
    <t>식물혼합추출물의 구성성분 중 하나로 녹용 표시됨</t>
  </si>
  <si>
    <t>https://www.pulmuone-lohas.com/pc/brand/product/prd_view.do?cacode=11010000&amp;pdcode=1747100304</t>
  </si>
  <si>
    <t>Siwon Pharm.</t>
  </si>
  <si>
    <t>Puloman Golden Velvet</t>
  </si>
  <si>
    <t>풀로만 황금녹용</t>
  </si>
  <si>
    <t>Deer velvet concentrate 5.33% (solid component 15%)</t>
  </si>
  <si>
    <t>https://m.puloman.com/goods/goods_view.php?goodsNo=1000000021</t>
  </si>
  <si>
    <t>PyunKang Oriental Medicine Research Center</t>
  </si>
  <si>
    <t>Goojeon Nokyong Jin</t>
  </si>
  <si>
    <t>구전녹용 진</t>
  </si>
  <si>
    <t>40 x 1-2 times per day</t>
    <phoneticPr fontId="0" type="noConversion"/>
  </si>
  <si>
    <t>Deer velvet solid componemt over 2.78%, 42%</t>
  </si>
  <si>
    <t>녹용 고형분 2.78% 이상 42%</t>
  </si>
  <si>
    <t>E-commerce and Lotte Department Stores and Shinsegae Department Stores</t>
  </si>
  <si>
    <t>https://www.pkmall.co.kr/shop/item.php?it_id=1563499028</t>
  </si>
  <si>
    <t>Goojeon Nokyong</t>
  </si>
  <si>
    <t>구전녹용</t>
    <phoneticPr fontId="0" type="noConversion"/>
  </si>
  <si>
    <t>Deer velvet solid component over 0.5%, 14.3%</t>
    <phoneticPr fontId="0" type="noConversion"/>
  </si>
  <si>
    <t>녹용 고형분 0.5% 이상 14.3%</t>
    <phoneticPr fontId="0" type="noConversion"/>
  </si>
  <si>
    <t>https://www.pkmall.co.kr/shop/item.php?it_id=1450761112#sit_inf</t>
  </si>
  <si>
    <t>Goojeon Nokyong Geumjiokyeob</t>
  </si>
  <si>
    <t>구전녹용 금지옥엽</t>
    <phoneticPr fontId="0" type="noConversion"/>
  </si>
  <si>
    <t>Deer velvet solid componemt over 0.1%, 28.6%</t>
    <phoneticPr fontId="0" type="noConversion"/>
  </si>
  <si>
    <t>녹용 고형분 0.1% 이상 28.6%</t>
    <phoneticPr fontId="0" type="noConversion"/>
  </si>
  <si>
    <t>https://www.pkmall.co.kr/shop/item.php?it_id=1468475292#sit_inf</t>
  </si>
  <si>
    <t>Goojeon Nokyong Soon</t>
    <phoneticPr fontId="0" type="noConversion"/>
  </si>
  <si>
    <t>구전녹용순</t>
    <phoneticPr fontId="0" type="noConversion"/>
  </si>
  <si>
    <t>Deer velvet solid componemt over 0.1%, 70%</t>
    <phoneticPr fontId="0" type="noConversion"/>
  </si>
  <si>
    <t>녹용 고형분 0.1% 이상 70%</t>
    <phoneticPr fontId="0" type="noConversion"/>
  </si>
  <si>
    <t>https://www.pkmall.co.kr/shop/item.php?it_id=1468475280#sit_inf</t>
  </si>
  <si>
    <t>Goojeon Nokyong Danggeum Agi</t>
    <phoneticPr fontId="0" type="noConversion"/>
  </si>
  <si>
    <t>구전녹용 당금아기</t>
    <phoneticPr fontId="0" type="noConversion"/>
  </si>
  <si>
    <t>20 x 1-2 times per day</t>
    <phoneticPr fontId="0" type="noConversion"/>
  </si>
  <si>
    <t>Deer velvet solid component over 0.1%, 28.6%</t>
    <phoneticPr fontId="0" type="noConversion"/>
  </si>
  <si>
    <t>3-6 years old kids</t>
    <phoneticPr fontId="0" type="noConversion"/>
  </si>
  <si>
    <t>https://www.pkmall.co.kr/shop/item.php?it_id=1503359582</t>
  </si>
  <si>
    <t>Goojeon Jeongkyung Booin</t>
    <phoneticPr fontId="3" type="noConversion"/>
  </si>
  <si>
    <t>구전녹용 정경부인</t>
    <phoneticPr fontId="3" type="noConversion"/>
  </si>
  <si>
    <t>50 x 1 time per day</t>
    <phoneticPr fontId="3" type="noConversion"/>
  </si>
  <si>
    <t>Women</t>
    <phoneticPr fontId="3" type="noConversion"/>
  </si>
  <si>
    <t>https://www.pkmall.co.kr/shop/item.php?it_id=1614131676</t>
    <phoneticPr fontId="3" type="noConversion"/>
  </si>
  <si>
    <t>Goojeon Nokyong Bokse Pyunsal</t>
  </si>
  <si>
    <t>구전녹용 복세편살</t>
  </si>
  <si>
    <t>Deer velvet solid component over 0.92%, 25%</t>
  </si>
  <si>
    <t>녹용 고형분 0.92% 이상 25%</t>
  </si>
  <si>
    <t>https://www.pkmall.co.kr/shop/item.php?it_id=1545091130</t>
  </si>
  <si>
    <t>Goojeon Pass with deer velvet</t>
  </si>
  <si>
    <t>구전녹용 합격녹용</t>
  </si>
  <si>
    <t>https://www.pkmall.co.kr/shop/item.php?it_id=1649728304</t>
  </si>
  <si>
    <t>ReborNature</t>
  </si>
  <si>
    <t>HeukNok Yechan</t>
  </si>
  <si>
    <t>흑녹예찬</t>
  </si>
  <si>
    <t>Deer velvet extracts (solid component 4%) 30.5%</t>
  </si>
  <si>
    <t>녹용 추출액 (고형분 4%) 30.5%</t>
  </si>
  <si>
    <t>https://rebornature.co.kr/product/%ED%9D%91%EB%85%B9%EC%98%88%EC%B0%AC-20ml-x-30%EB%B3%91/19/category/43/display/1/</t>
  </si>
  <si>
    <t>HeukNokJin</t>
  </si>
  <si>
    <t>흑녹진</t>
  </si>
  <si>
    <t>Deer velvet extracts (solid component 0.5%) 60%</t>
  </si>
  <si>
    <t>녹용 추출액 (고형분 0.5%) 60%</t>
  </si>
  <si>
    <t>https://rebornature.co.kr/product/%ED%9D%91%EB%85%B9%EC%A7%84-70ml-x-30%ED%8F%AC/15/category/43/display/1/</t>
  </si>
  <si>
    <t>Samjin Pharm</t>
  </si>
  <si>
    <t>Deer velvet black bellflower tonic</t>
  </si>
  <si>
    <t>녹용 구증구포 흑도라지청 진액스틱</t>
  </si>
  <si>
    <t>https://www.marketonj.co.kr/goods/goods_view.php?goodsNo=1000000692</t>
  </si>
  <si>
    <t>Sang-A Pharmaceutical</t>
    <phoneticPr fontId="0" type="noConversion"/>
  </si>
  <si>
    <t>NokyongJeong Real Time</t>
    <phoneticPr fontId="0" type="noConversion"/>
  </si>
  <si>
    <t>녹용정 리얼타임</t>
    <phoneticPr fontId="0" type="noConversion"/>
  </si>
  <si>
    <t>녹용추출액(고형분0.05%이상)</t>
    <phoneticPr fontId="0" type="noConversion"/>
  </si>
  <si>
    <t>http://www.sangapharm.co.kr/portfolio/%EB%85%B9%EC%9A%A9%EC%A0%95-%EB%A6%AC%EC%96%BC%ED%83%80%EC%9E%84/</t>
  </si>
  <si>
    <t>Sangsang Bio</t>
    <phoneticPr fontId="0" type="noConversion"/>
  </si>
  <si>
    <t>PanToSam Myungga</t>
    <phoneticPr fontId="0" type="noConversion"/>
  </si>
  <si>
    <t>판토삼 명가</t>
    <phoneticPr fontId="0" type="noConversion"/>
  </si>
  <si>
    <t>28 x 1 time per day</t>
    <phoneticPr fontId="0" type="noConversion"/>
  </si>
  <si>
    <t>Deer velvet extract liquid (solid component over 1%) 14.3%</t>
    <phoneticPr fontId="0" type="noConversion"/>
  </si>
  <si>
    <t>녹용추출액 (고형분 1% 이상) 14.3%</t>
    <phoneticPr fontId="0" type="noConversion"/>
  </si>
  <si>
    <t xml:space="preserve">E-commerce </t>
  </si>
  <si>
    <t>http://sspark24.com/product/detail.html?product_no=139&amp;cate_no=93&amp;display_group=2</t>
  </si>
  <si>
    <t>SD H&amp;B</t>
    <phoneticPr fontId="3" type="noConversion"/>
  </si>
  <si>
    <t>Chimhyang Bichaek</t>
    <phoneticPr fontId="3" type="noConversion"/>
  </si>
  <si>
    <t>침향비책</t>
    <phoneticPr fontId="3" type="noConversion"/>
  </si>
  <si>
    <t>4 x 1 time per day</t>
    <phoneticPr fontId="3" type="noConversion"/>
  </si>
  <si>
    <t>New Zealand deer velvet 10%</t>
    <phoneticPr fontId="3" type="noConversion"/>
  </si>
  <si>
    <t>뉴질랜드 녹용 10%</t>
    <phoneticPr fontId="3" type="noConversion"/>
  </si>
  <si>
    <t>http://www.sdhnb.com/chimhyangbichaek/?utm_source=naver&amp;utm_medium=brand_pc&amp;utm_campaign=chimhyang</t>
    <phoneticPr fontId="3" type="noConversion"/>
  </si>
  <si>
    <t>SeolHwa Deer Farm</t>
    <phoneticPr fontId="0" type="noConversion"/>
  </si>
  <si>
    <t>SeolHwa Nokyong Zeup</t>
    <phoneticPr fontId="0" type="noConversion"/>
  </si>
  <si>
    <t>설화 녹용즙</t>
    <phoneticPr fontId="0" type="noConversion"/>
  </si>
  <si>
    <t>100 x 1-2 times per day</t>
    <phoneticPr fontId="0" type="noConversion"/>
  </si>
  <si>
    <t xml:space="preserve">Korea frozen deer velvet 5 nyang (187.5g), Russian hard antler 125g </t>
    <phoneticPr fontId="0" type="noConversion"/>
  </si>
  <si>
    <t>한국산 생녹용 5냥, 러시아산 녹각 125그램</t>
    <phoneticPr fontId="0" type="noConversion"/>
  </si>
  <si>
    <t>Korea, Russia</t>
    <phoneticPr fontId="0" type="noConversion"/>
  </si>
  <si>
    <t>http://thefourseason.kr/product/detail.html?product_no=105&amp;cate_no=24&amp;display_group=1</t>
  </si>
  <si>
    <t>Sejong Bio</t>
  </si>
  <si>
    <t>100 years Sejong</t>
  </si>
  <si>
    <t>백년세종 산삼녹용침향환</t>
  </si>
  <si>
    <t>3.75 x 1 time</t>
  </si>
  <si>
    <t>Deer velvet (tip) 12%</t>
  </si>
  <si>
    <t>녹용분골 12% (러시아산)</t>
  </si>
  <si>
    <t>Unknown</t>
  </si>
  <si>
    <t>https://www.100sejong.co.kr/</t>
  </si>
  <si>
    <t xml:space="preserve">Sogang </t>
    <phoneticPr fontId="0" type="noConversion"/>
  </si>
  <si>
    <t>Sogang Hwangsil Chimhyang Dan</t>
    <phoneticPr fontId="0" type="noConversion"/>
  </si>
  <si>
    <t>서강황실침향단</t>
    <phoneticPr fontId="0" type="noConversion"/>
  </si>
  <si>
    <t>4.2 x 1 time per day</t>
    <phoneticPr fontId="0" type="noConversion"/>
  </si>
  <si>
    <t>녹용추출분말</t>
    <phoneticPr fontId="0" type="noConversion"/>
  </si>
  <si>
    <t xml:space="preserve">- </t>
    <phoneticPr fontId="0" type="noConversion"/>
  </si>
  <si>
    <t>http://www.sogangsls.co.kr/base/business/business08.php</t>
  </si>
  <si>
    <t>Songgang F&amp;B</t>
    <phoneticPr fontId="0" type="noConversion"/>
  </si>
  <si>
    <t>SongGang GongJinBo Jin</t>
    <phoneticPr fontId="0" type="noConversion"/>
  </si>
  <si>
    <t>송강 공진보 진</t>
    <phoneticPr fontId="0" type="noConversion"/>
  </si>
  <si>
    <t>4.5 x 1 time per day</t>
    <phoneticPr fontId="0" type="noConversion"/>
  </si>
  <si>
    <t>Deer velvet 11%</t>
    <phoneticPr fontId="0" type="noConversion"/>
  </si>
  <si>
    <t>녹용 11%</t>
    <phoneticPr fontId="0" type="noConversion"/>
  </si>
  <si>
    <t>https://smartstore.naver.com/mubjs1/products/3647168304?NaPm=ct%3Djncejcjc%7Cci%3D7b51768dfe6b0923aa5cdc215880dddf6726e06e%7Ctr%3Dsls%7Csn%3D477044%7Chk%3D94c632a32808a8786825d3b876db04ea82d94fd1</t>
  </si>
  <si>
    <t>SP Corporation</t>
    <phoneticPr fontId="0" type="noConversion"/>
  </si>
  <si>
    <t>Lee Gyungje The Himchan Nokyong</t>
    <phoneticPr fontId="0" type="noConversion"/>
  </si>
  <si>
    <t>이경제 더힘찬 녹용</t>
    <phoneticPr fontId="0" type="noConversion"/>
  </si>
  <si>
    <t>Deer velvet extract liquid (solid component 0.1%) 70%</t>
    <phoneticPr fontId="0" type="noConversion"/>
  </si>
  <si>
    <t>녹용추출액(고형분0.1%) 70%</t>
    <phoneticPr fontId="0" type="noConversion"/>
  </si>
  <si>
    <t>Cable TV home shopping channel</t>
    <phoneticPr fontId="0" type="noConversion"/>
  </si>
  <si>
    <t>http://apvi.kr/product/%EC%9D%B4%EA%B2%BD%EC%A0%9C-%EB%8D%94%ED%9E%98%EC%B0%AC%EB%85%B9%EC%9A%A9-%EC%8B%9C%EC%A6%8C3-30%ED%8F%AC-4%EB%B0%95%EC%8A%A4/2512/</t>
  </si>
  <si>
    <t>Lee Gyungje The Himchan Nokyong Double Impact</t>
  </si>
  <si>
    <t>이경제 더힘찬 녹용 더블 임팩트</t>
  </si>
  <si>
    <t>66 x 1-2 times per day</t>
  </si>
  <si>
    <t>Frozen deer velvet 0.1% in deer velvet herbal complex extract liquid (solid component 0.1%) 92.95%</t>
  </si>
  <si>
    <t>녹용식물혼합추출액(생녹용0.1%)92.95%</t>
  </si>
  <si>
    <t>Cable TV home shopping channel &amp; E-commerce</t>
  </si>
  <si>
    <t>https://smartstore.naver.com/spico/products/10272423964</t>
  </si>
  <si>
    <t>SQ Pharmaceutical</t>
  </si>
  <si>
    <t>Nogyong Hongsam Stick</t>
  </si>
  <si>
    <t>녹용홍삼스틱</t>
  </si>
  <si>
    <t>Deer velvet extract 4% (solid component 20%)</t>
  </si>
  <si>
    <t>녹용추출농축액 4% (고형분 20%)</t>
  </si>
  <si>
    <t>https://smartstore.naver.com/seoulhealth/products/5607485298?NaPm=ct%3Dkqudzfi8%7Cci%3D0Au0001Cssnu8ZvapuW%5F%7Ctr%3Dpla%7Chk%3D7d0fc4a64c248cb406cef1a02609a6a100597292</t>
  </si>
  <si>
    <t>Taewoong Food</t>
  </si>
  <si>
    <t>Haru Nokyong Koryeo Hongsam Jung</t>
  </si>
  <si>
    <t>하루 녹용 고려 홍삼정</t>
  </si>
  <si>
    <t>Deer velvet extract 5% (solid component, over 5%)</t>
  </si>
  <si>
    <t>녹용추출액 5% (고형분 0.2%)</t>
  </si>
  <si>
    <t>http://twcafe.co.kr/product/%ED%95%98%EB%A3%A8%EB%85%B9%EC%9A%A9-%EA%B3%A0%EB%A0%A4%ED%99%8D%EC%82%BC%EC%A0%95/65/category/85/display/1/</t>
  </si>
  <si>
    <t>Wellnok</t>
  </si>
  <si>
    <t>New Nokyong Baeksae Go Stick</t>
  </si>
  <si>
    <t>뉴 녹용백세고</t>
  </si>
  <si>
    <t>Deer velvet concentrate 4% (solid component 30%)</t>
  </si>
  <si>
    <t xml:space="preserve">녹용농축액 4% (고형분 30%) </t>
  </si>
  <si>
    <t>https://smartstore.naver.com/goodwellbeingshop/products/5290573732?NaPm=ct%3Dkjtlz4e8%7Cci%3Dafcd0b237217a2ef4cb327dc94fdbbdc0bce825d%7Ctr%3Dsls%7Csn%3D1582056%7Chk%3D61a1db4d1862ddb25f3438a114cfbda66c205336</t>
  </si>
  <si>
    <t>Woongjin Food</t>
    <phoneticPr fontId="0" type="noConversion"/>
  </si>
  <si>
    <t xml:space="preserve">Jang Que Sam Red Ginseng Power Plus </t>
    <phoneticPr fontId="0" type="noConversion"/>
  </si>
  <si>
    <t>장쾌삼 홍삼력 플러스</t>
    <phoneticPr fontId="0" type="noConversion"/>
  </si>
  <si>
    <t>http://shinsegaemall.ssg.com/item/itemView.ssg?itemId=1000025800675&amp;siteNo=6004&amp;salestrNo=6005&amp;tildSrchwd=%EA%B1%B4%EA%B0%95%EC%9D%8C%EB%A3%8C&amp;srchPgNo=1&amp;src_area=slist</t>
  </si>
  <si>
    <t>Children Ginseng King Plus</t>
    <phoneticPr fontId="0" type="noConversion"/>
  </si>
  <si>
    <t>어린이 인삼왕 플러스</t>
    <phoneticPr fontId="0" type="noConversion"/>
  </si>
  <si>
    <t>30 x 1 time per day</t>
    <phoneticPr fontId="0" type="noConversion"/>
  </si>
  <si>
    <t>http://www.lotte.com/goods/viewGoodsDetail.lotte?goods_no=472078081&amp;NaPm=ct%3Djn5waqgo%7Cci%3D770469401c95b18c1b66398bce64bfaec5e07f0b%7Ctr%3Dsls%7Csn%3D2%7Chk%3Dda1d2c609eec84f06ef0f087980b619adcf50137</t>
  </si>
  <si>
    <t>Woori Bio</t>
  </si>
  <si>
    <t>Kookmin Saeng Nokyong</t>
  </si>
  <si>
    <t>국민생녹용</t>
  </si>
  <si>
    <t>Raw deer velvet</t>
  </si>
  <si>
    <t>생녹용</t>
  </si>
  <si>
    <t xml:space="preserve">Home shopping </t>
  </si>
  <si>
    <t>Woongbiwon</t>
  </si>
  <si>
    <t>Chimhyang Nokyong Bo</t>
  </si>
  <si>
    <t>웅비원 침향독용보</t>
  </si>
  <si>
    <t>녹용 (40mg/1포)</t>
  </si>
  <si>
    <t>https://smartstore.naver.com/woongbiwon/products/8400151808</t>
  </si>
  <si>
    <t>Woo-a-han Co.</t>
  </si>
  <si>
    <t>GwangDong Bright 365 Immune Bogam Hwan</t>
  </si>
  <si>
    <t>광동맑은365 면역보감 환</t>
  </si>
  <si>
    <t>https://skyclear365.com/product/%EB%A7%91%EC%9D%80365-%EB%A9%B4%EC%97%AD%EB%B3%B4%EA%B0%90-%ED%99%98-1%EA%B0%9C%EC%9B%94%EB%B6%84-30%ED%99%98/156/category/55/display/1/</t>
  </si>
  <si>
    <t>Yuhan Care</t>
    <phoneticPr fontId="0" type="noConversion"/>
  </si>
  <si>
    <t>Cheonsoo Dan</t>
    <phoneticPr fontId="0" type="noConversion"/>
  </si>
  <si>
    <t>천수단</t>
    <phoneticPr fontId="0" type="noConversion"/>
  </si>
  <si>
    <t>https://www.neworigin.co.kr/goods/goods_view.php?goodsNo=1000000143</t>
  </si>
  <si>
    <t>Jeon Nokyong Hongsam Premium</t>
    <phoneticPr fontId="0" type="noConversion"/>
  </si>
  <si>
    <t>전녹용 홍삼 프리미엄</t>
    <phoneticPr fontId="0" type="noConversion"/>
  </si>
  <si>
    <t>5 x 2 times per day</t>
    <phoneticPr fontId="0" type="noConversion"/>
  </si>
  <si>
    <t>Deer velvet concentrate (solid component over 16%) 22.6%</t>
    <phoneticPr fontId="0" type="noConversion"/>
  </si>
  <si>
    <t>녹용농축액 (고형분 16% 이상) 22.6%</t>
    <phoneticPr fontId="0" type="noConversion"/>
  </si>
  <si>
    <t>https://www.neworigin.co.kr/goods/goods_view.php?goodsNo=1000000022</t>
  </si>
  <si>
    <t>New Origin Green Lipped Mussel</t>
  </si>
  <si>
    <t>초록입홍합</t>
  </si>
  <si>
    <t>350 x 1 time per day</t>
  </si>
  <si>
    <t>녹용분말</t>
  </si>
  <si>
    <t>https://www.neworigin.co.kr/goods/goods_view.php?goodsNo=1000000211</t>
  </si>
  <si>
    <t xml:space="preserve">Jeon Nokyong Hongsam </t>
    <phoneticPr fontId="0" type="noConversion"/>
  </si>
  <si>
    <t>전녹용 홍삼</t>
    <phoneticPr fontId="0" type="noConversion"/>
  </si>
  <si>
    <t>Deer velvet concentrate (solid component over 16%) 13.5%</t>
    <phoneticPr fontId="0" type="noConversion"/>
  </si>
  <si>
    <t>녹용농축액 (고형분 16% 이상) 13.5%</t>
    <phoneticPr fontId="0" type="noConversion"/>
  </si>
  <si>
    <t>https://www.neworigin.co.kr/goods/goods_view.php?goodsNo=1000000028</t>
  </si>
  <si>
    <t xml:space="preserve">Jeon Nokyong Jinaek </t>
    <phoneticPr fontId="0" type="noConversion"/>
  </si>
  <si>
    <t>전녹용 홍삼 진액</t>
    <phoneticPr fontId="0" type="noConversion"/>
  </si>
  <si>
    <t>Deer velvet concentrate (solid component over 19%) 1.5%</t>
    <phoneticPr fontId="0" type="noConversion"/>
  </si>
  <si>
    <t>녹용농축액 (고형분 19% 이상) 1.5%</t>
    <phoneticPr fontId="0" type="noConversion"/>
  </si>
  <si>
    <t>https://www.neworigin.co.kr/goods/goods_view.php?goodsNo=1000000144</t>
  </si>
  <si>
    <t>Jeon Nokyong Hongsam Stick</t>
    <phoneticPr fontId="0" type="noConversion"/>
  </si>
  <si>
    <t>전녹용 홍삼 스틱</t>
    <phoneticPr fontId="0" type="noConversion"/>
  </si>
  <si>
    <t>Deer velvet concentrate (solid component over 19%) 9.3%</t>
    <phoneticPr fontId="0" type="noConversion"/>
  </si>
  <si>
    <t>녹용농축액 (고형분 19% 이상) 9.3%</t>
    <phoneticPr fontId="0" type="noConversion"/>
  </si>
  <si>
    <t>https://www.neworigin.co.kr/goods/goods_view.php?goodsNo=1000000145</t>
    <phoneticPr fontId="0" type="noConversion"/>
  </si>
  <si>
    <t>Deer Kids Stick</t>
    <phoneticPr fontId="0" type="noConversion"/>
  </si>
  <si>
    <t>디어 키즈 스틱</t>
    <phoneticPr fontId="0" type="noConversion"/>
  </si>
  <si>
    <t>17 x 1 time per day</t>
    <phoneticPr fontId="0" type="noConversion"/>
  </si>
  <si>
    <t>Deer velvet concentrate (solid component over 9%) 3%</t>
    <phoneticPr fontId="0" type="noConversion"/>
  </si>
  <si>
    <t>녹용농축액 (고형분 9% 이상) 3%</t>
    <phoneticPr fontId="0" type="noConversion"/>
  </si>
  <si>
    <t>https://www.neworigin.co.kr/goods/goods_view.php?goodsNo=1000000043</t>
    <phoneticPr fontId="0" type="noConversion"/>
  </si>
  <si>
    <t>Deer Berry Stick</t>
    <phoneticPr fontId="0" type="noConversion"/>
  </si>
  <si>
    <t>디어 베리 스틱</t>
    <phoneticPr fontId="0" type="noConversion"/>
  </si>
  <si>
    <t>17 x 2 times per day</t>
    <phoneticPr fontId="0" type="noConversion"/>
  </si>
  <si>
    <t>Deer velvet concentrate (solid component over 19%) 6.6%</t>
    <phoneticPr fontId="0" type="noConversion"/>
  </si>
  <si>
    <t>녹용농축액 (고형분 19% 이상) 6.6%</t>
    <phoneticPr fontId="0" type="noConversion"/>
  </si>
  <si>
    <t>https://www.neworigin.co.kr/goods/goods_view.php?goodsNo=1000000146</t>
  </si>
  <si>
    <t>Estrition Dual Collagen</t>
  </si>
  <si>
    <t>에스트리션 듀얼 콜라겐</t>
  </si>
  <si>
    <t>Deer velvet collagen 1%</t>
  </si>
  <si>
    <t>녹용 콜라겐 1%</t>
  </si>
  <si>
    <t>https://www.neworigin.co.kr/goods/goods_view.php?goodsNo=1000000470</t>
  </si>
  <si>
    <t>HENKIV Immune</t>
  </si>
  <si>
    <t>헨키브이뮨</t>
  </si>
  <si>
    <t>Enzyme-treated Extract of Cervus elaphus L.(HENKIV®)</t>
  </si>
  <si>
    <t>녹용효소분해추출물(HENKIVⓇ)(제2024-2호)(녹용분말:뉴질랜드산)</t>
  </si>
  <si>
    <t>Tablet</t>
  </si>
  <si>
    <t>https://neworigin.co.kr/goods/goods_view.php?goodsNo=1000002043</t>
  </si>
  <si>
    <t>Yuhan Corporation</t>
  </si>
  <si>
    <t>Daily Care Kids Stick</t>
  </si>
  <si>
    <t>데일리 케어 키즈스틱</t>
  </si>
  <si>
    <t>https://smartstore.naver.com/yuhanotc/products/5251266125</t>
  </si>
  <si>
    <t>한약재료 확인</t>
  </si>
  <si>
    <t>한약(생약) DB</t>
  </si>
  <si>
    <t>https://www.nifds.go.kr/herb/m_442/list.do</t>
  </si>
  <si>
    <t>Korean</t>
  </si>
  <si>
    <t>English name</t>
  </si>
  <si>
    <t>Latin / academic name</t>
  </si>
  <si>
    <t>숙지황</t>
  </si>
  <si>
    <t>Rehmannia Root</t>
  </si>
  <si>
    <t>당귀</t>
  </si>
  <si>
    <t>Angelica Gigas Root </t>
  </si>
  <si>
    <t>작약</t>
  </si>
  <si>
    <t>Peony Root </t>
  </si>
  <si>
    <t>백복령</t>
  </si>
  <si>
    <t>White Poria</t>
  </si>
  <si>
    <t>감초</t>
  </si>
  <si>
    <t>Licorice</t>
  </si>
  <si>
    <t xml:space="preserve">Glycyrrhizae Radix et Rhizoma </t>
  </si>
  <si>
    <t>산수유</t>
  </si>
  <si>
    <t>Cornus Fruit</t>
  </si>
  <si>
    <t>Corni Fructus</t>
  </si>
  <si>
    <t>황기</t>
  </si>
  <si>
    <t>Astragalus Root</t>
  </si>
  <si>
    <t>Astragali Radix</t>
  </si>
  <si>
    <t>구기자</t>
  </si>
  <si>
    <t xml:space="preserve">Lycium Fruit </t>
  </si>
  <si>
    <t>Lycii Fructus</t>
  </si>
  <si>
    <t>영지버섯</t>
  </si>
  <si>
    <t>Lingzhi</t>
  </si>
  <si>
    <t>침향</t>
  </si>
  <si>
    <t>Aloes wood</t>
  </si>
  <si>
    <t>Aquilariae Lignum</t>
  </si>
  <si>
    <t>식품원료명 확인</t>
  </si>
  <si>
    <t>식품원료 목록 | 식품안전나라 (foodsafetykorea.go.kr)</t>
  </si>
  <si>
    <t>https://www.foodsafetykorea.go.kr/portal/safefoodlife/foodMeterial/foodMeterialDB.do?menu_no=2968&amp;menu_grp=MENU_NEW04</t>
  </si>
  <si>
    <t>약쑥</t>
  </si>
  <si>
    <t>Mugwort</t>
  </si>
  <si>
    <t>유자</t>
  </si>
  <si>
    <t>Citron</t>
  </si>
  <si>
    <t>대추</t>
  </si>
  <si>
    <t>Jujube</t>
  </si>
  <si>
    <t>생강</t>
  </si>
  <si>
    <t>Ginger</t>
  </si>
  <si>
    <t>맥문동</t>
  </si>
  <si>
    <t>Lilyturf</t>
  </si>
  <si>
    <t>사향</t>
  </si>
  <si>
    <t>musk</t>
  </si>
  <si>
    <t>argawood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</si>
</sst>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_-;\-* #,##0_-;_-* &quot;-&quot;_-;_-@_-"/>
    <numFmt numFmtId="165" formatCode="_-* #,##0.00_-;\-* #,##0.00_-;_-* &quot;-&quot;??_-;_-@_-"/>
  </numFmts>
  <fonts count="11">
    <font>
      <sz val="11"/>
      <color theme="1"/>
      <name val="Calibri"/>
      <family val="2"/>
      <charset val="129"/>
      <scheme val="minor"/>
    </font>
    <font>
      <u/>
      <sz val="11"/>
      <color theme="10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sz val="10"/>
      <name val="Arial"/>
      <family val="2"/>
    </font>
    <font>
      <u/>
      <sz val="10"/>
      <name val="Arial"/>
      <family val="2"/>
    </font>
    <font>
      <b/>
      <sz val="11"/>
      <color theme="1"/>
      <name val="Calibri"/>
      <family val="2"/>
      <charset val="129"/>
      <scheme val="minor"/>
    </font>
    <font>
      <sz val="11"/>
      <color rgb="FF000000"/>
      <name val="Calibri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sz val="10"/>
      <color theme="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</cellStyleXfs>
  <cellXfs count="34">
    <xf numFmtId="0" fontId="0" fillId="0" borderId="0" xfId="0"/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Alignment="1">
      <alignment horizontal="left" indent="1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/>
    </xf>
    <xf numFmtId="0" fontId="4" fillId="0" borderId="0" xfId="2" applyNumberFormat="1" applyFont="1" applyFill="1" applyBorder="1" applyAlignment="1">
      <alignment horizontal="left" vertical="center"/>
    </xf>
    <xf numFmtId="0" fontId="4" fillId="0" borderId="0" xfId="2" applyNumberFormat="1" applyFont="1" applyFill="1" applyBorder="1" applyAlignment="1">
      <alignment horizontal="left" vertical="top"/>
    </xf>
    <xf numFmtId="0" fontId="5" fillId="0" borderId="0" xfId="1" applyNumberFormat="1" applyFont="1" applyFill="1" applyBorder="1" applyAlignment="1">
      <alignment horizontal="left" vertical="top"/>
    </xf>
    <xf numFmtId="0" fontId="4" fillId="0" borderId="0" xfId="2" applyNumberFormat="1" applyFont="1" applyFill="1" applyBorder="1" applyAlignment="1">
      <alignment horizontal="left"/>
    </xf>
    <xf numFmtId="0" fontId="4" fillId="0" borderId="0" xfId="0" quotePrefix="1" applyFont="1" applyAlignment="1">
      <alignment horizontal="left"/>
    </xf>
    <xf numFmtId="0" fontId="4" fillId="0" borderId="0" xfId="0" quotePrefix="1" applyFont="1" applyAlignment="1">
      <alignment horizontal="left" vertical="top"/>
    </xf>
    <xf numFmtId="0" fontId="4" fillId="0" borderId="0" xfId="3" applyNumberFormat="1" applyFont="1" applyFill="1" applyBorder="1" applyAlignment="1">
      <alignment horizontal="left" vertical="top"/>
    </xf>
    <xf numFmtId="0" fontId="5" fillId="0" borderId="0" xfId="1" applyNumberFormat="1" applyFont="1" applyFill="1" applyBorder="1" applyAlignment="1">
      <alignment horizontal="left"/>
    </xf>
    <xf numFmtId="0" fontId="5" fillId="0" borderId="0" xfId="1" applyNumberFormat="1" applyFont="1" applyFill="1" applyBorder="1" applyAlignment="1">
      <alignment horizontal="left" vertical="center"/>
    </xf>
    <xf numFmtId="0" fontId="4" fillId="0" borderId="0" xfId="2" applyNumberFormat="1" applyFont="1" applyFill="1" applyBorder="1" applyAlignment="1">
      <alignment horizontal="left" vertical="top" wrapText="1"/>
    </xf>
    <xf numFmtId="0" fontId="4" fillId="0" borderId="0" xfId="2" quotePrefix="1" applyNumberFormat="1" applyFont="1" applyFill="1" applyBorder="1" applyAlignment="1">
      <alignment horizontal="left" vertical="top"/>
    </xf>
    <xf numFmtId="0" fontId="1" fillId="0" borderId="0" xfId="1" applyNumberFormat="1" applyFill="1" applyBorder="1" applyAlignment="1">
      <alignment horizontal="left" vertical="top"/>
    </xf>
    <xf numFmtId="0" fontId="1" fillId="0" borderId="0" xfId="1" applyAlignment="1">
      <alignment horizontal="left" vertical="top"/>
    </xf>
    <xf numFmtId="0" fontId="0" fillId="0" borderId="0" xfId="0" applyAlignment="1">
      <alignment horizontal="left" indent="2"/>
    </xf>
    <xf numFmtId="0" fontId="1" fillId="0" borderId="0" xfId="1"/>
    <xf numFmtId="0" fontId="6" fillId="0" borderId="0" xfId="0" applyFont="1"/>
    <xf numFmtId="0" fontId="7" fillId="0" borderId="0" xfId="0" applyFont="1"/>
    <xf numFmtId="0" fontId="1" fillId="0" borderId="0" xfId="1" applyAlignment="1">
      <alignment horizontal="left"/>
    </xf>
    <xf numFmtId="0" fontId="1" fillId="0" borderId="0" xfId="1" quotePrefix="1" applyAlignment="1">
      <alignment horizontal="left" vertical="top"/>
    </xf>
    <xf numFmtId="0" fontId="8" fillId="0" borderId="0" xfId="0" applyFont="1" applyAlignment="1">
      <alignment horizontal="left" vertical="top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left"/>
    </xf>
    <xf numFmtId="0" fontId="1" fillId="0" borderId="0" xfId="1" applyNumberFormat="1" applyFill="1" applyBorder="1" applyAlignment="1">
      <alignment horizontal="left"/>
    </xf>
    <xf numFmtId="0" fontId="0" fillId="0" borderId="0" xfId="0" quotePrefix="1"/>
    <xf numFmtId="0" fontId="9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0" fillId="0" borderId="0" xfId="0" applyNumberFormat="1"/>
  </cellXfs>
  <cellStyles count="4">
    <cellStyle name="Comma" xfId="3" builtinId="3"/>
    <cellStyle name="Comma [0]" xfId="2" builtinId="6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09.627058101854" createdVersion="8" refreshedVersion="8" minRefreshableVersion="3" recordCount="281" xr:uid="{DC0FCA81-714B-3743-9591-6F1AE5EABF2F}">
  <cacheSource type="worksheet">
    <worksheetSource ref="A1:Q282" sheet="List from release news"/>
  </cacheSource>
  <cacheFields count="17">
    <cacheField name="Company" numFmtId="0">
      <sharedItems count="120">
        <s v="Amazon Herb"/>
        <s v="Amore Pacific"/>
        <s v="AhnGook"/>
        <s v="AtHome"/>
        <s v="Bebest"/>
        <s v="Bee Medical"/>
        <s v="Bom Korea"/>
        <s v="Boram Bio"/>
        <s v="Cosmetic The L "/>
        <s v="ChamDaHan"/>
        <s v="ChamJinSam"/>
        <s v="Cheongin Healing Bio"/>
        <s v="CheonNyeon SoonSoo Hongsam"/>
        <s v="CheonSimWon"/>
        <s v="Cheon Ji Yang"/>
        <s v="Chong Kun Dang Health Care"/>
        <s v="Chong Kun Dang"/>
        <s v="Choroc Maeul"/>
        <s v="ChoSamWon"/>
        <s v="Chosun Boutique"/>
        <s v="Chunho N Care"/>
        <s v="CJ Freshway"/>
        <s v="Daesang Wellife"/>
        <s v="Daewoong Life Science"/>
        <s v="DamWon"/>
        <s v="Deer Family"/>
        <s v="Dongjin Pharmaceutical"/>
        <s v="Dongsuh Wellbeing"/>
        <s v="Donguidang"/>
        <s v="Esoo Bio"/>
        <s v="Eulji Life Science"/>
        <s v="Fine Natural"/>
        <s v="Gaesung Insam Nonghyup"/>
        <s v="Gauiwon"/>
        <s v="Geochang Food"/>
        <s v="Green Bio"/>
        <s v="Green Store"/>
        <s v="HA.routine"/>
        <s v="Han Sam Geun"/>
        <s v="Handong"/>
        <s v="HanEui BoGam"/>
        <s v="HanJeWon"/>
        <s v="HanKukSam"/>
        <s v="Hanmi Health Care"/>
        <s v="HanSamIn"/>
        <s v="Health Maru"/>
        <s v="Hiliving"/>
        <s v="Horang Nabi Life &amp; Health"/>
        <s v="Huone Natural"/>
        <s v="Huons Nature"/>
        <s v="Hurum"/>
        <s v="HyeMinKwan"/>
        <s v="Hyundai Pharm"/>
        <s v="Iksu Health"/>
        <s v="Ilhwa"/>
        <s v="Ilyang Pharm"/>
        <s v="Immune Lab"/>
        <s v="Immunity Plus"/>
        <s v="Inuri"/>
        <s v="Jaimdang"/>
        <s v="Jallon Natural"/>
        <s v="Jaseng Bio"/>
        <s v="JaYeon MaDang"/>
        <s v="Jeonbuk Insam Nonghyup"/>
        <s v="JeongSamWon"/>
        <s v="Jewoldang"/>
        <s v="JeYakKwan"/>
        <s v="JinSengDang"/>
        <s v="Joa Pharm"/>
        <s v="Josun Bichaek"/>
        <s v="JM Global Group"/>
        <s v="KGC"/>
        <s v="Kim Jeongmoon Aloe"/>
        <s v="hy (Korea Yakult)"/>
        <s v="Kwangdong Geongangwon "/>
        <s v="Kwangdong Oriental Hospital"/>
        <s v="Kwangdong Pharmaceutical"/>
        <s v="Kyungbang Shinyak"/>
        <s v="Leo Lee Gyungje"/>
        <s v="LG H&amp;H"/>
        <s v="Linz"/>
        <s v="Lotte Health One"/>
        <s v="Lotte Mart"/>
        <s v="MayJune"/>
        <s v="Medi-Post"/>
        <s v="Meta Formula"/>
        <s v="Miracle Food"/>
        <s v="Mom &amp; Young"/>
        <s v="Muju Chunma"/>
        <s v="NewFormula"/>
        <s v="Next BT"/>
        <s v="NongHyup - Rabbit &amp; Deer Co-op"/>
        <s v="NutriCore"/>
        <s v="NutriOne"/>
        <s v="OG-I"/>
        <s v="Pulmuone"/>
        <s v="Pulmuone Lohas"/>
        <s v="Siwon Pharm."/>
        <s v="PyunKang Oriental Medicine Research Center"/>
        <s v="ReborNature"/>
        <s v="Samjin Pharm"/>
        <s v="Sang-A Pharmaceutical"/>
        <s v="Sangsang Bio"/>
        <s v="SD H&amp;B"/>
        <s v="SeolHwa Deer Farm"/>
        <s v="Sejong Bio"/>
        <s v="Sogang "/>
        <s v="Songgang F&amp;B"/>
        <s v="SP Corporation"/>
        <s v="SQ Pharmaceutical"/>
        <s v="Taewoong Food"/>
        <s v="Wellnok"/>
        <s v="Woongjin Food"/>
        <s v="Woori Bio"/>
        <s v="Woongbiwon"/>
        <s v="Woo-a-han Co."/>
        <s v="Yuhan Care"/>
        <s v="Yuhan Corporation"/>
        <s v="Korea Yakult" u="1"/>
        <s v="Chunho Food" u="1"/>
      </sharedItems>
    </cacheField>
    <cacheField name="Product" numFmtId="0">
      <sharedItems/>
    </cacheField>
    <cacheField name="Product name in Korean" numFmtId="0">
      <sharedItems/>
    </cacheField>
    <cacheField name="Unit size" numFmtId="0">
      <sharedItems containsString="0" containsBlank="1" containsNumber="1" minValue="0.7" maxValue="1000"/>
    </cacheField>
    <cacheField name="Units" numFmtId="0">
      <sharedItems containsBlank="1"/>
    </cacheField>
    <cacheField name="Units2" numFmtId="0">
      <sharedItems containsBlank="1" containsMixedTypes="1" containsNumber="1" containsInteger="1" minValue="1" maxValue="240"/>
    </cacheField>
    <cacheField name="Total" numFmtId="0">
      <sharedItems containsString="0" containsBlank="1" containsNumber="1" minValue="1" maxValue="16800"/>
    </cacheField>
    <cacheField name="Price (KRW)" numFmtId="0">
      <sharedItems containsBlank="1" containsMixedTypes="1" containsNumber="1" containsInteger="1" minValue="1200" maxValue="4000000"/>
    </cacheField>
    <cacheField name="Serving size" numFmtId="0">
      <sharedItems containsBlank="1"/>
    </cacheField>
    <cacheField name="Deer velvet % (solids)" numFmtId="0">
      <sharedItems containsBlank="1"/>
    </cacheField>
    <cacheField name="Deer velvet content in Korean" numFmtId="0">
      <sharedItems containsBlank="1"/>
    </cacheField>
    <cacheField name="Year released" numFmtId="0">
      <sharedItems containsMixedTypes="1" containsNumber="1" containsInteger="1" minValue="2011" maxValue="2026" count="16">
        <n v="2020"/>
        <n v="2023"/>
        <n v="2022"/>
        <n v="2019"/>
        <n v="2025"/>
        <n v="2024"/>
        <n v="2018"/>
        <n v="2021"/>
        <n v="2016"/>
        <n v="2017"/>
        <s v="unknown"/>
        <n v="2014"/>
        <n v="2012"/>
        <n v="2015"/>
        <n v="2011"/>
        <n v="2026"/>
      </sharedItems>
    </cacheField>
    <cacheField name="Month release" numFmtId="0">
      <sharedItems containsBlank="1" count="14">
        <m/>
        <s v="September"/>
        <s v="December"/>
        <s v="November"/>
        <s v="April"/>
        <s v="June"/>
        <s v="August"/>
        <s v="February"/>
        <s v="January"/>
        <s v="July"/>
        <s v="October"/>
        <s v="May"/>
        <s v="March"/>
        <s v="Oct" u="1"/>
      </sharedItems>
    </cacheField>
    <cacheField name="Description" numFmtId="0">
      <sharedItems containsBlank="1"/>
    </cacheField>
    <cacheField name="Origin of Deer Velvet" numFmtId="0">
      <sharedItems/>
    </cacheField>
    <cacheField name="Channel Focus" numFmtId="0">
      <sharedItems containsBlank="1"/>
    </cacheField>
    <cacheField name="Target Consumer" numFmtId="0">
      <sharedItems/>
    </cacheField>
  </cacheFields>
  <extLst>
    <ext xmlns:x14="http://schemas.microsoft.com/office/spreadsheetml/2009/9/main" uri="{725AE2AE-9491-48be-B2B4-4EB974FC3084}">
      <x14:pivotCacheDefinition pivotCacheId="165078866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1">
  <r>
    <x v="0"/>
    <s v="Chosun Hwangrim Chimhyang Gong Jin Dan"/>
    <s v="조선 황림 침향 공진단"/>
    <n v="3.75"/>
    <s v="g"/>
    <n v="60"/>
    <n v="225"/>
    <n v="354220"/>
    <s v="3.75 x 1 time per day"/>
    <s v="Deer velvet powder 5%"/>
    <s v="녹용 분말 5%"/>
    <x v="0"/>
    <x v="0"/>
    <s v="Ball"/>
    <s v="New Zealand"/>
    <s v="E-commerce"/>
    <s v="Adults"/>
  </r>
  <r>
    <x v="1"/>
    <s v="Myungjak Soocheon"/>
    <s v="명작수천"/>
    <n v="25"/>
    <s v="gram"/>
    <n v="21"/>
    <n v="525"/>
    <n v="840000"/>
    <s v="25 x 1 time per day"/>
    <s v="?"/>
    <s v="?"/>
    <x v="0"/>
    <x v="0"/>
    <s v="Ampule"/>
    <s v="New Zealand"/>
    <s v="Amore Pacific door-to-door sales counsellors "/>
    <s v="Adults"/>
  </r>
  <r>
    <x v="2"/>
    <s v="Chim-Hyang-Hwan"/>
    <s v="침향환"/>
    <n v="3.75"/>
    <s v="g"/>
    <n v="30"/>
    <n v="112.5"/>
    <n v="89000"/>
    <s v="3.75 x 1 time per day"/>
    <s v="Deer velvet powder"/>
    <s v="녹용 분말"/>
    <x v="1"/>
    <x v="1"/>
    <s v="Ball"/>
    <s v="New Zealand"/>
    <s v="E-commerce"/>
    <s v="Adults"/>
  </r>
  <r>
    <x v="3"/>
    <s v="God’s agarwood"/>
    <s v="신의침향"/>
    <n v="3.75"/>
    <s v="g"/>
    <n v="30"/>
    <n v="112.5"/>
    <n v="399000"/>
    <s v="3.75 x 1 time per day"/>
    <s v="Deer velvet powder 6%"/>
    <s v="녹용분말 6%"/>
    <x v="2"/>
    <x v="2"/>
    <s v="Ball"/>
    <s v="Russia"/>
    <s v="E-commerce"/>
    <s v="Adults"/>
  </r>
  <r>
    <x v="4"/>
    <s v="Kids Velvet Antler &amp; Red Ginseng"/>
    <s v="처음 먹는 녹용 홍삼"/>
    <n v="50"/>
    <s v="ml"/>
    <n v="10"/>
    <n v="500"/>
    <n v="42000"/>
    <s v="50 x 1 time per day"/>
    <s v="Deer velvet extract (solid component 0.1%) 20%"/>
    <s v="녹용추출액 20% (고형분 0.1%)"/>
    <x v="0"/>
    <x v="0"/>
    <s v="Pouch"/>
    <s v="Korea"/>
    <s v="E-commerce"/>
    <s v="Kids"/>
  </r>
  <r>
    <x v="5"/>
    <s v="Jin Chim Hyang"/>
    <s v="진침향"/>
    <n v="3.75"/>
    <s v="g"/>
    <n v="10"/>
    <n v="37.5"/>
    <n v="120000"/>
    <s v="3.75 x 1 time per day"/>
    <s v="Deer velvet"/>
    <s v="녹용"/>
    <x v="0"/>
    <x v="0"/>
    <s v="Ball"/>
    <s v="Russia"/>
    <s v="E-commerce"/>
    <s v="Adults"/>
  </r>
  <r>
    <x v="6"/>
    <s v="GinSamRokDan"/>
    <s v="진삼록단"/>
    <n v="1"/>
    <s v="gram"/>
    <n v="60"/>
    <n v="60"/>
    <n v="129000"/>
    <s v="1 x 1 time per day"/>
    <s v="Deer velvet powder"/>
    <s v="녹용 분말"/>
    <x v="3"/>
    <x v="0"/>
    <s v="Stick"/>
    <s v="New Zealand"/>
    <s v="E-commerce"/>
    <s v="Adults"/>
  </r>
  <r>
    <x v="7"/>
    <s v="Boram Cheongung ChimHyang Hwan"/>
    <s v="보람천궁 침향환"/>
    <n v="3.75"/>
    <s v="gram"/>
    <n v="60"/>
    <n v="225"/>
    <n v="99000"/>
    <s v="3.75 x 1 time per day"/>
    <s v="Deer velvet powder"/>
    <s v="녹용 분말"/>
    <x v="4"/>
    <x v="3"/>
    <s v="Ball"/>
    <s v="Russia"/>
    <s v="E-commerce"/>
    <s v="Adults"/>
  </r>
  <r>
    <x v="7"/>
    <s v="Boram Cheongung Giryeok Go"/>
    <s v="보람천궁 기력고"/>
    <n v="15"/>
    <s v="gram"/>
    <n v="30"/>
    <n v="450"/>
    <n v="99000"/>
    <s v="1 pouch x 1-2 times per day"/>
    <s v="Deer velvet extract"/>
    <s v="녹용추출액"/>
    <x v="4"/>
    <x v="3"/>
    <s v="Stick"/>
    <s v="New Zealand"/>
    <s v="E-commerce"/>
    <s v="Adults"/>
  </r>
  <r>
    <x v="8"/>
    <s v="Blessing Lab Plus Tongchihwan"/>
    <s v="블레싱랩플러스 통치환"/>
    <n v="4.5"/>
    <s v="gram"/>
    <n v="30"/>
    <n v="135"/>
    <n v="189000"/>
    <s v="4.5 x 1-2 times per day"/>
    <s v="Deer velvet powder"/>
    <s v="녹용 분말"/>
    <x v="5"/>
    <x v="4"/>
    <s v="Ball"/>
    <s v="New Zealand"/>
    <s v="E-commerce"/>
    <s v="Adults"/>
  </r>
  <r>
    <x v="9"/>
    <s v="Hongsam Daehwan"/>
    <s v="홍삼대환"/>
    <n v="3.75"/>
    <s v="gram"/>
    <n v="20"/>
    <n v="75"/>
    <n v="150000"/>
    <s v="3.75 x 1 time per day"/>
    <s v="Deer velvet extract (solid component, over 5%)"/>
    <s v="녹용추출농축액 (고형분5% 이상)"/>
    <x v="3"/>
    <x v="0"/>
    <s v="Ball"/>
    <s v="New Zealand "/>
    <s v="E-commerce and ChamDaHan stores"/>
    <s v="Adults"/>
  </r>
  <r>
    <x v="9"/>
    <s v="Nokyong Hongsam Jinaek"/>
    <s v="녹용홍삼진액"/>
    <n v="50"/>
    <s v="mg"/>
    <n v="30"/>
    <n v="1500"/>
    <n v="165000"/>
    <s v="3.75 x 1 time per day"/>
    <s v="Fermented deer velvet concentrate 1.7% (solid component 5%)"/>
    <s v="발효녹용농축액 1.7% (고형분 15%)"/>
    <x v="3"/>
    <x v="0"/>
    <s v="Pouch"/>
    <s v="Russia"/>
    <s v="E-commerce and ChamDaHan stores"/>
    <s v="Adults"/>
  </r>
  <r>
    <x v="10"/>
    <s v="ChamJinHwan"/>
    <s v="참진환"/>
    <n v="3.75"/>
    <s v="gram"/>
    <n v="30"/>
    <n v="112.5"/>
    <n v="150000"/>
    <s v="3.75 x 1 time per day"/>
    <s v="Deer velvet"/>
    <s v="녹용"/>
    <x v="3"/>
    <x v="0"/>
    <s v="Ball"/>
    <s v="New Zealand"/>
    <s v="E-commerce"/>
    <s v="Adults"/>
  </r>
  <r>
    <x v="11"/>
    <s v="Nogyong Hongsam Balhyo Jinekk"/>
    <s v="녹용 홍삼 발효 진액"/>
    <n v="100"/>
    <s v="ml"/>
    <n v="60"/>
    <n v="6000"/>
    <n v="250000"/>
    <s v="100 x 2-3 times per day"/>
    <s v="Deer velvet ginseng fermented liquid 97%"/>
    <s v="녹용홍삼발효액 97% "/>
    <x v="6"/>
    <x v="0"/>
    <s v="Pouch"/>
    <s v="Russia"/>
    <s v="E-commerce"/>
    <s v="Adults"/>
  </r>
  <r>
    <x v="11"/>
    <s v="Cheongin Nokyong Hongsam"/>
    <s v="청인 녹용홍삼"/>
    <n v="100"/>
    <s v="ml"/>
    <n v="60"/>
    <n v="6000"/>
    <n v="250000"/>
    <s v="100 x 2-3 times per day"/>
    <s v="Deer velvet"/>
    <s v="녹용"/>
    <x v="0"/>
    <x v="0"/>
    <s v="Pouch"/>
    <s v="Russia"/>
    <s v="E-commerce"/>
    <s v="Adults"/>
  </r>
  <r>
    <x v="12"/>
    <s v="Hongsam Jin Premium Soon"/>
    <s v="홍삼진 프리미엄 순"/>
    <n v="50"/>
    <s v="ml"/>
    <n v="30"/>
    <n v="1500"/>
    <n v="178000"/>
    <s v="50 x 1 time per day"/>
    <s v="Deer velvet extract"/>
    <s v="녹용추출액"/>
    <x v="6"/>
    <x v="0"/>
    <s v="Pouch"/>
    <s v="New Zealand"/>
    <s v="E-commerce"/>
    <s v="Adults"/>
  </r>
  <r>
    <x v="12"/>
    <s v="Hongsam Jin Premium Soo"/>
    <s v="홍삼진 프리미엄 수"/>
    <n v="50"/>
    <s v="ml"/>
    <n v="30"/>
    <n v="1500"/>
    <n v="230000"/>
    <s v="50 x 1 time per day"/>
    <s v="Deer velvet extract"/>
    <s v="녹용추출액"/>
    <x v="6"/>
    <x v="0"/>
    <s v="Pouch"/>
    <s v="New Zealand"/>
    <s v="E-commerce"/>
    <s v="Adults"/>
  </r>
  <r>
    <x v="13"/>
    <s v="Cheonsim Hwan"/>
    <s v="천심환"/>
    <n v="4.5"/>
    <s v="g"/>
    <n v="15"/>
    <n v="67.5"/>
    <n v="158000"/>
    <s v="4.5 x 1 time per day"/>
    <s v="Deer velvet bungol 7.14%"/>
    <s v="녹용분골 7.14%"/>
    <x v="7"/>
    <x v="0"/>
    <s v="Ball"/>
    <s v="Russia"/>
    <s v="E-commerce"/>
    <s v="Adults"/>
  </r>
  <r>
    <x v="14"/>
    <s v="Nokyong Hongsam Jinaek Hyun"/>
    <s v="녹용홍삼 진액스틱 현"/>
    <n v="10"/>
    <s v="ml"/>
    <n v="30"/>
    <n v="300"/>
    <n v="22900"/>
    <s v="10 x 1 time per day"/>
    <s v="Deer velvet extract liquid 8% (velvet 0.45% and aqua)"/>
    <s v="녹용추출액(정제수, 녹용 0.45%) 8%"/>
    <x v="1"/>
    <x v="4"/>
    <s v="Stick"/>
    <s v="New Zealand"/>
    <s v="E-commerce"/>
    <s v="Adults"/>
  </r>
  <r>
    <x v="15"/>
    <s v="Hwalryuk Nogyong Dan "/>
    <s v="활력녹용단"/>
    <n v="3.75"/>
    <s v="gram"/>
    <n v="30"/>
    <n v="112.5"/>
    <n v="250000"/>
    <s v="3.75 x 1 time per day"/>
    <s v="Deer velvet powder 5%"/>
    <s v="녹용 분말 5%"/>
    <x v="0"/>
    <x v="0"/>
    <s v="Ball"/>
    <s v="New Zealand"/>
    <s v="E-commerce"/>
    <s v="Adults"/>
  </r>
  <r>
    <x v="15"/>
    <s v="HyunRokHwang"/>
    <s v="현록황"/>
    <n v="240"/>
    <s v="gram"/>
    <n v="1"/>
    <n v="240"/>
    <n v="170000"/>
    <s v="1 x 1 time per day"/>
    <m/>
    <m/>
    <x v="3"/>
    <x v="0"/>
    <s v="Bottle"/>
    <s v="New Zealand"/>
    <s v="E-commerce"/>
    <s v="Adults"/>
  </r>
  <r>
    <x v="15"/>
    <s v="Hwalryuk Nogyong"/>
    <s v="활력녹용"/>
    <n v="50"/>
    <s v="ml"/>
    <n v="30"/>
    <n v="1500"/>
    <n v="23880"/>
    <s v="50 x 1-2 times per day"/>
    <s v="Deer velvet extract (solid component 0.1%) 75%"/>
    <s v="녹용추출액 (고형분 0.1%) 75%"/>
    <x v="0"/>
    <x v="0"/>
    <s v="Pouch"/>
    <s v="New Zealand"/>
    <s v="Costco stores"/>
    <s v="Adults"/>
  </r>
  <r>
    <x v="15"/>
    <s v="Kids Junior Hongsam"/>
    <s v="키즈 주니어 홍삼"/>
    <n v="20"/>
    <s v="ml"/>
    <n v="30"/>
    <n v="600"/>
    <n v="30000"/>
    <s v="20 x 1 time per day"/>
    <s v="Deer velvet"/>
    <s v="녹용"/>
    <x v="7"/>
    <x v="0"/>
    <s v="Pouch"/>
    <s v="New Zealand"/>
    <s v="Costco stores"/>
    <s v="Children"/>
  </r>
  <r>
    <x v="15"/>
    <s v="Hongsam Nokyong Premium"/>
    <s v="홍삼 녹용 프리미엄"/>
    <n v="50"/>
    <s v="ml"/>
    <n v="30"/>
    <n v="1500"/>
    <n v="19900"/>
    <s v="50 x 1 time per day"/>
    <s v="Deer velvet 7.5%"/>
    <s v="녹용 7.5%"/>
    <x v="8"/>
    <x v="0"/>
    <s v="Pouch"/>
    <s v="New Zealand"/>
    <s v="E-commerce"/>
    <s v="Adults"/>
  </r>
  <r>
    <x v="15"/>
    <s v="Hwalryuk Nogyong Stick"/>
    <s v="활력녹용스틱"/>
    <n v="10"/>
    <s v="gram"/>
    <n v="30"/>
    <n v="300"/>
    <n v="300000"/>
    <s v="10 x 1 time per day"/>
    <s v="Deer velvet concentrate (solid component 5%) 10%"/>
    <s v="녹용 농축액 (고형분 5%) 10%"/>
    <x v="0"/>
    <x v="0"/>
    <s v="Stick"/>
    <s v="New Zealand"/>
    <s v="E-commerce"/>
    <s v="Adults"/>
  </r>
  <r>
    <x v="16"/>
    <s v="Chim-Hyang-Hwan Premium"/>
    <s v="침향환 프리미엄"/>
    <n v="3.75"/>
    <s v="gram"/>
    <n v="30"/>
    <n v="112.5"/>
    <n v="90000"/>
    <s v="3.75 x 1 time per day"/>
    <s v="Deer velvet 10%"/>
    <s v="녹용 10%"/>
    <x v="7"/>
    <x v="0"/>
    <s v="Ball"/>
    <s v="New Zealand"/>
    <s v="E-commerce"/>
    <s v="Adults"/>
  </r>
  <r>
    <x v="17"/>
    <s v="I Hongsam"/>
    <s v="아이홍삼"/>
    <n v="1000"/>
    <s v="ml"/>
    <n v="10"/>
    <n v="10000"/>
    <n v="19000"/>
    <s v="1000 x 1 time per day"/>
    <s v="Deer velvet extract (solid component 0.5%) 5%"/>
    <s v="녹용추출액 (고형분0.5%) 5%"/>
    <x v="0"/>
    <x v="0"/>
    <s v="Pouch"/>
    <s v="Korea"/>
    <s v="Choroc Maeul stores"/>
    <s v="Children"/>
  </r>
  <r>
    <x v="17"/>
    <s v="6 Years Jeongseong Hongsam Nogyong Stick"/>
    <s v="6년 정성 홍삼 녹용 스틱"/>
    <n v="10"/>
    <s v="gram"/>
    <n v="30"/>
    <n v="300"/>
    <n v="52000"/>
    <s v="10 x 1 time per day"/>
    <s v="Deer velvet concentrate (solid component 5%) 5%"/>
    <s v="녹용농축액 (고형분5%) 5%,"/>
    <x v="3"/>
    <x v="0"/>
    <s v="Stick"/>
    <s v="New Zealand"/>
    <s v="Choroc Maeul stores"/>
    <s v="Adults"/>
  </r>
  <r>
    <x v="18"/>
    <s v="ChoSamWon Nogyong Hongsam Stick"/>
    <s v="조삼원 녹용 홍삼 스틱"/>
    <n v="20"/>
    <s v="ml"/>
    <n v="5"/>
    <n v="100"/>
    <n v="165810"/>
    <s v="20 x 2-3 times per day"/>
    <s v="Deer velvet extracts (solid component 0.1%) 40%"/>
    <s v="녹용 추출액 (고형분 0.1%) 40%"/>
    <x v="2"/>
    <x v="0"/>
    <s v="Stick"/>
    <s v="New Zealand "/>
    <s v="E-commerce"/>
    <s v="Adults"/>
  </r>
  <r>
    <x v="19"/>
    <s v="Gong Bit Dan"/>
    <s v="공빛단"/>
    <n v="15"/>
    <s v="ml"/>
    <n v="21"/>
    <n v="315"/>
    <n v="189000"/>
    <s v="15 x 1 time per day"/>
    <s v="Deer velvet bungol 2g"/>
    <s v="녹용분골 2g"/>
    <x v="0"/>
    <x v="0"/>
    <s v="Stick"/>
    <s v="New Zealand"/>
    <s v="E-commerce"/>
    <s v="Adults"/>
  </r>
  <r>
    <x v="20"/>
    <s v="CheonSamBoRyuk"/>
    <s v="천삼보력"/>
    <n v="30"/>
    <s v="ml"/>
    <n v="30"/>
    <n v="900"/>
    <n v="650000"/>
    <s v="30 x 1 time per day"/>
    <s v="Deer velvet"/>
    <s v="녹용"/>
    <x v="3"/>
    <x v="0"/>
    <s v="Ampule"/>
    <s v="New Zealand"/>
    <s v="Call center and E-commerce"/>
    <s v="Adults"/>
  </r>
  <r>
    <x v="20"/>
    <s v="Cheonjin Dan"/>
    <s v="천진단"/>
    <n v="4"/>
    <s v="gm"/>
    <n v="30"/>
    <n v="120"/>
    <n v="180000"/>
    <s v="4 x 1-2 times per day"/>
    <s v="Deer velvet 12%"/>
    <s v="녹용 12%"/>
    <x v="9"/>
    <x v="0"/>
    <s v="Ball"/>
    <s v="New Zealand"/>
    <s v="Call center and E-commerce"/>
    <s v="Adults"/>
  </r>
  <r>
    <x v="20"/>
    <s v="Cheonjin Dan"/>
    <s v="천진단"/>
    <n v="4"/>
    <s v="gm"/>
    <n v="60"/>
    <n v="240"/>
    <n v="320000"/>
    <s v="4 x 1-2 times per day"/>
    <s v="Deer velvet 12%"/>
    <s v="녹용 12%"/>
    <x v="9"/>
    <x v="0"/>
    <s v="Ball"/>
    <s v="New Zealand"/>
    <s v="Call center and E-commerce"/>
    <s v="Adults"/>
  </r>
  <r>
    <x v="20"/>
    <s v="Taehwang CheonJin Dan"/>
    <s v="태황천진단"/>
    <n v="4.5"/>
    <s v="gram"/>
    <n v="30"/>
    <n v="135"/>
    <n v="1000000"/>
    <s v="4.5 x 1-2 times per day"/>
    <s v="Deer velvet"/>
    <s v="녹용"/>
    <x v="7"/>
    <x v="0"/>
    <s v="Ball"/>
    <s v="New Zealand"/>
    <s v="Call center and E-commerce"/>
    <s v="Adults"/>
  </r>
  <r>
    <x v="20"/>
    <s v="Chimhyang CheonJin Dan"/>
    <s v="침향천진단"/>
    <n v="4"/>
    <s v="gram"/>
    <n v="30"/>
    <n v="120"/>
    <n v="310000"/>
    <s v="4 x 1-2 times per day"/>
    <s v="Deer velvet 12%"/>
    <s v="녹용 12%"/>
    <x v="5"/>
    <x v="5"/>
    <s v="Ball"/>
    <s v="New Zealand"/>
    <s v="Call center and E-commerce"/>
    <s v="Adults"/>
  </r>
  <r>
    <x v="20"/>
    <s v="Sahyang CheonJin Dan"/>
    <s v="사향천진단"/>
    <n v="4.5"/>
    <s v="gram"/>
    <n v="30"/>
    <n v="135"/>
    <n v="2000000"/>
    <s v="4.5 x 1-2 times per day"/>
    <m/>
    <m/>
    <x v="4"/>
    <x v="1"/>
    <s v="Ball"/>
    <s v="Russia"/>
    <s v="Call center and E-commerce"/>
    <s v="Adults"/>
  </r>
  <r>
    <x v="20"/>
    <s v="Cheonsam Boryuk"/>
    <s v="천삼보력"/>
    <n v="30"/>
    <s v="ml"/>
    <n v="30"/>
    <n v="900"/>
    <n v="650000"/>
    <s v="30 x 1-2 time per day"/>
    <s v="Deer velvet extract"/>
    <s v="녹용추출액"/>
    <x v="0"/>
    <x v="0"/>
    <s v="Bottle"/>
    <s v="New Zealand"/>
    <s v="Call center and E-commerce"/>
    <s v="Adults"/>
  </r>
  <r>
    <x v="20"/>
    <s v="Boa Nokyong"/>
    <s v="보아 녹용"/>
    <n v="40"/>
    <s v="ml"/>
    <n v="30"/>
    <n v="1200"/>
    <n v="142000"/>
    <s v="40 x 1 time per day"/>
    <s v="Deer velvet extract liquid 82.4% (deer velvet 3.1%)"/>
    <s v="녹용추출액 82.4% (녹용 3.1%)"/>
    <x v="8"/>
    <x v="0"/>
    <s v="Pouch"/>
    <s v="New Zealand"/>
    <s v="Call center and E-commerce"/>
    <s v="Kids"/>
  </r>
  <r>
    <x v="20"/>
    <s v="Cheonsimbon Nokyong Hongsam"/>
    <s v="천심본 녹용 홍삼"/>
    <n v="80"/>
    <s v="ml"/>
    <n v="30"/>
    <n v="2400"/>
    <n v="145000"/>
    <s v="80 x 1-2 times per day"/>
    <s v="Deer velvet 1.92%"/>
    <s v="녹용 1.92%"/>
    <x v="9"/>
    <x v="0"/>
    <s v="Pouch"/>
    <s v="New Zealand"/>
    <s v="Call center and E-commerce"/>
    <s v="Adults"/>
  </r>
  <r>
    <x v="20"/>
    <s v="Nokyong Hongsam Smart"/>
    <s v="녹용 홍삼 스마트"/>
    <n v="70"/>
    <s v="ml"/>
    <n v="30"/>
    <n v="2100"/>
    <n v="120000"/>
    <s v="70 x 2-3 times per day"/>
    <s v="Deer velvet extract liquid 9% (deer velvet 10%)"/>
    <s v="녹용추출액 9% (녹용 10%)"/>
    <x v="6"/>
    <x v="0"/>
    <s v="Pouch"/>
    <s v="New Zealand"/>
    <s v="Call center and E-commerce"/>
    <s v="Adults"/>
  </r>
  <r>
    <x v="20"/>
    <s v="HwangJe Nokyong Hongsam"/>
    <s v="황제 녹용 홍삼"/>
    <n v="80"/>
    <s v="ml"/>
    <n v="30"/>
    <n v="2400"/>
    <n v="179000"/>
    <s v="80 x 1-2 times per day"/>
    <s v="Deer velvet mixed extract liquid 84.7% (deer velvet 24%)"/>
    <s v="녹용등 혼합추출액 84.7% (녹용 24%)"/>
    <x v="6"/>
    <x v="0"/>
    <s v="Pouch"/>
    <s v="New Zealand"/>
    <s v="Call center and E-commerce"/>
    <s v="Adults"/>
  </r>
  <r>
    <x v="20"/>
    <s v="Nokyong Kiryuk Jin"/>
    <s v="녹용기력진"/>
    <n v="60"/>
    <s v="ml"/>
    <n v="30"/>
    <n v="1800"/>
    <n v="70000"/>
    <s v="60 x 1 time per day"/>
    <s v="Deer velvet extract liquid 70% (deer velvet 0.1%)"/>
    <s v="녹용추출액 70% (고형분 0.1%)"/>
    <x v="3"/>
    <x v="0"/>
    <s v="Pouch"/>
    <s v="New Zealand"/>
    <s v="Call center and E-commerce"/>
    <s v="Adults"/>
  </r>
  <r>
    <x v="20"/>
    <s v="TeunTeunSsukSsuk Nogyong Hongsam"/>
    <s v="튼튼쑥쑥 녹용 홍삼"/>
    <n v="40"/>
    <s v="ml"/>
    <n v="30"/>
    <n v="1200"/>
    <n v="42000"/>
    <s v="40 x 1 time per day"/>
    <s v="Deer velvet extract 1% (solid component 0.1%)"/>
    <s v="녹용 추출액 1% (고형부 0.1%)"/>
    <x v="3"/>
    <x v="0"/>
    <s v="Pouch"/>
    <s v="New Zealand"/>
    <s v="Call center and E-commerce"/>
    <s v="Kids"/>
  </r>
  <r>
    <x v="20"/>
    <s v="Nogyong Hongsam Jin"/>
    <s v="녹용 홍삼진"/>
    <n v="10"/>
    <s v=" ml "/>
    <n v="60"/>
    <n v="600"/>
    <n v="50000"/>
    <s v="10 x 1-2 times per day "/>
    <s v=" Deer velvet extract 60.5% (solid component 0.1%)"/>
    <s v="녹용 추출액 60.5% (고형분 0.1%)"/>
    <x v="0"/>
    <x v="0"/>
    <s v="Stick"/>
    <s v="New Zealand"/>
    <s v="Call center and E-commerce"/>
    <s v="Adults"/>
  </r>
  <r>
    <x v="20"/>
    <s v="Hongsam Smart Plus"/>
    <s v="홍삼 스마트 플러스"/>
    <n v="15"/>
    <s v="gram"/>
    <n v="30"/>
    <n v="450"/>
    <n v="120000"/>
    <s v="15 x 1 time per day"/>
    <s v="Deer velvet extract"/>
    <s v="녹용추출액"/>
    <x v="0"/>
    <x v="0"/>
    <s v="Stick"/>
    <s v="New Zealand"/>
    <s v="Call center and E-commerce"/>
    <s v="Students"/>
  </r>
  <r>
    <x v="20"/>
    <s v="TeunTeunSsukSsuk Nogyong Hongsam Stick"/>
    <s v="튼튼쑥쑥 녹용 홍삼 스틱"/>
    <n v="20"/>
    <s v="gram"/>
    <n v="15"/>
    <n v="300"/>
    <n v="24100"/>
    <s v="20 x 1 time per day"/>
    <s v="Deer velvet concentrate 5% (solid component 10%)"/>
    <s v="녹용 농축액 5% (고형분 10%)"/>
    <x v="2"/>
    <x v="0"/>
    <s v="Stick"/>
    <s v="New Zealand "/>
    <s v="Call center and E-commerce"/>
    <s v="Children"/>
  </r>
  <r>
    <x v="20"/>
    <s v="Haru Hwallyuk Jin Nogyong Hongsam"/>
    <s v="하루활력 진녹용홍삼"/>
    <n v="70"/>
    <s v="ml"/>
    <n v="60"/>
    <n v="4200"/>
    <n v="120000"/>
    <s v="70 x 1-2 times per day"/>
    <s v="Deer velvet"/>
    <s v="녹용"/>
    <x v="2"/>
    <x v="0"/>
    <s v="Stick"/>
    <s v="New Zealand "/>
    <s v="Call center and E-commerce"/>
    <s v="Adults"/>
  </r>
  <r>
    <x v="20"/>
    <s v="Cheonsimbon Nokyong Maneul"/>
    <s v="천심본 녹용 마늘"/>
    <n v="80"/>
    <s v="ml"/>
    <n v="30"/>
    <n v="2400"/>
    <n v="109000"/>
    <s v="80 x 2-3 times per day"/>
    <s v="Deer velvet mixed extract liquid 79.7% (deer velvet 0.4%)"/>
    <s v="녹용등 혼합추출액 79.7% (녹용 0.4%)"/>
    <x v="1"/>
    <x v="6"/>
    <s v="Pouch"/>
    <s v="New Zealand "/>
    <s v="Call center and E-commerce"/>
    <s v="Adults "/>
  </r>
  <r>
    <x v="20"/>
    <s v="Energy balls"/>
    <s v="원기력단"/>
    <n v="4"/>
    <s v="g"/>
    <n v="60"/>
    <n v="240"/>
    <n v="269000"/>
    <s v="4 x 1-2 times per day"/>
    <s v="Animal-plant complex powder"/>
    <s v="원기력동식물혼합분말"/>
    <x v="2"/>
    <x v="3"/>
    <s v="Ball"/>
    <s v="New Zealand "/>
    <s v="E-commerce"/>
    <s v="Adults "/>
  </r>
  <r>
    <x v="21"/>
    <s v="Healthy Nuri Hwanshim"/>
    <s v="헬씨누리 환심"/>
    <n v="3.75"/>
    <s v="gram"/>
    <n v="10"/>
    <n v="37.5"/>
    <n v="19000"/>
    <s v="3.75 x 1 time per day"/>
    <s v="Deer velvet powder"/>
    <s v="녹용 분말"/>
    <x v="2"/>
    <x v="0"/>
    <s v="Ball"/>
    <s v="Unspecified"/>
    <s v="E-commerce"/>
    <s v="Adults"/>
  </r>
  <r>
    <x v="22"/>
    <s v="Nokyong Bonwon Jin"/>
    <s v="녹용 본원진"/>
    <n v="180"/>
    <s v="gram"/>
    <n v="1"/>
    <n v="180"/>
    <n v="89000"/>
    <s v="6 x 2 times per day"/>
    <s v="Deer velvet concentrate 22% (solid component, over 5%)"/>
    <s v="녹용농축액 (고형분 5% 이상) 22%"/>
    <x v="3"/>
    <x v="0"/>
    <s v="Bottle"/>
    <s v="New Zealand"/>
    <s v="E-commerce"/>
    <s v="Adults "/>
  </r>
  <r>
    <x v="22"/>
    <s v="Red ginseng extract with deer velvet"/>
    <s v="녹용담은 홍삼진액"/>
    <n v="50"/>
    <s v="ml"/>
    <n v="24"/>
    <n v="1200"/>
    <n v="75000"/>
    <s v="50 x 1 time per day"/>
    <s v="Deer velvet extract 22.45% (solid component 0.1%)"/>
    <s v="녹용추출액 22.45% (고형분 0.1%)"/>
    <x v="5"/>
    <x v="7"/>
    <s v="Pouch"/>
    <s v="New Zealand"/>
    <s v="E-commerce"/>
    <s v="Adults "/>
  </r>
  <r>
    <x v="23"/>
    <s v="Daewoong Hwangje 88 Chimhyang Dan "/>
    <s v="대웅 황제 88 침향단"/>
    <n v="3.75"/>
    <s v="gram"/>
    <n v="32"/>
    <n v="120"/>
    <n v="400000"/>
    <s v="3.75 x 1 time per day"/>
    <s v="Deer velvet 5%"/>
    <s v="녹용 5%"/>
    <x v="3"/>
    <x v="0"/>
    <s v="Ball"/>
    <s v="New Zealand"/>
    <s v="E-commerce"/>
    <s v="Adults"/>
  </r>
  <r>
    <x v="24"/>
    <s v="Kyunghee GongRyukHwan"/>
    <s v="경희공력환"/>
    <n v="3.75"/>
    <s v="gram"/>
    <n v="30"/>
    <n v="112.5"/>
    <n v="298000"/>
    <s v="3.75 x 1 time per day"/>
    <s v="Deer velvet extract 3% (solid component 2.6%)"/>
    <s v="녹용추출액 (고형분 2.6%) 3%"/>
    <x v="6"/>
    <x v="0"/>
    <s v="Ball"/>
    <s v="New Zealand"/>
    <s v="E-commerce"/>
    <s v="Adults"/>
  </r>
  <r>
    <x v="25"/>
    <s v="UB Bio's Deer Colo Berry"/>
    <s v="디어 콜로 베리"/>
    <m/>
    <m/>
    <s v="100 chewable tablets"/>
    <m/>
    <n v="48000"/>
    <s v="2-3 tablets per day"/>
    <s v="Deer velvet extracts 1%"/>
    <s v="녹용추출물 1%"/>
    <x v="7"/>
    <x v="0"/>
    <s v="Bottle"/>
    <s v="New Zealand"/>
    <s v="E-commerce"/>
    <s v="Kids and adults"/>
  </r>
  <r>
    <x v="26"/>
    <s v="HoGuanWon"/>
    <s v="호관원"/>
    <n v="70"/>
    <s v="ml"/>
    <n v="60"/>
    <n v="4200"/>
    <s v="N/A"/>
    <s v="70 x 2 times per day "/>
    <s v="Deer velvet"/>
    <s v="녹용"/>
    <x v="6"/>
    <x v="0"/>
    <s v="Pouch"/>
    <s v="Korea"/>
    <s v="E-commerce"/>
    <s v="Adults"/>
  </r>
  <r>
    <x v="27"/>
    <s v="EZ Roun Nogyong Hongsam Stick"/>
    <s v="이지로운 녹용홍삼스틱"/>
    <n v="10"/>
    <s v="g"/>
    <n v="30"/>
    <n v="300"/>
    <n v="34000"/>
    <s v="10 x 1-2 times per day"/>
    <s v="Deer velvet extract 5% (solid component 0.1%)"/>
    <s v="녹용추출액 5% (고형분 0.1% 이상)"/>
    <x v="7"/>
    <x v="0"/>
    <s v="Stick"/>
    <s v="Korea"/>
    <s v="E-commerce"/>
    <s v="Adults"/>
  </r>
  <r>
    <x v="28"/>
    <s v="Chim Hyang Hwan"/>
    <s v="동의당 침향환"/>
    <n v="3.75"/>
    <s v="g"/>
    <n v="30"/>
    <n v="112.5"/>
    <n v="198000"/>
    <s v="3.75 x 1 time per day"/>
    <s v="Deer velvet extract"/>
    <s v="녹용추출액"/>
    <x v="0"/>
    <x v="0"/>
    <s v="Ball"/>
    <s v="New Zealand"/>
    <s v="Company shopping mall"/>
    <s v="Adults"/>
  </r>
  <r>
    <x v="29"/>
    <s v="Lee Gyungje Nokyong Naekyung Stick"/>
    <s v="이경제 녹용내경 스틱"/>
    <n v="10"/>
    <s v="ml"/>
    <n v="14"/>
    <n v="140"/>
    <n v="35800"/>
    <s v="10 x 1 time per day"/>
    <s v="Deer velvet extract (solid component 0.1%) 50%"/>
    <s v="녹용추출물 (고형분 0.1%) 50%"/>
    <x v="6"/>
    <x v="0"/>
    <s v="Stick"/>
    <s v="New Zealand"/>
    <s v="Emart Traders, online shopping mall"/>
    <s v="Adults"/>
  </r>
  <r>
    <x v="30"/>
    <s v="Haema Jinhwan"/>
    <s v="해마진환"/>
    <n v="4"/>
    <s v="gram"/>
    <n v="30"/>
    <n v="120"/>
    <n v="540000"/>
    <s v="4 x 1 time per day"/>
    <s v="Deer velvet"/>
    <s v="녹용"/>
    <x v="6"/>
    <x v="0"/>
    <s v="Ball"/>
    <s v="Russia"/>
    <s v="E-commerce"/>
    <s v="Adults"/>
  </r>
  <r>
    <x v="31"/>
    <s v="Hwangje Yongryuk Hwan"/>
    <s v="황제활력환"/>
    <n v="3.75"/>
    <s v="gram"/>
    <n v="30"/>
    <n v="112.5"/>
    <n v="290000"/>
    <s v="3.75 x 1 time per day"/>
    <m/>
    <m/>
    <x v="6"/>
    <x v="0"/>
    <s v="Ball"/>
    <s v="New Zealand"/>
    <s v="E-commerce"/>
    <s v="Adults"/>
  </r>
  <r>
    <x v="32"/>
    <s v="Hongsam Nokyong Jinaek Go"/>
    <s v="홍삼 녹용 진액고"/>
    <n v="1000"/>
    <s v="gm"/>
    <n v="1"/>
    <n v="1000"/>
    <n v="298000"/>
    <s v="3 x 2 times per day"/>
    <s v="Deer velvet concentrate 10.2% (solid component 5%)"/>
    <s v="녹용 농축액 10.2% (고형분 5%)"/>
    <x v="6"/>
    <x v="0"/>
    <s v="Bottle, spoonable"/>
    <s v="New Zealand "/>
    <s v="E-commerce"/>
    <s v="Adults"/>
  </r>
  <r>
    <x v="32"/>
    <s v="Kim O-gon Nokyong Hongsam Be"/>
    <s v="김오곤 녹용홍삼보"/>
    <n v="70"/>
    <s v="ml"/>
    <n v="60"/>
    <n v="4200"/>
    <n v="79000"/>
    <s v="70 x 1 time per day"/>
    <s v="Deer velvet extract 8% (solid component 0.1%)"/>
    <s v="녹용추출액 8% (고형분 0.1%)"/>
    <x v="7"/>
    <x v="0"/>
    <s v="Pouch"/>
    <s v="New Zealand"/>
    <s v="E-commerce"/>
    <s v="Adults"/>
  </r>
  <r>
    <x v="33"/>
    <s v="Nogyong Ssanghwacha"/>
    <s v="가의원 녹용쌍화차"/>
    <n v="360"/>
    <s v="gram"/>
    <n v="2"/>
    <n v="720"/>
    <n v="53000"/>
    <m/>
    <s v="Deer velvet"/>
    <s v="녹용"/>
    <x v="7"/>
    <x v="0"/>
    <s v="Bottle"/>
    <s v="New Zealand"/>
    <s v="E-commerce"/>
    <s v="Adults"/>
  </r>
  <r>
    <x v="34"/>
    <s v="Nogyong Bullo Dan"/>
    <s v="녹용불로단"/>
    <n v="5"/>
    <s v="gram"/>
    <n v="30"/>
    <n v="150"/>
    <n v="320000"/>
    <s v="5 x 1 time per day"/>
    <s v="Deer velvet 3%"/>
    <s v="녹용 3%"/>
    <x v="2"/>
    <x v="0"/>
    <s v="Ball"/>
    <s v="Russia"/>
    <s v="E-commerce"/>
    <s v="Adults"/>
  </r>
  <r>
    <x v="35"/>
    <s v="Kim Munho Euddeum Nogyong"/>
    <s v="김문호 으뜸 녹용"/>
    <n v="60"/>
    <s v="ml"/>
    <n v="120"/>
    <n v="7200"/>
    <n v="118000"/>
    <s v="60 x 1 time per day"/>
    <s v="Deer velvet extract (solid component 0.1%) 70%"/>
    <s v="녹용추출액 (고형분 0.1%) 70%"/>
    <x v="0"/>
    <x v="0"/>
    <s v="Pouch"/>
    <s v="Russia"/>
    <s v="Gongyoung cable TV home shopping channel"/>
    <s v="Adults "/>
  </r>
  <r>
    <x v="36"/>
    <s v="Green Store Nokyong Bo"/>
    <s v="그린스토어 녹용보"/>
    <n v="50"/>
    <s v="mg"/>
    <n v="14"/>
    <n v="700"/>
    <n v="140000"/>
    <s v="50 x 1 time per day"/>
    <s v="Deer velvet extract powder"/>
    <s v="녹용추출분말"/>
    <x v="3"/>
    <x v="0"/>
    <s v="Bottle"/>
    <s v="New Zealand"/>
    <s v="Drug stores"/>
    <s v="Adults"/>
  </r>
  <r>
    <x v="36"/>
    <s v="Green Store Nogyong Bo"/>
    <s v="그린스토어 녹용보"/>
    <n v="13"/>
    <s v="gram"/>
    <n v="14"/>
    <n v="182"/>
    <n v="100000"/>
    <s v="13 x 1 time per day"/>
    <s v="Deer velvet extract powder 3.093%"/>
    <s v="녹용 추출 분말 3.093%"/>
    <x v="0"/>
    <x v="0"/>
    <s v="Stick"/>
    <s v="New Zealand"/>
    <s v="Pharmacies"/>
    <s v="Adults"/>
  </r>
  <r>
    <x v="37"/>
    <s v="HA. Routine Nogyong Hongsam Premium"/>
    <s v="하루틴 녹용홍삼 프리미엄"/>
    <n v="50"/>
    <s v="ml"/>
    <n v="30"/>
    <n v="1500"/>
    <n v="151800"/>
    <s v="50 x 1 time per day"/>
    <m/>
    <m/>
    <x v="7"/>
    <x v="0"/>
    <s v="Pouch"/>
    <s v="Russia"/>
    <s v="E-commerce"/>
    <s v="Adults"/>
  </r>
  <r>
    <x v="37"/>
    <s v="HA. Routine Nogyong Stick"/>
    <s v="하루틴 녹용스틱"/>
    <n v="10"/>
    <s v="ml"/>
    <n v="30"/>
    <n v="300"/>
    <n v="101500"/>
    <s v="10 x 1 time per day"/>
    <s v="Deer velvet and herbs mixed extracts (solid component 2%) 95%"/>
    <s v="녹용식물혼합추출액 (고형분 2% 이상) 95%"/>
    <x v="7"/>
    <x v="0"/>
    <s v="Stick"/>
    <s v="Russia"/>
    <s v="E-commerce"/>
    <s v="Adults"/>
  </r>
  <r>
    <x v="38"/>
    <s v="Hwangje Hwangyong Dan"/>
    <s v="황제황용단"/>
    <m/>
    <s v="ml"/>
    <n v="30"/>
    <m/>
    <n v="398000"/>
    <m/>
    <s v="Deer velvet powder"/>
    <m/>
    <x v="6"/>
    <x v="0"/>
    <s v="Ball"/>
    <s v="Russia"/>
    <s v="E-commerce"/>
    <s v="Adults"/>
  </r>
  <r>
    <x v="39"/>
    <s v="Handong Lab Hyoryukwhan"/>
    <s v="한동녹용연구소 효력환"/>
    <n v="3.75"/>
    <s v="g"/>
    <n v="30"/>
    <n v="112.5"/>
    <n v="140000"/>
    <s v="3.75g x 1 time per day"/>
    <s v="Deer velvet"/>
    <s v="녹용"/>
    <x v="1"/>
    <x v="1"/>
    <s v="Ball"/>
    <s v="New Zealand"/>
    <s v="E-commerce"/>
    <s v="Adults"/>
  </r>
  <r>
    <x v="40"/>
    <s v="HanEui BoGam Nokyong Hongsam Zeup"/>
    <s v="한의보감 녹용홍삼즙"/>
    <n v="100"/>
    <s v="ml"/>
    <n v="30"/>
    <n v="3000"/>
    <n v="125000"/>
    <s v="100 x 2-3 times per day"/>
    <s v="Deer velvet mixed extract liquid (deer velvet, Korean angelica root, jujube, milk vetch root) 98.5%"/>
    <s v="녹용복합추출액 (녹용, 당귀, 대추, 지황, 황기) 98.5%"/>
    <x v="6"/>
    <x v="0"/>
    <s v="Pouch"/>
    <s v="Russia"/>
    <s v="E-commerce"/>
    <s v="Adults"/>
  </r>
  <r>
    <x v="41"/>
    <s v="ChimHyang Dan"/>
    <s v="침향단"/>
    <n v="4.5"/>
    <s v="g"/>
    <n v="30"/>
    <n v="135"/>
    <n v="270000"/>
    <s v="4.5 x over 1 time per day"/>
    <s v="Deer velvet 16%"/>
    <s v="녹용 16%"/>
    <x v="6"/>
    <x v="0"/>
    <s v="Ball"/>
    <s v="Unspecified"/>
    <m/>
    <s v="Adults"/>
  </r>
  <r>
    <x v="41"/>
    <s v="Hongsam Nokyong Go"/>
    <s v="홍삼녹용고"/>
    <n v="240"/>
    <s v="g"/>
    <n v="2"/>
    <n v="480"/>
    <n v="280000"/>
    <s v="1 spoon x over 1 time per day"/>
    <s v="Deer velvet"/>
    <s v="녹용"/>
    <x v="6"/>
    <x v="0"/>
    <s v="Bottle, spoonable"/>
    <s v="Unspecified"/>
    <m/>
    <s v="Adults"/>
  </r>
  <r>
    <x v="41"/>
    <s v="Cheonnok Bichaekk"/>
    <s v="천녹비책"/>
    <n v="10"/>
    <s v="g"/>
    <n v="10"/>
    <n v="100"/>
    <n v="320000"/>
    <s v="10 x over 1 time per day"/>
    <s v="Deer velvet 3%"/>
    <s v="녹용 3%"/>
    <x v="6"/>
    <x v="0"/>
    <s v="Stick"/>
    <s v="Russia"/>
    <s v="E-commerce"/>
    <s v="Adults"/>
  </r>
  <r>
    <x v="41"/>
    <s v="Hongsam Nokyong Go Stick"/>
    <s v="홍삼녹용고 스틱"/>
    <n v="10"/>
    <s v="g"/>
    <n v="30"/>
    <n v="300"/>
    <n v="240000"/>
    <s v="10 x over 1 time per day"/>
    <s v="Deer velvet"/>
    <s v="녹용"/>
    <x v="6"/>
    <x v="0"/>
    <s v="Stick"/>
    <s v="Unspecified"/>
    <m/>
    <s v="Adults"/>
  </r>
  <r>
    <x v="42"/>
    <s v="Hongsam Nokyong Jin"/>
    <s v="홍삼녹용진"/>
    <n v="10"/>
    <s v="g"/>
    <n v="60"/>
    <n v="600"/>
    <n v="80000"/>
    <s v="10 x 1 time per day"/>
    <s v="Deer velvet extract"/>
    <s v="녹용추출액"/>
    <x v="6"/>
    <x v="0"/>
    <s v="Stick"/>
    <s v="New Zealand"/>
    <s v="E-commerce"/>
    <s v="Adults"/>
  </r>
  <r>
    <x v="43"/>
    <s v="Nogyong Bo"/>
    <s v="녹용보"/>
    <n v="100"/>
    <s v="ml"/>
    <n v="20"/>
    <n v="2000"/>
    <n v="19900"/>
    <m/>
    <s v="Deer velvet extract (solid component 2%) 0.1%"/>
    <s v="녹용추출액 0.1% (고형분 2%)"/>
    <x v="0"/>
    <x v="0"/>
    <s v="Bottle"/>
    <s v="New Zealand"/>
    <s v="Pharmacies and E-commerce"/>
    <s v="Adults"/>
  </r>
  <r>
    <x v="44"/>
    <s v="Kiryuk Bogam Hwan"/>
    <s v="기력보감환"/>
    <n v="3.75"/>
    <s v="g"/>
    <n v="25"/>
    <n v="93.75"/>
    <n v="39200"/>
    <s v="3.75 x 1 time per day"/>
    <s v="Deer velvet"/>
    <s v="녹용"/>
    <x v="0"/>
    <x v="0"/>
    <s v="Ball"/>
    <s v="Korea"/>
    <s v="E-commerce"/>
    <s v="Adults"/>
  </r>
  <r>
    <x v="44"/>
    <s v="A Plus Up"/>
    <s v="에이 플러스 업"/>
    <n v="50"/>
    <s v="ml"/>
    <n v="30"/>
    <n v="1500"/>
    <n v="155000"/>
    <s v="50 x 1 time per day"/>
    <s v="Deer velvet"/>
    <s v="녹용"/>
    <x v="6"/>
    <x v="0"/>
    <s v="Stick"/>
    <s v="Korea"/>
    <s v="E-commerce"/>
    <s v="Teenagers"/>
  </r>
  <r>
    <x v="44"/>
    <s v="HongSamJin Good Day Ample"/>
    <s v="홍삼진 굿데이앰플"/>
    <n v="20"/>
    <s v="g"/>
    <n v="20"/>
    <n v="400"/>
    <n v="70000"/>
    <s v="50 x 1 time per day"/>
    <s v="Deer velvet concentrate"/>
    <s v="녹용농축액"/>
    <x v="5"/>
    <x v="7"/>
    <s v="Bottle"/>
    <s v="Korea"/>
    <s v="E-commerce"/>
    <s v="Adults"/>
  </r>
  <r>
    <x v="45"/>
    <s v="Nokgak Wooseul Jinaekk"/>
    <s v="녹각 우슬 진액"/>
    <n v="95"/>
    <s v="ml"/>
    <n v="60"/>
    <n v="5700"/>
    <n v="159000"/>
    <s v="95 x 1 time per day"/>
    <s v="Hard antler 30%"/>
    <s v="녹각 30%"/>
    <x v="6"/>
    <x v="0"/>
    <s v="Pouch"/>
    <s v="Russia"/>
    <s v="E-commerce"/>
    <s v="Adults"/>
  </r>
  <r>
    <x v="46"/>
    <s v="Masterpiece made by Nature, Chimhyang"/>
    <s v="자연이 만든 명작, 침향"/>
    <n v="20"/>
    <s v="ml"/>
    <n v="30"/>
    <n v="600"/>
    <n v="125000"/>
    <s v="20 x 1-2 times per day"/>
    <s v="Deer velvet"/>
    <s v="녹용"/>
    <x v="7"/>
    <x v="0"/>
    <s v="Bottle"/>
    <s v="New Zealand"/>
    <s v="E-commerce"/>
    <s v="Adults"/>
  </r>
  <r>
    <x v="47"/>
    <s v="Sipjeon Nogyong Hongsam"/>
    <s v="십전녹용홍삼"/>
    <n v="50"/>
    <s v="ml"/>
    <n v="60"/>
    <n v="3000"/>
    <n v="198000"/>
    <s v="50 x 1-2 times per day"/>
    <s v="Russian deer velvet powder 0.03%, New Zealand fermented deer velvet concentrate 1.7% (solid component 17%)"/>
    <s v="러시아 녹용분말 0.03%, 뉴질랜드 발효녹용농축액 1.7% (고형분 17%)"/>
    <x v="7"/>
    <x v="0"/>
    <s v="Pouch"/>
    <s v="Russia and New Zealand"/>
    <s v="E-commerce"/>
    <s v="Adults"/>
  </r>
  <r>
    <x v="48"/>
    <s v="Inner Set Nogyong Hongsam Stick"/>
    <s v="이너셋 녹용홍삼 스틱"/>
    <n v="10"/>
    <s v="g"/>
    <n v="50"/>
    <n v="500"/>
    <n v="29900"/>
    <s v="10 x 1 time per day"/>
    <s v="Deer velvet extracts (solid component 20%) 1%"/>
    <s v="녹용추출농축액 (고형분 20% 이상) 1%"/>
    <x v="7"/>
    <x v="0"/>
    <s v="Stick"/>
    <s v="New Zealand"/>
    <s v="E-commerce"/>
    <s v="Adults"/>
  </r>
  <r>
    <x v="49"/>
    <s v="JinSamRokDan"/>
    <s v="진삼록단"/>
    <n v="1"/>
    <s v="g"/>
    <n v="60"/>
    <n v="60"/>
    <n v="149000"/>
    <s v="1 x 1 time per day"/>
    <s v="Deer velvet powder 1%"/>
    <s v="녹용분말 1%"/>
    <x v="3"/>
    <x v="0"/>
    <s v="Stick"/>
    <s v="New Zealand"/>
    <s v="E-commerce"/>
    <s v="Adults"/>
  </r>
  <r>
    <x v="50"/>
    <s v="Mum"/>
    <s v="뮴"/>
    <n v="3"/>
    <s v="g"/>
    <n v="30"/>
    <n v="90"/>
    <n v="29800"/>
    <s v="3 x 1-2 times per day"/>
    <s v="Deer velvet extract powder 3% (solid component 30%)"/>
    <s v="녹용추출농축분말 3% (고형분 30%)"/>
    <x v="7"/>
    <x v="0"/>
    <s v="Powder"/>
    <s v="New Zealand"/>
    <s v="E-commerce"/>
    <s v="Children"/>
  </r>
  <r>
    <x v="51"/>
    <s v="Maeil Nogyong"/>
    <s v="매일 녹용"/>
    <n v="10"/>
    <s v="g"/>
    <n v="30"/>
    <n v="300"/>
    <n v="120000"/>
    <s v="10 x 1 time per day"/>
    <s v="Deer velvet extracts (solid component 0.1%) 10.15%"/>
    <s v="녹용 추출액 (고형분 0.1%) 10.15%"/>
    <x v="2"/>
    <x v="0"/>
    <s v="Stick"/>
    <s v="New Zealand"/>
    <s v="E-commerce"/>
    <s v="Adults"/>
  </r>
  <r>
    <x v="52"/>
    <s v="Dasrim Nogyong Ggulmul"/>
    <s v="다스림 녹용 꿀물"/>
    <n v="180"/>
    <s v="ml"/>
    <n v="12"/>
    <n v="2160"/>
    <n v="10800"/>
    <m/>
    <s v="Deer velvet extract (solid component, over 3.5%)"/>
    <s v="녹용추출물(고형분 3.5%이상)"/>
    <x v="3"/>
    <x v="0"/>
    <s v="Bottle"/>
    <s v="New Zealand"/>
    <m/>
    <s v="Adults"/>
  </r>
  <r>
    <x v="53"/>
    <s v="Iksu Noghyang 4.2"/>
    <s v="익수녹향 4.2"/>
    <n v="4.2"/>
    <s v="g"/>
    <n v="30"/>
    <n v="126"/>
    <m/>
    <s v="4.2 x 1 time per day"/>
    <s v="Deer velvet 20%"/>
    <s v="녹용 20%"/>
    <x v="2"/>
    <x v="0"/>
    <s v="Ball"/>
    <s v="Russia"/>
    <s v="E-commerce"/>
    <s v="Adults"/>
  </r>
  <r>
    <x v="54"/>
    <s v="Children Hongsam Nokyong Stick"/>
    <s v="어린이 홍삼 녹용 스틱"/>
    <n v="10"/>
    <s v="mg"/>
    <n v="10"/>
    <n v="100"/>
    <n v="6900"/>
    <s v="10 x 1 time per day"/>
    <s v="Deer velvet"/>
    <s v="녹용"/>
    <x v="3"/>
    <x v="0"/>
    <s v="Stick"/>
    <s v="New Zealand"/>
    <s v="E-commerce"/>
    <s v="Children"/>
  </r>
  <r>
    <x v="55"/>
    <s v="6 Year Old Red Ginseng Nokyong Gold "/>
    <s v="6년홍삼 녹용골드"/>
    <n v="60"/>
    <s v="ml"/>
    <n v="10"/>
    <n v="600"/>
    <n v="55000"/>
    <s v="60 x 1 time per day"/>
    <s v="Deer velvet 1.72%"/>
    <s v="녹용 1.72%"/>
    <x v="10"/>
    <x v="0"/>
    <s v="Pouch"/>
    <s v="Unspecified"/>
    <s v="E-commerce"/>
    <s v="Adults"/>
  </r>
  <r>
    <x v="55"/>
    <s v="Daily Nokyong Hongsam Jeong"/>
    <s v="데일리 녹용 홍삼정"/>
    <n v="10"/>
    <s v="g"/>
    <n v="30"/>
    <n v="300"/>
    <n v="59800"/>
    <s v="10 x 1 time per day"/>
    <s v="Deer velvet extract powder [deer velvet extract (soild component 1.5%) 73.53%, dextrin, Arabian gum] 3.325%"/>
    <s v="녹용추출물분말 [녹용추출액 (고형분 1.5%) 73.53%, 덱스트린, 아라비아 검] 3.325%"/>
    <x v="9"/>
    <x v="0"/>
    <s v="Stick"/>
    <s v="New Zealand"/>
    <s v="E-commerce"/>
    <s v="Adults"/>
  </r>
  <r>
    <x v="55"/>
    <s v="Ilyang Heuksam ChimHyangKo"/>
    <s v="일양흑삼침향고"/>
    <n v="10"/>
    <s v="g"/>
    <n v="30"/>
    <n v="300"/>
    <n v="65000"/>
    <s v="10 x 1 time per day"/>
    <s v="Deer velvet "/>
    <s v="녹용 1.72%"/>
    <x v="2"/>
    <x v="0"/>
    <s v="Stick"/>
    <s v="Unspecified"/>
    <s v="E-commerce"/>
    <s v="Adults"/>
  </r>
  <r>
    <x v="56"/>
    <s v="MyeonRyukDaeCheop"/>
    <s v="면력대첩"/>
    <n v="10"/>
    <s v="g"/>
    <n v="30"/>
    <n v="300"/>
    <n v="105000"/>
    <s v="10 x 2 times per day"/>
    <s v="Deer velvet"/>
    <s v="녹용"/>
    <x v="7"/>
    <x v="0"/>
    <s v="Pouch"/>
    <s v="New Zealand"/>
    <s v="E-commerce"/>
    <s v="Adults"/>
  </r>
  <r>
    <x v="57"/>
    <s v="Hwallyuk Up Sam"/>
    <s v="활력 UP삼"/>
    <n v="70"/>
    <s v="ml"/>
    <n v="30"/>
    <n v="2100"/>
    <n v="38000"/>
    <s v="70 x 1-2 times per day"/>
    <s v="Deer velvet extracts (solid component 0.2%) 50%"/>
    <s v="녹용 추출액 (고형분 0.5%) 50%"/>
    <x v="2"/>
    <x v="0"/>
    <s v="Pouch"/>
    <s v="New Zealand"/>
    <s v="E-commerce"/>
    <s v="Adults"/>
  </r>
  <r>
    <x v="58"/>
    <s v="Kids Teunteun Hongsam Nogyong"/>
    <s v="키즈튼튼 홍삼녹용 "/>
    <n v="10"/>
    <s v="g"/>
    <n v="15"/>
    <n v="150"/>
    <n v="35800"/>
    <s v="10 x 1 time per day"/>
    <s v="Deer velvet extract 5%"/>
    <s v="녹용추출액 5%"/>
    <x v="2"/>
    <x v="0"/>
    <s v="Stick"/>
    <s v="New Zealand"/>
    <s v="E-commerce and iruni clinics"/>
    <s v="Kids"/>
  </r>
  <r>
    <x v="59"/>
    <s v="BoKwanWon"/>
    <s v="보관원"/>
    <n v="4"/>
    <s v="g"/>
    <n v="30"/>
    <n v="120"/>
    <n v="250000"/>
    <s v="4 x 1 timer per day"/>
    <s v="Deer velvet"/>
    <s v="녹용"/>
    <x v="2"/>
    <x v="0"/>
    <s v="Ball"/>
    <s v="New Zealand"/>
    <s v="E-commerce"/>
    <s v="Adults"/>
  </r>
  <r>
    <x v="60"/>
    <s v="Everyday CheonKi PalPal"/>
    <s v="에브리데이 천기팔팔"/>
    <n v="60"/>
    <s v="ml"/>
    <n v="30"/>
    <n v="1800"/>
    <n v="34900"/>
    <s v="30  x 1 time per day"/>
    <s v="Deer velvet extracts (solid component 20%)"/>
    <s v="녹용추출농축액 (고형분 20%)"/>
    <x v="7"/>
    <x v="0"/>
    <s v="Pouch"/>
    <s v="Russia"/>
    <s v="E-commerce"/>
    <s v="Adults"/>
  </r>
  <r>
    <x v="61"/>
    <s v="Jaseng Nok"/>
    <s v="자생녹"/>
    <n v="70"/>
    <s v="ml"/>
    <n v="30"/>
    <n v="2100"/>
    <n v="279000"/>
    <s v="70 x 1 time per day"/>
    <s v="Deer velvet concentrate 48% (solid component 0.4%)"/>
    <s v="녹용농축액 48% (고형분 0.4%)"/>
    <x v="7"/>
    <x v="0"/>
    <s v="Pouch"/>
    <s v="Russia"/>
    <s v="E-commerce"/>
    <s v="Adults"/>
  </r>
  <r>
    <x v="61"/>
    <s v="Jaseng Nok Kids"/>
    <s v="자생녹키즈"/>
    <n v="70"/>
    <s v="ml"/>
    <n v="30"/>
    <n v="2100"/>
    <n v="145000"/>
    <s v="70 x 1 time per day"/>
    <m/>
    <m/>
    <x v="7"/>
    <x v="0"/>
    <s v="Pouch"/>
    <s v="Russia"/>
    <s v="E-commerce"/>
    <s v="Kids"/>
  </r>
  <r>
    <x v="61"/>
    <s v="Jaseng Nok Stick"/>
    <s v="자생녹 스틱"/>
    <n v="10"/>
    <s v="g"/>
    <n v="30"/>
    <n v="300"/>
    <n v="153000"/>
    <s v="10 x 1 time per day"/>
    <m/>
    <m/>
    <x v="7"/>
    <x v="0"/>
    <s v="Stick"/>
    <s v="Russia"/>
    <s v="E-commerce"/>
    <s v="Adults"/>
  </r>
  <r>
    <x v="62"/>
    <s v="NokOkGo"/>
    <s v="녹옥고"/>
    <n v="240"/>
    <s v="g"/>
    <n v="1"/>
    <n v="240"/>
    <n v="89700"/>
    <s v="1 spoon x 2-3 times per day"/>
    <s v="Deer velvet 5%"/>
    <s v="녹용 5%"/>
    <x v="6"/>
    <x v="0"/>
    <s v="Bottle, spoonable"/>
    <s v="New Zealand"/>
    <s v="E-commerce"/>
    <s v="Adults"/>
  </r>
  <r>
    <x v="63"/>
    <s v="YoungMyoHyang Balhyo ChimHyangHwan"/>
    <s v="영묘향 발효 침향환"/>
    <n v="3.75"/>
    <s v="g"/>
    <n v="60"/>
    <n v="225"/>
    <n v="97900"/>
    <s v="3.75 x 1 time per day"/>
    <s v="Deer velvet powder"/>
    <s v="녹용 분말"/>
    <x v="2"/>
    <x v="0"/>
    <s v="Ball"/>
    <s v="New Zealand"/>
    <s v="E-commerce"/>
    <s v="Adults"/>
  </r>
  <r>
    <x v="64"/>
    <s v="Goryo Nogyong Hongsam"/>
    <s v="고려녹용홍삼"/>
    <n v="50"/>
    <s v="ml"/>
    <n v="30"/>
    <n v="1500"/>
    <n v="105900"/>
    <s v="50 x 1 time per day"/>
    <s v="Deer velvet 0.15%"/>
    <s v="녹용 0.15%"/>
    <x v="2"/>
    <x v="0"/>
    <s v="Pouch"/>
    <s v="Korea"/>
    <s v="E-commerce"/>
    <s v="Adults"/>
  </r>
  <r>
    <x v="65"/>
    <s v="Byunseok Hong Ok Go"/>
    <s v="변석 홍옥고"/>
    <n v="10"/>
    <s v="g"/>
    <n v="30"/>
    <n v="300"/>
    <n v="175000"/>
    <s v="10 x 1 time per day"/>
    <s v="Deer velvet bungol 4%"/>
    <s v="녹용 분골 4%"/>
    <x v="0"/>
    <x v="0"/>
    <s v="Pouch"/>
    <s v="Russia"/>
    <s v="E-commerce"/>
    <s v="Adults"/>
  </r>
  <r>
    <x v="66"/>
    <s v="JeOkGo"/>
    <s v="제옥고"/>
    <n v="20"/>
    <s v="g"/>
    <n v="30"/>
    <n v="600"/>
    <n v="145000"/>
    <s v="20 x 1 time per day"/>
    <s v="Deer velvet"/>
    <s v="녹용"/>
    <x v="7"/>
    <x v="0"/>
    <s v="Stick"/>
    <s v="New Zealand"/>
    <s v="E-commerce"/>
    <s v="Adults"/>
  </r>
  <r>
    <x v="67"/>
    <s v="Chimhyang Won"/>
    <s v="침향원"/>
    <n v="3.75"/>
    <s v="g"/>
    <n v="30"/>
    <n v="112.5"/>
    <n v="198000"/>
    <s v="3.75 x 1 time per day"/>
    <s v="Deer velvet powder 13.7%"/>
    <s v="녹용분말 13.7%"/>
    <x v="3"/>
    <x v="0"/>
    <s v="Ball"/>
    <s v="New Zealand"/>
    <s v="E-commerce"/>
    <s v="Adults"/>
  </r>
  <r>
    <x v="68"/>
    <s v="Joa Saeng Nok Jin Gold"/>
    <s v="조아 생녹진 골드"/>
    <n v="20"/>
    <s v="ml"/>
    <n v="30"/>
    <n v="600"/>
    <n v="149000"/>
    <s v="20 x 1 time per day"/>
    <s v="Deer velvet concentrate 5%"/>
    <s v="녹용추출물 5%"/>
    <x v="0"/>
    <x v="0"/>
    <s v="Stick"/>
    <s v="New Zealand"/>
    <s v="E-commerce"/>
    <s v="Adults"/>
  </r>
  <r>
    <x v="69"/>
    <s v="Josun HwangRim Hyo"/>
    <s v="조선 황림 효"/>
    <n v="4"/>
    <s v="g"/>
    <n v="30"/>
    <n v="120"/>
    <n v="169000"/>
    <s v="4 x 1 time per day"/>
    <s v="Deer velvet 20%, Fermented deer velvet extract 2%"/>
    <s v="녹용 (러시아산) 20%, hy 발효녹용 농축액 2% (뉴질랜드산)"/>
    <x v="1"/>
    <x v="8"/>
    <s v="Ball"/>
    <s v="Russia and New Zealand"/>
    <s v="E-commerce"/>
    <s v="Adults"/>
  </r>
  <r>
    <x v="70"/>
    <s v="Cheonmyeongsam Myeongin Jiryeok Chimhyanghwan"/>
    <s v="천명삼 명인지력침향환"/>
    <n v="3.75"/>
    <s v="g"/>
    <n v="60"/>
    <n v="225"/>
    <n v="398000"/>
    <s v="1 x 1 time per day"/>
    <s v="Deer velvet extract powder"/>
    <s v="녹용추출분말"/>
    <x v="5"/>
    <x v="9"/>
    <s v="Ball"/>
    <s v="New Zealand"/>
    <s v="E-commerce"/>
    <s v="Adults"/>
  </r>
  <r>
    <x v="71"/>
    <s v="CheonNok Jeong"/>
    <s v="천녹정"/>
    <n v="180"/>
    <s v="mg"/>
    <n v="2"/>
    <n v="360"/>
    <n v="450000"/>
    <s v="6 x 2 times per day"/>
    <s v="Deer velvet concentrate (solid component 16%) 10.12%"/>
    <s v="녹용농축액(고형분 16%) 10.12%"/>
    <x v="11"/>
    <x v="0"/>
    <s v="2 bottles, spoonable"/>
    <s v="New Zealand"/>
    <s v="800 shop-in-shop stores in department stores and hypermart stores, road shops; cable TV home shopping channels."/>
    <s v="Adults"/>
  </r>
  <r>
    <x v="71"/>
    <s v="Hwangjindan Cheon"/>
    <s v="황진단천"/>
    <n v="4"/>
    <s v="g"/>
    <n v="20"/>
    <n v="80"/>
    <n v="1000000"/>
    <s v="40 x 1 time per day"/>
    <s v="Deer velvet (tip) extract powder"/>
    <s v="녹용(분골)추출분말"/>
    <x v="8"/>
    <x v="0"/>
    <s v="Ball"/>
    <s v="New Zealand"/>
    <s v="800 shop-in-shop stores in department stores and hypermart stores, road shops; cable TV home shopping channels."/>
    <s v="Adults"/>
  </r>
  <r>
    <x v="71"/>
    <s v="Hwangjindan Cheon"/>
    <s v="황진단천"/>
    <n v="4"/>
    <s v="g"/>
    <n v="3"/>
    <n v="12"/>
    <n v="150000"/>
    <s v="40 x 1 time per day"/>
    <s v="Deer velvet (tip) extract powder"/>
    <s v="녹용(분골)추출분말"/>
    <x v="8"/>
    <x v="0"/>
    <s v="Ball"/>
    <s v="New Zealand"/>
    <s v="800 shop-in-shop stores in department stores and hypermart stores, road shops; cable TV home shopping channels."/>
    <s v="Adults"/>
  </r>
  <r>
    <x v="71"/>
    <s v="Hwangjindan Cheon"/>
    <s v="황진단천"/>
    <n v="4"/>
    <s v="g"/>
    <n v="30"/>
    <n v="120"/>
    <n v="600000"/>
    <s v="40 x 1 time per day"/>
    <s v="Deer velvet (tip) extract powder"/>
    <s v="녹용(분골)추출분말"/>
    <x v="8"/>
    <x v="0"/>
    <s v="Ball"/>
    <s v="New Zealand"/>
    <s v="800 shop-in-shop stores in department stores and hypermart stores, road shops; cable TV home shopping channels."/>
    <s v="Adults"/>
  </r>
  <r>
    <x v="71"/>
    <s v="Hwangjindan Cheon"/>
    <s v="황진단천"/>
    <n v="4"/>
    <s v="g"/>
    <n v="12"/>
    <n v="48"/>
    <n v="240000"/>
    <s v="40 x 1 time per day"/>
    <s v="Deer velvet (tip) extract powder"/>
    <s v="녹용(분골)추출분말"/>
    <x v="8"/>
    <x v="0"/>
    <s v="Ball"/>
    <s v="New Zealand"/>
    <s v="800 shop-in-shop stores in department stores and hypermart stores, road shops; cable TV home shopping channels."/>
    <s v="Adults"/>
  </r>
  <r>
    <x v="71"/>
    <s v="Hwangjindan Cheon"/>
    <s v="황진단천"/>
    <n v="4"/>
    <s v="g"/>
    <n v="3"/>
    <n v="12"/>
    <n v="60000"/>
    <s v="40 x 1 time per day"/>
    <s v="Deer velvet (tip) extract powder"/>
    <s v="녹용(분골)추출분말"/>
    <x v="8"/>
    <x v="0"/>
    <s v="Ball"/>
    <s v="New Zealand"/>
    <s v="800 shop-in-shop stores in department stores and hypermart stores, road shops; cable TV home shopping channels."/>
    <s v="Adults"/>
  </r>
  <r>
    <x v="71"/>
    <s v="Hwangjindan Cheon Nobleline"/>
    <s v="황진단천 노블라인"/>
    <n v="4"/>
    <s v="g"/>
    <n v="20"/>
    <n v="80"/>
    <n v="1500000"/>
    <s v="40 x 1 time per day"/>
    <s v="Deer velvet (tip) extract powder"/>
    <s v="녹용(분골)추출분말"/>
    <x v="1"/>
    <x v="9"/>
    <s v="Ball"/>
    <s v="New Zealand"/>
    <s v="800 shop-in-shop stores in department stores and hypermart stores, road shops; cable TV home shopping channels."/>
    <s v="Adults"/>
  </r>
  <r>
    <x v="71"/>
    <s v="CheonNok Gang Hwan"/>
    <s v="천녹강환"/>
    <n v="4"/>
    <s v="g"/>
    <n v="10"/>
    <n v="40"/>
    <n v="300000"/>
    <s v="4 x 1 time per day"/>
    <s v="Deer velvet extract powder 7.5%"/>
    <s v="녹용추출분말 7.5%"/>
    <x v="6"/>
    <x v="0"/>
    <s v="Ball"/>
    <s v="New Zealand"/>
    <s v="800 shop-in-shop stores in department stores and hypermart stores, road shops; cable TV home shopping channels."/>
    <s v="Adults"/>
  </r>
  <r>
    <x v="71"/>
    <s v="CheonNok Gang Hwan"/>
    <s v="천녹강환"/>
    <n v="4"/>
    <s v="g"/>
    <n v="3"/>
    <n v="12"/>
    <n v="90000"/>
    <s v="4 x 1 time per day"/>
    <s v="Deer velvet extract powder 7.5%"/>
    <s v="녹용추출분말 7.5%"/>
    <x v="6"/>
    <x v="0"/>
    <s v="Ball"/>
    <s v="New Zealand"/>
    <s v="800 shop-in-shop stores in department stores and hypermart stores, road shops; cable TV home shopping channels."/>
    <s v="Adults"/>
  </r>
  <r>
    <x v="71"/>
    <s v="Hwanjindan Aek"/>
    <s v="황진단액"/>
    <n v="50"/>
    <s v="ml"/>
    <n v="7"/>
    <n v="350"/>
    <n v="70000"/>
    <s v="70 x 1 time per day"/>
    <s v="Deer velvet extract powder"/>
    <s v="녹용추출물분말"/>
    <x v="12"/>
    <x v="0"/>
    <s v="Bottle"/>
    <s v="New Zealand"/>
    <s v="800 shop-in-shop stores in department stores and hypermart stores, road shops; cable TV home shopping channels."/>
    <s v="Adults"/>
  </r>
  <r>
    <x v="71"/>
    <s v="Ipass Power"/>
    <s v="아이패스 파워"/>
    <n v="50"/>
    <s v="ml"/>
    <n v="14"/>
    <n v="700"/>
    <n v="95000"/>
    <s v="50 x 1 time per day"/>
    <s v="Deer velvet extract powder"/>
    <s v="녹용추출물분말"/>
    <x v="13"/>
    <x v="0"/>
    <s v="Bottle"/>
    <s v="New Zealand"/>
    <s v="800 shop-in-shop stores in department stores and hypermart stores, road shops; cable TV home shopping channels."/>
    <s v="Students"/>
  </r>
  <r>
    <x v="71"/>
    <s v="Ipass Focusing"/>
    <s v="아이패스 포커싱"/>
    <n v="30"/>
    <s v="ml"/>
    <n v="28"/>
    <n v="840"/>
    <n v="174000"/>
    <s v="30 x 1 time per day"/>
    <s v="Deer velvet extract liquid"/>
    <s v="녹용추출액"/>
    <x v="5"/>
    <x v="10"/>
    <s v="Bottle"/>
    <s v="New Zealand"/>
    <s v="800 shop-in-shop stores in department stores and hypermart stores, road shops; cable TV home shopping channels."/>
    <s v="Students"/>
  </r>
  <r>
    <x v="71"/>
    <s v="I KeeKer (4 flavours, including apple, orange, grape, tangerine) "/>
    <s v="아이키커"/>
    <n v="100"/>
    <s v="ml"/>
    <n v="1"/>
    <n v="100"/>
    <n v="1200"/>
    <s v="100 x 1 time per day"/>
    <s v="Deer velvet extract liquid"/>
    <s v="녹용추출액"/>
    <x v="14"/>
    <x v="0"/>
    <s v="Pouch"/>
    <s v="New Zealand"/>
    <s v="800 shop-in-shop stores in department stores and hypermart stores, road shops; cable TV home shopping channels."/>
    <s v="Children"/>
  </r>
  <r>
    <x v="71"/>
    <s v="I KeeKer Vita Gold (3 flavours, including apple, orange, grape) "/>
    <s v="아이키커 비타골드"/>
    <n v="100"/>
    <s v="ml"/>
    <n v="1"/>
    <n v="100"/>
    <n v="1300"/>
    <s v="100 x 1 time per day"/>
    <s v="Deer velvet extract liquid"/>
    <s v="녹용추출액"/>
    <x v="14"/>
    <x v="0"/>
    <s v="Pouch"/>
    <s v="New Zealand"/>
    <s v="800 shop-in-shop stores in department stores and hypermart stores, road shops; cable TV home shopping channels."/>
    <s v="Children"/>
  </r>
  <r>
    <x v="71"/>
    <s v="I KeeKer Plus (4 flavours, including apple, orange, grape, mango) "/>
    <s v="아이키키 플러스"/>
    <n v="100"/>
    <s v="ml"/>
    <n v="1"/>
    <n v="100"/>
    <n v="1300"/>
    <s v="100 x 1 time per day"/>
    <s v="Deer velvet extract liquid"/>
    <s v="녹용추출액"/>
    <x v="14"/>
    <x v="0"/>
    <s v="Pouch"/>
    <s v="New Zealand"/>
    <s v="800 shop-in-shop stores in department stores and hypermart stores, road shops; cable TV home shopping channels."/>
    <s v="Children"/>
  </r>
  <r>
    <x v="71"/>
    <s v="Hongyi Jangkoon Step 2"/>
    <s v="홍이장군 2단계"/>
    <n v="20"/>
    <s v="ml"/>
    <n v="30"/>
    <n v="600"/>
    <n v="100000"/>
    <s v="20 x 1 time per day"/>
    <s v="Deer velvet"/>
    <s v="녹용"/>
    <x v="12"/>
    <x v="0"/>
    <s v="Pouch"/>
    <s v="New Zealand"/>
    <s v="800 shop-in-shop stores in department stores and hypermart stores, road shops; cable TV home shopping channels."/>
    <s v="5-7 years old kids"/>
  </r>
  <r>
    <x v="71"/>
    <s v="Hongyi Jangkoon Step 3"/>
    <s v="홍이장군 3단계"/>
    <n v="20"/>
    <s v="ml"/>
    <n v="30"/>
    <n v="600"/>
    <n v="120000"/>
    <s v="20 x 1 time per day"/>
    <s v="Deer velvet"/>
    <s v="녹용"/>
    <x v="12"/>
    <x v="0"/>
    <s v="Pouch"/>
    <s v="New Zealand"/>
    <s v="800 shop-in-shop stores in department stores and hypermart stores, road shops; cable TV home shopping channels."/>
    <s v="8-10 years old kids"/>
  </r>
  <r>
    <x v="71"/>
    <s v="Hongyi Jangkoon Royal Step 1"/>
    <s v="홍이장군 로얄 1단계 "/>
    <n v="15"/>
    <s v="ml"/>
    <n v="30"/>
    <n v="450"/>
    <n v="98000"/>
    <s v="15 x 1 time per day"/>
    <s v="Deer velvet"/>
    <s v="녹용"/>
    <x v="3"/>
    <x v="0"/>
    <s v="Pouch"/>
    <s v="New Zealand"/>
    <s v="800 shop-in-shop stores in department stores and hypermart stores, road shops; cable TV home shopping channels."/>
    <s v="3-4 years old kids"/>
  </r>
  <r>
    <x v="71"/>
    <s v="Hongyi Jangkoon Royal Step 2"/>
    <s v="홍이장군 로얄 2단계 "/>
    <n v="20"/>
    <s v="ml"/>
    <n v="30"/>
    <n v="600"/>
    <n v="120000"/>
    <s v="20 x 1 time per day"/>
    <s v="Deer velvet"/>
    <s v="녹용"/>
    <x v="3"/>
    <x v="0"/>
    <s v="Pouch"/>
    <s v="New Zealand"/>
    <s v="800 shop-in-shop stores in department stores and hypermart stores, road shops; cable TV home shopping channels."/>
    <s v="5-7 years old kids"/>
  </r>
  <r>
    <x v="71"/>
    <s v="Hongyi Jangkoon Royal Step 3"/>
    <s v="홍이장군 로얄 3단계 "/>
    <n v="20"/>
    <s v="ml"/>
    <n v="30"/>
    <n v="600"/>
    <n v="145000"/>
    <s v="20 x 1 time per day"/>
    <s v="Deer velvet"/>
    <s v="녹용"/>
    <x v="3"/>
    <x v="0"/>
    <s v="Pouch"/>
    <s v="New Zealand"/>
    <s v="800 shop-in-shop stores in department stores and hypermart stores, road shops; cable TV home shopping channels."/>
    <s v="8-10 years old kids"/>
  </r>
  <r>
    <x v="71"/>
    <s v="Cheon-Nok W"/>
    <s v="천녹W"/>
    <n v="70"/>
    <s v="ml"/>
    <n v="30"/>
    <n v="2100"/>
    <n v="260000"/>
    <s v="70 x 1 time per day"/>
    <s v="Deer velvet concentrate (solid component 16%) 1%"/>
    <s v="녹용 농축액 (고형분 16%) 1%"/>
    <x v="0"/>
    <x v="0"/>
    <s v="Pouch"/>
    <s v="New Zealand"/>
    <s v="KGC franchise stores "/>
    <s v="Women"/>
  </r>
  <r>
    <x v="71"/>
    <s v="Cheon-Nok S"/>
    <s v="천녹S"/>
    <n v="70"/>
    <s v="ml"/>
    <n v="30"/>
    <n v="2100"/>
    <n v="260000"/>
    <s v="70 x 1 time per day"/>
    <s v="Deer velvet concentrate (solid component 16%) 1.29%"/>
    <s v="녹용 농축액 (고형분 16%) 1.29%"/>
    <x v="7"/>
    <x v="0"/>
    <s v="Pouch"/>
    <s v="New Zealand"/>
    <s v="KGC franchise stores "/>
    <s v="Senior people"/>
  </r>
  <r>
    <x v="71"/>
    <s v="Hongyi Jangkoon Step 1 Immune Ssokssok"/>
    <s v="홍이장군 1단계 면역력 쑥쑥"/>
    <n v="15"/>
    <s v="ml"/>
    <n v="90"/>
    <n v="1350"/>
    <n v="215000"/>
    <s v="15 x 1 time per day"/>
    <s v="Deer velvet"/>
    <s v="녹용"/>
    <x v="7"/>
    <x v="0"/>
    <s v="Pouch"/>
    <s v="New Zealand"/>
    <s v="800 shop-in-shop stores in department stores and hypermart stores, road shops; cable TV home shopping channels."/>
    <s v="3-4 years old kids"/>
  </r>
  <r>
    <x v="71"/>
    <s v="Hongyi Jangkoon Step 2 Immune Ssokssok"/>
    <s v="홍이장군 2단계 면역력 쑥쑥"/>
    <n v="20"/>
    <s v="ml"/>
    <n v="90"/>
    <n v="1800"/>
    <n v="270000"/>
    <s v="20 x 1 time per day"/>
    <s v="Deer velvet"/>
    <s v="녹용"/>
    <x v="7"/>
    <x v="0"/>
    <s v="Pouch"/>
    <s v="New Zealand"/>
    <s v="800 shop-in-shop stores in department stores and hypermart stores, road shops; cable TV home shopping channels."/>
    <s v="5-7 years old kids"/>
  </r>
  <r>
    <x v="71"/>
    <s v="Hongyi Jangkoon Step 3 Immune Ssokssok"/>
    <s v="홍이장군 3단계 면역력 쑥쑥"/>
    <n v="20"/>
    <s v="ml"/>
    <n v="90"/>
    <n v="1800"/>
    <n v="305000"/>
    <s v="20 x 1 time per day"/>
    <s v="Deer velvet"/>
    <s v="녹용"/>
    <x v="7"/>
    <x v="0"/>
    <s v="Pouch"/>
    <s v="New Zealand"/>
    <s v="800 shop-in-shop stores in department stores and hypermart stores, road shops; cable TV home shopping channels."/>
    <s v="8-10 years old kids"/>
  </r>
  <r>
    <x v="71"/>
    <s v="CheonNok Ton"/>
    <s v="천녹톤"/>
    <n v="70"/>
    <s v="ml"/>
    <n v="60"/>
    <n v="4200"/>
    <n v="480000"/>
    <s v="70 x 2 times per day"/>
    <s v="Deer velvet concentrate (solid component 16%) 1%"/>
    <s v="녹용농축액(고형분 16%) 1%"/>
    <x v="9"/>
    <x v="0"/>
    <s v="Pouch"/>
    <s v="New Zealand"/>
    <s v="800 shop-in-shop stores in department stores and hypermart stores, road shops; cable TV home shopping channels."/>
    <s v="Adults"/>
  </r>
  <r>
    <x v="71"/>
    <s v="CheonNok Ton"/>
    <s v="천녹톤"/>
    <n v="70"/>
    <s v="ml"/>
    <n v="30"/>
    <n v="2100"/>
    <n v="260000"/>
    <s v="70 x 2 times per day"/>
    <s v="Deer velvet concentrate (solid component 16%) 1%"/>
    <s v="녹용농축액(고형분 16%) 1%"/>
    <x v="9"/>
    <x v="0"/>
    <s v="Pouch"/>
    <s v="New Zealand"/>
    <s v="800 shop-in-shop stores in department stores and hypermart stores, road shops; cable TV home shopping channels."/>
    <s v="Adults"/>
  </r>
  <r>
    <x v="71"/>
    <s v="CheonNok Yong Bang"/>
    <s v="천녹용방"/>
    <n v="50"/>
    <s v="ml"/>
    <n v="30"/>
    <n v="1500"/>
    <n v="160000"/>
    <s v="50 x 1-2 times per day"/>
    <s v="Deer velvet concentrate (solid component 16%) 0.7%"/>
    <s v="녹용농축액(고형분 16%) 0.7%"/>
    <x v="9"/>
    <x v="0"/>
    <s v="Pouch"/>
    <s v="New Zealand"/>
    <s v="800 shop-in-shop stores in department stores and hypermart stores, road shops; cable TV home shopping channels."/>
    <s v="Adults"/>
  </r>
  <r>
    <x v="71"/>
    <s v="HwaAeRak Hu"/>
    <s v="화애락 후"/>
    <n v="70"/>
    <s v="ml"/>
    <n v="30"/>
    <n v="2100"/>
    <n v="200000"/>
    <s v="70 x 1 time per day"/>
    <s v="Deer velvet concentrate"/>
    <s v="녹용농축액"/>
    <x v="6"/>
    <x v="0"/>
    <s v="Pouch"/>
    <s v="New Zealand"/>
    <s v="800 shop-in-shop stores in department stores and hypermart stores, road shops; cable TV home shopping channels."/>
    <s v="Women"/>
  </r>
  <r>
    <x v="71"/>
    <s v="CheonNok Jeong Every Time"/>
    <s v="천녹정 에브리타임"/>
    <n v="10"/>
    <s v="g"/>
    <n v="30"/>
    <n v="300"/>
    <n v="240000"/>
    <s v="10 x 2 times per day"/>
    <s v="Deer velvet concentrate (solid component 16%) 7%"/>
    <s v="녹용농축액(고형분 16%) 7%"/>
    <x v="9"/>
    <x v="0"/>
    <s v="Stick"/>
    <s v="New Zealand"/>
    <s v="800 shop-in-shop stores in department stores and hypermart stores, road shops; cable TV home shopping channels."/>
    <s v="Adults"/>
  </r>
  <r>
    <x v="71"/>
    <s v="CheonNok Be Strong"/>
    <s v="천녹 비스트롱"/>
    <n v="4"/>
    <s v="g"/>
    <n v="12"/>
    <n v="48"/>
    <n v="360000"/>
    <s v="4 x 1 time per day"/>
    <s v="Deer velvet concentrate powder 7.5%"/>
    <s v="녹용농축액분말 7.5%"/>
    <x v="2"/>
    <x v="2"/>
    <s v="Ball"/>
    <s v="New Zealand"/>
    <s v="800 shop-in-shop stores in department stores and hypermart stores, road shops; cable TV home shopping channels."/>
    <s v="Men"/>
  </r>
  <r>
    <x v="71"/>
    <s v="CheonNok Hanjae"/>
    <s v="천녹 한제"/>
    <n v="50"/>
    <s v="ml"/>
    <n v="20"/>
    <n v="1000"/>
    <n v="120000"/>
    <s v="50 x 2 time per day"/>
    <s v="Deer velvet concentrate (solid component 16%) 1%"/>
    <s v="녹용농축액(고형분 16%) 1%"/>
    <x v="2"/>
    <x v="2"/>
    <s v="Pouch"/>
    <s v="New Zealand"/>
    <s v="800 shop-in-shop stores in department stores and hypermart stores, road shops; cable TV home shopping channels."/>
    <s v="Adults"/>
  </r>
  <r>
    <x v="71"/>
    <s v="Ipass Power Stick"/>
    <s v="아이패스 파워스틱"/>
    <n v="20"/>
    <s v="ml"/>
    <n v="14"/>
    <n v="280"/>
    <n v="80000"/>
    <s v="20 x 1 time per day"/>
    <s v="Deer velvet extract powder"/>
    <s v="녹용추출물분말"/>
    <x v="2"/>
    <x v="10"/>
    <s v="Stick"/>
    <s v="New Zealand"/>
    <s v="800 shop-in-shop stores in department stores and hypermart stores, road shops; cable TV home shopping channels."/>
    <s v="Students"/>
  </r>
  <r>
    <x v="71"/>
    <s v="CheonNok Returning"/>
    <s v="천녹 리터닝"/>
    <n v="70"/>
    <s v="ml"/>
    <n v="10"/>
    <n v="700"/>
    <n v="100000"/>
    <s v="70 x 2 times per day"/>
    <s v="Deer velvet concentrate (solid component 16%) 1.29%"/>
    <s v="녹용농축액(고형분 16%) 1.29%"/>
    <x v="1"/>
    <x v="4"/>
    <s v="Pouch"/>
    <s v="New Zealand"/>
    <s v="800 shop-in-shop stores in department stores and hypermart stores, road shops; cable TV home shopping channels."/>
    <s v="Women"/>
  </r>
  <r>
    <x v="71"/>
    <s v="CheonNok Boosting"/>
    <s v="천녹 부스팅"/>
    <n v="50"/>
    <s v="ml"/>
    <n v="30"/>
    <n v="1500"/>
    <n v="220000"/>
    <s v="50 x 2 times per day"/>
    <s v="Deer velvet concentrate (solid component 16%) 1.8%"/>
    <s v="녹용농축액(고형분 16%) 1.8%"/>
    <x v="1"/>
    <x v="4"/>
    <s v="Pouch"/>
    <s v="New Zealand"/>
    <s v="800 shop-in-shop stores in department stores and hypermart stores, road shops; cable TV home shopping channels."/>
    <s v="Students"/>
  </r>
  <r>
    <x v="71"/>
    <s v="CheonNok Growing"/>
    <s v="천녹 그로잉"/>
    <n v="40"/>
    <s v="ml"/>
    <n v="30"/>
    <n v="1200"/>
    <n v="200000"/>
    <s v="40 x 2 times per day"/>
    <s v="Deer velvet concentrate (solid component 16%) 2.5%"/>
    <s v="녹용농축액(고형분 16%) 2.5%"/>
    <x v="1"/>
    <x v="9"/>
    <s v="Pouch"/>
    <s v="New Zealand"/>
    <s v="800 shop-in-shop stores in department stores and hypermart stores, road shops; cable TV home shopping channels."/>
    <s v="Kids"/>
  </r>
  <r>
    <x v="71"/>
    <s v="CheonNok Growing Kids U7"/>
    <s v="천녹 그로잉 키즈 U7"/>
    <n v="20"/>
    <s v="ml"/>
    <n v="20"/>
    <n v="400"/>
    <n v="105000"/>
    <s v="20 x 1 time per day"/>
    <s v="Deer velvet concentrate (solid component 16%) 3.45%"/>
    <s v="녹용농축액(고형분 16%) 3.45%"/>
    <x v="4"/>
    <x v="9"/>
    <s v="Pouch"/>
    <s v="New Zealand"/>
    <s v="800 shop-in-shop stores in department stores and hypermart stores, road shops; cable TV home shopping channels."/>
    <s v="Kids"/>
  </r>
  <r>
    <x v="71"/>
    <s v="Goodbase Black maca with deer velvet"/>
    <s v="녹용 담은 블랙마카 스틱"/>
    <n v="10"/>
    <s v="ml"/>
    <n v="30"/>
    <n v="300"/>
    <n v="59000"/>
    <s v="10 x 1-2 times per day"/>
    <s v="Deer velvet extract (solid component 0.5%) 1%"/>
    <s v="녹용추출액 1% (고형분 0.5%)"/>
    <x v="1"/>
    <x v="11"/>
    <s v="Stick"/>
    <s v="New Zealand"/>
    <s v="800 shop-in-shop stores in department stores and hypermart stores, road shops; cable TV home shopping channels."/>
    <s v="Adults"/>
  </r>
  <r>
    <x v="71"/>
    <s v="Jangsu:Yul Jangsu Tonic"/>
    <s v="장수:율 장수진액"/>
    <n v="50"/>
    <s v="ml"/>
    <n v="30"/>
    <n v="1500"/>
    <n v="210000"/>
    <s v="50 x 1 time per day"/>
    <s v="Deer velvet extract"/>
    <s v="녹용추출물"/>
    <x v="5"/>
    <x v="3"/>
    <s v="Pouch"/>
    <s v="New Zealand"/>
    <s v="800 shop-in-shop stores in department stores and hypermart stores, road shops; cable TV home shopping channels."/>
    <s v="Adults"/>
  </r>
  <r>
    <x v="72"/>
    <s v="Nokyong Daebo Hwal"/>
    <s v="녹용대보활"/>
    <n v="80"/>
    <s v="ml"/>
    <n v="30"/>
    <n v="2400"/>
    <n v="150000"/>
    <s v="80 x 1 time per day"/>
    <s v="Deer velvet extract (solid component 0.1%) 70.51%"/>
    <s v="녹용추출액 70.51% (고형분 0.1%)"/>
    <x v="0"/>
    <x v="0"/>
    <s v="Pouch"/>
    <s v="New Zealand"/>
    <s v="E-commerce"/>
    <s v="Adults"/>
  </r>
  <r>
    <x v="73"/>
    <s v="Fermented Red Ginseng Hwangsil Giryuk Dan"/>
    <s v="황실기력단"/>
    <n v="4"/>
    <s v="g"/>
    <n v="20"/>
    <n v="80"/>
    <n v="275500"/>
    <s v="4 x 1 time per day"/>
    <s v="Deer velvet powder, fermented deer velvet extract powder"/>
    <s v="녹용분말, 녹용발효추출분말"/>
    <x v="6"/>
    <x v="0"/>
    <s v="Ball"/>
    <s v="New Zealand"/>
    <s v="E-commerce"/>
    <s v="Adults"/>
  </r>
  <r>
    <x v="73"/>
    <s v="BalHyo Hongsam CheonJinNokBo"/>
    <s v="발효홍삼천진녹보"/>
    <n v="4"/>
    <s v="g"/>
    <n v="20"/>
    <n v="80"/>
    <n v="250000"/>
    <s v="4 x 1 time per day"/>
    <s v="Deer velvet powder 9%"/>
    <s v="녹용분말 9%"/>
    <x v="3"/>
    <x v="0"/>
    <s v="Ball"/>
    <s v="New Zealand"/>
    <s v="Korea Yakult's street carts"/>
    <s v="Adults"/>
  </r>
  <r>
    <x v="73"/>
    <s v="Fermented Red Ginseng Wongi Jinekk"/>
    <s v="발효홍삼원기진액"/>
    <n v="80"/>
    <s v="ml"/>
    <m/>
    <m/>
    <n v="5000"/>
    <s v="80 x 1 time per day"/>
    <s v="Deer velvet powder / balls 1250 mg (25 mg×5 balls) and liquid 80ml"/>
    <s v="녹용분말"/>
    <x v="6"/>
    <x v="0"/>
    <s v="Balls and liquid"/>
    <s v="New Zealand"/>
    <s v="Korea Yakult's street carts"/>
    <s v="Adults"/>
  </r>
  <r>
    <x v="73"/>
    <s v="Balhyo Hongsam Jin Nok Won"/>
    <s v="발효 홍삼 진녹원"/>
    <n v="80"/>
    <s v="ml"/>
    <n v="12"/>
    <n v="960"/>
    <n v="60000"/>
    <s v="80 x 1 time per day"/>
    <s v="Deer velvet concentrate "/>
    <s v="녹용 농축액 "/>
    <x v="0"/>
    <x v="0"/>
    <s v="Bottle"/>
    <s v="New Zealand"/>
    <s v="Door to door sales ladies"/>
    <s v="Adults"/>
  </r>
  <r>
    <x v="73"/>
    <s v="Balhyo NokyongCheon Dual Jin"/>
    <s v="발효녹용 녹용천 듀얼진"/>
    <n v="80"/>
    <s v="ml"/>
    <n v="1"/>
    <n v="80"/>
    <n v="5000"/>
    <s v=""/>
    <s v="Fermented deer velvet concentrate powder"/>
    <s v="발효녹용분말"/>
    <x v="2"/>
    <x v="0"/>
    <s v="Bottle"/>
    <s v="New Zealand"/>
    <s v="Door to door sales ladies, E-commerce"/>
    <s v="Adults"/>
  </r>
  <r>
    <x v="73"/>
    <s v="Balwhee Balhyo Nokyong The Nokyong"/>
    <s v="발휘 발효녹용 더녹용"/>
    <n v="80"/>
    <s v="ml"/>
    <n v="1"/>
    <n v="80"/>
    <n v="5000"/>
    <m/>
    <s v="Fermented deer velvet concentrate 616mg"/>
    <s v="발효녹용농축액 (고형분 20%) 0.707%"/>
    <x v="1"/>
    <x v="1"/>
    <s v="Bottle"/>
    <s v="New Zealand"/>
    <s v="Door to door sales ladies, E-commerce"/>
    <s v="Adults"/>
  </r>
  <r>
    <x v="73"/>
    <s v="Balwhee Balhyo NokyongJeong"/>
    <s v="발휘 발효녹용정"/>
    <n v="150"/>
    <s v="g"/>
    <n v="1"/>
    <n v="150"/>
    <n v="350000"/>
    <s v="4 x 2 times per day"/>
    <s v="Fermented deer velvet concentrate 15% (solid content 20.5%)"/>
    <s v="발효녹용농축액 (고형분 20.5%) 15%"/>
    <x v="4"/>
    <x v="8"/>
    <s v="Bottle"/>
    <s v="New Zealand"/>
    <s v="Door to door sales ladies, E-commerce"/>
    <s v="Adults"/>
  </r>
  <r>
    <x v="73"/>
    <s v="Balhyo NokyongCheongo"/>
    <s v="발효녹용 녹용천고"/>
    <n v="12"/>
    <s v="g"/>
    <n v="60"/>
    <n v="720"/>
    <n v="400000"/>
    <s v="12 x 1 time per day"/>
    <s v="Fermented deer velvet concentrate 5%, (Solid content 20.5%)"/>
    <s v="발효녹용농축액 (고형분 20.5%) 5%"/>
    <x v="2"/>
    <x v="0"/>
    <s v="Pouch"/>
    <s v="New Zealand"/>
    <s v="Door to door sales ladies, E-commerce"/>
    <s v="Adults"/>
  </r>
  <r>
    <x v="73"/>
    <s v="Nokyong Bogam stick"/>
    <s v="녹용보감 젤리스틱"/>
    <n v="17"/>
    <s v="g"/>
    <n v="14"/>
    <n v="238"/>
    <n v="49500"/>
    <s v="17 x 1 time per day"/>
    <s v="Fermented deer velvet concentrate 2.5%, (Solid content 20.5%)"/>
    <s v="발효녹용농축액(고형분 20.5%) 2.5%"/>
    <x v="1"/>
    <x v="4"/>
    <s v="Stick"/>
    <s v="New Zealand"/>
    <s v="Door to door sales ladies, E-commerce"/>
    <s v="Kids"/>
  </r>
  <r>
    <x v="73"/>
    <s v="Balwhee Nokyong Wonbo"/>
    <s v="발휘 녹용원보"/>
    <n v="80"/>
    <s v="ml"/>
    <n v="30"/>
    <n v="2400"/>
    <n v="450000"/>
    <s v="80 x 1 time per day"/>
    <s v="Fermented deer velvet concentrate 1.78% (solid content 20.5%)"/>
    <s v="발효녹용농축액 (고형분 20.5%) 1.78%"/>
    <x v="4"/>
    <x v="6"/>
    <s v="Pouch"/>
    <s v="New Zealand"/>
    <s v="Door to door sales ladies, E-commerce"/>
    <s v="Adults"/>
  </r>
  <r>
    <x v="74"/>
    <s v="Deer Velvet Sturgeon"/>
    <s v="광동거북원 녹용철갑상어"/>
    <n v="90"/>
    <s v="ml"/>
    <n v="30"/>
    <n v="2700"/>
    <n v="270000"/>
    <s v="90 x 1~2 time per day"/>
    <s v="Angelica Gigas, Deer Velvet, and Astragalus Root Composite Extract Powder"/>
    <s v="참당귀·녹용·황기복합추출물분말"/>
    <x v="15"/>
    <x v="12"/>
    <s v="Pouch"/>
    <s v="New Zealand "/>
    <s v="E-commerce"/>
    <s v="Adults"/>
  </r>
  <r>
    <x v="75"/>
    <s v="Gong Jin Chim Hyang Dan"/>
    <s v="공진 침향단"/>
    <n v="4"/>
    <s v="g"/>
    <n v="1"/>
    <n v="4"/>
    <n v="40000"/>
    <s v="4 x 1 time per day"/>
    <s v="Deer velvet"/>
    <s v="녹용"/>
    <x v="0"/>
    <x v="0"/>
    <s v="Ball"/>
    <s v="Russia"/>
    <s v="Hospital"/>
    <s v="Adults"/>
  </r>
  <r>
    <x v="76"/>
    <s v="Chimhyang Hwan"/>
    <s v="침향환"/>
    <n v="3.75"/>
    <s v="g"/>
    <n v="30"/>
    <n v="112.5"/>
    <n v="150000"/>
    <s v="3.75 x 1 time per day"/>
    <s v="Deer velvet powder 10%"/>
    <s v="녹용분말 10%"/>
    <x v="3"/>
    <x v="0"/>
    <s v="Ball"/>
    <s v="New Zealand "/>
    <s v="Onine shopping malls and cable TV home shopping channels"/>
    <s v="Adults"/>
  </r>
  <r>
    <x v="76"/>
    <s v="Chimhyang Hwan Premium"/>
    <s v="침향환 프리미엄"/>
    <n v="4"/>
    <s v="g"/>
    <n v="30"/>
    <n v="120"/>
    <n v="550000"/>
    <s v="4 x 1 time per day"/>
    <s v="Deer velvet powder 10%"/>
    <s v="녹용분말 10%"/>
    <x v="1"/>
    <x v="10"/>
    <s v="Ball"/>
    <s v="New Zealand "/>
    <s v="E-commerce, Call center"/>
    <s v="Adults"/>
  </r>
  <r>
    <x v="76"/>
    <s v="Kwangdong Chimhyang Candy"/>
    <s v="광동 침향 캔디"/>
    <n v="3.8"/>
    <s v="g"/>
    <n v="90"/>
    <n v="342"/>
    <n v="34800"/>
    <s v="-"/>
    <s v="Deer velvet 10%"/>
    <s v="녹용 10%"/>
    <x v="0"/>
    <x v="0"/>
    <s v="Candy"/>
    <s v="New Zealand"/>
    <s v="E-commerce"/>
    <s v="Adults"/>
  </r>
  <r>
    <x v="76"/>
    <s v="Kwangdong GongJinDan"/>
    <s v="광동 공진단"/>
    <n v="4"/>
    <s v="g"/>
    <n v="90"/>
    <n v="360"/>
    <n v="4000000"/>
    <s v="4 x 3 times per day"/>
    <s v="Deer velvet"/>
    <s v="녹용"/>
    <x v="10"/>
    <x v="0"/>
    <s v="Ball"/>
    <s v="Unspecified"/>
    <s v="Pharmacies"/>
    <s v="Adults"/>
  </r>
  <r>
    <x v="76"/>
    <s v="GinNokKyung"/>
    <s v="진녹경"/>
    <n v="20"/>
    <s v="ml"/>
    <n v="30"/>
    <n v="600"/>
    <m/>
    <s v="20 x 1 time per day"/>
    <m/>
    <m/>
    <x v="3"/>
    <x v="0"/>
    <s v="Bottle"/>
    <s v="New Zealand "/>
    <s v="Onine shopping malls and cable TV home shopping channels"/>
    <s v="Adults"/>
  </r>
  <r>
    <x v="76"/>
    <s v="Kwangdong Jeong-Nok-Cheong"/>
    <s v="광동 정녹청"/>
    <n v="50"/>
    <s v="ml"/>
    <n v="30"/>
    <n v="1500"/>
    <n v="148000"/>
    <s v="50 x 1 time per day"/>
    <s v="Deer velvet 0.3%"/>
    <s v="녹용 0.3%"/>
    <x v="7"/>
    <x v="0"/>
    <s v="Pouch"/>
    <s v="Russia"/>
    <s v="E-commerce"/>
    <s v="Adults"/>
  </r>
  <r>
    <x v="76"/>
    <s v="Hongsam Nokyong"/>
    <s v="홍삼녹용"/>
    <n v="50"/>
    <s v="ml"/>
    <n v="30"/>
    <n v="1500"/>
    <n v="25000"/>
    <s v="50 x 1-2 times per day"/>
    <s v="Deer velvet extract liquid (solid component 10%) 0.1%"/>
    <s v="녹용농축추출액(고형분 10%) 0.1%"/>
    <x v="10"/>
    <x v="0"/>
    <s v="Pouch"/>
    <s v="New Zealand "/>
    <s v="Onine shopping malls and cable TV home shopping channels"/>
    <s v="Adults"/>
  </r>
  <r>
    <x v="76"/>
    <s v="Kwangdong Euigam Nokyong"/>
    <s v="광동 의감녹용"/>
    <n v="10"/>
    <s v="g"/>
    <n v="30"/>
    <n v="300"/>
    <n v="99000"/>
    <s v="10 x 1-2 times per day"/>
    <s v="Fermented deer velvet concentrate (solid component over 3%) 3.4%"/>
    <s v="녹용발효농축원액(녹용 고형분 3%이상} 3.4%"/>
    <x v="6"/>
    <x v="0"/>
    <s v="Stick"/>
    <s v="New Zealand "/>
    <s v="Onine shopping malls and cable TV home shopping channels"/>
    <s v="Adults"/>
  </r>
  <r>
    <x v="76"/>
    <s v="Nokyong 12 Poom"/>
    <s v="녹용 십이품"/>
    <n v="48"/>
    <s v="g"/>
    <n v="5"/>
    <n v="240"/>
    <n v="110000"/>
    <s v="-"/>
    <s v="Deer velvet (upper part) [4g x 5 packs (20g)]"/>
    <s v="녹용(상대)[4 g X 5포(20 g]"/>
    <x v="8"/>
    <x v="0"/>
    <m/>
    <s v="New Zealand "/>
    <s v="Onine shopping malls and cable TV home shopping channels"/>
    <s v="Adults"/>
  </r>
  <r>
    <x v="76"/>
    <s v="Deer Velvet Prostate Supplement"/>
    <s v="녹용 전립선 보감"/>
    <n v="0.7"/>
    <s v="g"/>
    <n v="56"/>
    <n v="39.199999999999996"/>
    <n v="198000"/>
    <s v="0.7 x 2 times per day"/>
    <s v="Deer velvet Angelica Gigas Root complex extract"/>
    <s v="녹용당귀등 복합추출물"/>
    <x v="5"/>
    <x v="2"/>
    <s v="Capsule"/>
    <s v="New Zealand "/>
    <s v="Phone and e-commerce"/>
    <s v="Adults"/>
  </r>
  <r>
    <x v="76"/>
    <s v="Kwangdong Nokyong Bogam Ball"/>
    <s v="광동 메모리365 녹용보감환"/>
    <n v="4"/>
    <s v="g"/>
    <n v="30"/>
    <n v="120"/>
    <n v="250000"/>
    <s v="4 x 1 time per day"/>
    <s v="Deer velvet fermented extract powder"/>
    <s v="녹용발효추출분말"/>
    <x v="4"/>
    <x v="11"/>
    <s v="Ball"/>
    <s v="New Zealand "/>
    <s v="Phone and e-commerce"/>
    <s v="Adults"/>
  </r>
  <r>
    <x v="76"/>
    <s v="Kwangdong Nokyong Bogam Ball Gold"/>
    <s v="광동 메모리365 녹용보감환 골드"/>
    <n v="4.25"/>
    <s v="g"/>
    <n v="10"/>
    <n v="42.5"/>
    <n v="380000"/>
    <s v="4.25 x 1 time per day"/>
    <s v="Deer velvet fermented extract powder"/>
    <s v="녹용발효추출분말"/>
    <x v="4"/>
    <x v="11"/>
    <s v="Ball"/>
    <s v="New Zealand "/>
    <s v="Phone and e-commerce"/>
    <s v="Adults"/>
  </r>
  <r>
    <x v="76"/>
    <s v="Kwangdong Nokyong Bogam Stick"/>
    <s v="광동 메모리365 녹용보감고"/>
    <n v="20"/>
    <s v="g"/>
    <n v="30"/>
    <n v="600"/>
    <n v="250000"/>
    <s v="20 x 1-2 times per day"/>
    <s v="Deer velvet fermented extract"/>
    <s v="녹용발효추출액"/>
    <x v="4"/>
    <x v="11"/>
    <s v="Stick"/>
    <s v="New Zealand "/>
    <s v="Phone and e-commerce"/>
    <s v="Adults"/>
  </r>
  <r>
    <x v="76"/>
    <s v="Kwangdong Nokyong Sanghwang Liquid"/>
    <s v="광동 메모리365 녹용 상황진액"/>
    <n v="80"/>
    <s v="ml"/>
    <n v="30"/>
    <n v="2400"/>
    <n v="190000"/>
    <s v="80ml x 1 time per day"/>
    <s v="Deer velvet &amp; Meshima mushroom extract"/>
    <s v="녹용상황추출액"/>
    <x v="4"/>
    <x v="11"/>
    <s v="Pouch"/>
    <s v="New Zealand "/>
    <s v="Phone and e-commerce"/>
    <s v="Adults"/>
  </r>
  <r>
    <x v="77"/>
    <s v="Kyungbang Nogyong CheonLyuk Bo"/>
    <s v="경방 녹용천력보"/>
    <n v="75"/>
    <s v="ml"/>
    <n v="60"/>
    <n v="4500"/>
    <n v="55000"/>
    <s v="75 x 1 time per day"/>
    <s v="Deer velvet extracts (solid component 0.5%) 20%"/>
    <s v="녹용 추출액 (고형분 0.5%) 20%"/>
    <x v="2"/>
    <x v="0"/>
    <s v="Pouch"/>
    <s v="New Zealand"/>
    <s v="E-commerce"/>
    <s v="Adults"/>
  </r>
  <r>
    <x v="78"/>
    <s v="The Himchan Nokyong Ampoule"/>
    <s v="더힘찬 녹용앰플"/>
    <n v="20"/>
    <s v="ml"/>
    <n v="5"/>
    <n v="100"/>
    <n v="58000"/>
    <s v="20 x 1 time per day"/>
    <s v="Deer velvet extract (solid component 0.2%) 50%"/>
    <s v="녹용추출액 (고형분 0.2%) 50%"/>
    <x v="6"/>
    <x v="0"/>
    <s v="Ampule"/>
    <s v="New Zealand"/>
    <s v="E-commerce"/>
    <s v="Adults"/>
  </r>
  <r>
    <x v="78"/>
    <s v="Hwangje CheonYongDan"/>
    <s v="황제 천용단"/>
    <n v="3.75"/>
    <s v="g"/>
    <n v="30"/>
    <n v="112.5"/>
    <n v="298000"/>
    <s v="4 x 1-3 per day"/>
    <s v="Deer velvet extract powder"/>
    <s v="녹용추출 분말 "/>
    <x v="6"/>
    <x v="0"/>
    <s v="Ball"/>
    <s v="New Zealand"/>
    <s v="E-commerce"/>
    <s v="Adults"/>
  </r>
  <r>
    <x v="78"/>
    <s v="Hwangje NokyongDan"/>
    <s v="황제 녹용단"/>
    <n v="4.17"/>
    <s v="g"/>
    <n v="5"/>
    <n v="20.85"/>
    <n v="129000"/>
    <s v="4.17 x 1 time per day"/>
    <s v="Deer velvet powder 15%"/>
    <s v="녹용분말 15%"/>
    <x v="6"/>
    <x v="0"/>
    <s v="Ball"/>
    <s v="New Zealand"/>
    <s v="E-commerce"/>
    <s v="Adults"/>
  </r>
  <r>
    <x v="78"/>
    <s v="Hwangje GongBit Dan "/>
    <s v="황제공빛단"/>
    <n v="3.75"/>
    <s v="g"/>
    <n v="60"/>
    <n v="225"/>
    <n v="198000"/>
    <s v="3.75 x 1 time per day"/>
    <s v="Deer velvet extract powder 5%"/>
    <s v="녹용 추출 분말 5%"/>
    <x v="0"/>
    <x v="0"/>
    <s v="Ball"/>
    <s v="New Zealand"/>
    <s v="Internet shopping malls"/>
    <s v="Adults"/>
  </r>
  <r>
    <x v="78"/>
    <s v="Lee Gyungje The Himchan 60 Bungol Nokyong Dan"/>
    <s v="더힘찬 60분골 녹용단"/>
    <n v="3.5"/>
    <s v="g"/>
    <n v="100"/>
    <n v="350"/>
    <n v="699000"/>
    <s v="3.5 x 1 time per day"/>
    <s v="Deer velvet bungol powder 20%"/>
    <s v="녹용 분골 분말 20%"/>
    <x v="0"/>
    <x v="0"/>
    <s v="Ball"/>
    <s v="New Zealand"/>
    <s v="Lotte cable TV home shipping channel, E-commerce"/>
    <s v="Adults"/>
  </r>
  <r>
    <x v="78"/>
    <s v="Hwangje GongBit Dan Gold"/>
    <s v="황제공빛단 골드"/>
    <n v="4"/>
    <s v="g"/>
    <n v="60"/>
    <n v="240"/>
    <n v="198000"/>
    <s v="4 x 1 time per day"/>
    <s v="Deer velvet extract powder (solid component 10%) 5%"/>
    <s v="녹용 추출 분말 (고형분 10%) 5%"/>
    <x v="0"/>
    <x v="0"/>
    <s v="Ball"/>
    <s v="New Zealand"/>
    <s v="Lotte cable TV home shipping channel, E-commerce"/>
    <s v="Adults"/>
  </r>
  <r>
    <x v="78"/>
    <s v="Hwangje CheonYongGo"/>
    <s v="황제 천용고"/>
    <n v="1"/>
    <s v="Kg"/>
    <n v="1"/>
    <n v="1"/>
    <n v="298000"/>
    <s v="10 x 2 times per day"/>
    <s v="Deer velvet mixed extract"/>
    <s v="녹용 혼합 추출물 (고형분 0.2%) 2%"/>
    <x v="6"/>
    <x v="0"/>
    <s v="Jar"/>
    <s v="New Zealand"/>
    <s v="E-commerce"/>
    <s v="Adults"/>
  </r>
  <r>
    <x v="78"/>
    <s v="The Himchan NokyongGo"/>
    <s v="더힘찬 녹용고"/>
    <n v="50"/>
    <s v="g"/>
    <n v="1"/>
    <n v="50"/>
    <n v="90000"/>
    <s v="3-5 x 1-2 times per day"/>
    <s v="Deer velvet extract powder"/>
    <s v="녹용추출분말"/>
    <x v="6"/>
    <x v="0"/>
    <s v="Jar"/>
    <s v="New Zealand"/>
    <s v="E-commerce"/>
    <s v="Adults"/>
  </r>
  <r>
    <x v="78"/>
    <s v="The Himchan Nokyong JinAek "/>
    <s v="더힘찬 녹용진액"/>
    <n v="100"/>
    <s v="ml"/>
    <n v="3"/>
    <n v="300"/>
    <n v="300000"/>
    <m/>
    <m/>
    <m/>
    <x v="6"/>
    <x v="0"/>
    <s v="Jar"/>
    <s v="New Zealand"/>
    <s v="E-commerce"/>
    <s v="Adults"/>
  </r>
  <r>
    <x v="78"/>
    <s v="Hwangje CheonYongJinAk"/>
    <s v="황제 천용진액"/>
    <n v="70"/>
    <s v="ml"/>
    <n v="30"/>
    <n v="2100"/>
    <n v="158000"/>
    <s v="70 x 1 time per day"/>
    <s v="Deer velvet mixed extract"/>
    <s v="녹용 혼합 추출물 (고형분 0.2%) 64%"/>
    <x v="6"/>
    <x v="0"/>
    <s v="Pouch"/>
    <s v="New Zealand"/>
    <s v="E-commerce"/>
    <s v="Adults"/>
  </r>
  <r>
    <x v="78"/>
    <s v="The Himchan I Nokyong Hongsam"/>
    <s v="더힘찬 아이 녹용 홍삼"/>
    <n v="20"/>
    <s v="ml"/>
    <n v="30"/>
    <n v="600"/>
    <n v="99000"/>
    <s v="20 x 1 time per day"/>
    <s v="Deer velvet extract (solid component 0.1%) 15%"/>
    <s v="녹용추출액 (고형분 0.1%) 15%"/>
    <x v="6"/>
    <x v="0"/>
    <s v="Pouch"/>
    <s v="New Zealand"/>
    <s v="E-commerce"/>
    <s v="Children"/>
  </r>
  <r>
    <x v="78"/>
    <s v="The Himchan Nokyong"/>
    <s v="더힘찬 녹용"/>
    <n v="60"/>
    <s v="ml"/>
    <n v="30"/>
    <n v="1800"/>
    <n v="85000"/>
    <s v="60 x 1 time per day"/>
    <s v="Deer velvet extract liquid (solid component 0.1%) 70%"/>
    <s v="녹용추출액(고형분0.1%) 70%"/>
    <x v="6"/>
    <x v="0"/>
    <s v="Pouch"/>
    <s v="New Zealand"/>
    <s v="E-commerce"/>
    <s v="Adults"/>
  </r>
  <r>
    <x v="78"/>
    <s v="Hwangje GongBit Jinaek Gold"/>
    <s v="황제공빛단 진액 골드"/>
    <n v="50"/>
    <s v="ml"/>
    <n v="30"/>
    <n v="1500"/>
    <n v="40000"/>
    <s v="50 x 1 time per day"/>
    <s v=" Deer velvet extract (solid component 0.1%) 1%"/>
    <s v="녹용 추출액 (고형분 0.1%) 1%"/>
    <x v="0"/>
    <x v="0"/>
    <s v="Pouch"/>
    <s v="New Zealand"/>
    <s v="Lotte cable TV home shipping channel, E-commerce"/>
    <s v="Adults"/>
  </r>
  <r>
    <x v="78"/>
    <s v="The Himchan Nogyong Gummie"/>
    <s v="더힘찬 녹용구미"/>
    <n v="30"/>
    <s v="g"/>
    <n v="50"/>
    <n v="1500"/>
    <n v="93100"/>
    <m/>
    <s v="Deer velvet extract 5% (solid component 6.25%) "/>
    <s v="녹용추출액 5% (고형분 6.25%)"/>
    <x v="3"/>
    <x v="0"/>
    <s v="Pouch"/>
    <s v="New Zealand"/>
    <s v="E-commerce"/>
    <s v="Adults and children"/>
  </r>
  <r>
    <x v="78"/>
    <s v="Kids Wang Nogyong"/>
    <s v="키즈왕녹용"/>
    <n v="1.8"/>
    <s v="g"/>
    <n v="90"/>
    <n v="162"/>
    <n v="179000"/>
    <s v="1.8 x 1 time per day"/>
    <s v="Deer velvet bungol powder 10%"/>
    <s v="녹용 분골 분말 10%"/>
    <x v="0"/>
    <x v="0"/>
    <s v="powder/stick"/>
    <s v="New Zealand"/>
    <s v="Lotte cable TV home shipping channel, E-commerce"/>
    <s v="Kids"/>
  </r>
  <r>
    <x v="78"/>
    <s v="The Himchan Nokyong Stick"/>
    <s v="더힘찬 녹용 스틱"/>
    <n v="10"/>
    <s v="g"/>
    <n v="30"/>
    <n v="300"/>
    <n v="138000"/>
    <s v="10 x 1 time per day"/>
    <s v="Deer velvet extract powder (solid component 0.5%) 38%"/>
    <s v="녹용추출분말 (고형분 0.5%) 38%"/>
    <x v="6"/>
    <x v="0"/>
    <s v="Stick"/>
    <s v="New Zealand"/>
    <s v="E-commerce"/>
    <s v="Adults"/>
  </r>
  <r>
    <x v="78"/>
    <s v="Lee Gyungje TongKoeHan Nogyong Cream"/>
    <s v="이경제 통쾌한 녹용크림"/>
    <n v="120"/>
    <s v="mg"/>
    <n v="2"/>
    <n v="240"/>
    <n v="74100"/>
    <m/>
    <s v="Deer velvet extract 75%"/>
    <s v="녹용추출액 75%"/>
    <x v="3"/>
    <x v="0"/>
    <m/>
    <s v="New Zealand"/>
    <s v="E-commerce"/>
    <s v="Adults"/>
  </r>
  <r>
    <x v="79"/>
    <s v="Tae-Ja-Rok"/>
    <s v="태자록"/>
    <n v="20"/>
    <s v="ml"/>
    <n v="30"/>
    <n v="600"/>
    <n v="100000"/>
    <s v="20 x 1 time per day"/>
    <s v="Fermented deer velvet extract powder 54.5mg"/>
    <s v="발효녹용추출물분말 54.5 mg"/>
    <x v="12"/>
    <x v="0"/>
    <s v="Pouch"/>
    <s v="New Zealand "/>
    <s v="Door-to-door sales channel with 540 regional distributors and 22,000 lady counsellors"/>
    <s v="Children"/>
  </r>
  <r>
    <x v="79"/>
    <s v="Jinhyo Nokyong Won"/>
    <s v="진효 녹용원"/>
    <n v="70"/>
    <s v="ml"/>
    <n v="30"/>
    <n v="2100"/>
    <n v="180000"/>
    <s v="70 x 1 time per day"/>
    <s v="Fermented deer velvet extract powder 0.17%"/>
    <s v="발효녹용추출분말 0.17%"/>
    <x v="9"/>
    <x v="0"/>
    <s v="Pouch"/>
    <s v="New Zealand "/>
    <s v="Door-to-door sales channel with 540 regional distributors and 22,000 lady counsellors"/>
    <s v="Adults"/>
  </r>
  <r>
    <x v="79"/>
    <s v="Jinhyo Nokyong Bon Daily"/>
    <s v="진효 녹용본 데일리"/>
    <n v="100"/>
    <s v="mg"/>
    <n v="30"/>
    <n v="3000"/>
    <n v="140000"/>
    <s v="100 x 1 time per day "/>
    <s v="Fermented deer velvet extract powder 0.8%"/>
    <s v="발효녹용추출분말 0.8%"/>
    <x v="6"/>
    <x v="0"/>
    <s v="Stick"/>
    <s v="New Zealand "/>
    <s v="Door-to-door sales channel with 540 regional distributors and 22,000 lady counsellors"/>
    <s v="Adults"/>
  </r>
  <r>
    <x v="79"/>
    <s v="Nokyongwon Balhyo Jinaekk"/>
    <s v="생활정원 녹용원 발효진액"/>
    <n v="70"/>
    <s v="ml"/>
    <n v="30"/>
    <n v="2100"/>
    <n v="79800"/>
    <s v="70 x 1 time per day "/>
    <s v="Deer velvet complex extract (solid component 3.5%) 83.8%"/>
    <s v="녹용혼합추출액 83.8%[(고형분 3.5% 이상)"/>
    <x v="1"/>
    <x v="1"/>
    <s v="Pouch"/>
    <s v="New Zealand "/>
    <s v="Door-to-door sales channel with 540 regional distributors and 22,000 lady counsellors"/>
    <s v="Adults"/>
  </r>
  <r>
    <x v="79"/>
    <s v="Nutrition Gummy Balance Care"/>
    <s v="공진구미 밸런스 케어"/>
    <n v="4.5"/>
    <s v="g"/>
    <n v="30"/>
    <n v="135"/>
    <n v="58000"/>
    <s v="4.5g x 1 time per day"/>
    <s v="Fermented deer velvet extract powder"/>
    <s v="발효녹용추출분말"/>
    <x v="4"/>
    <x v="4"/>
    <s v="Candy"/>
    <s v="Unspecified"/>
    <s v="Door-to-door sales channel with 540 regional distributors and 22,000 lady counsellors"/>
    <s v="Adults"/>
  </r>
  <r>
    <x v="80"/>
    <s v="Kim So-Hyung Sambon Chim-Hyang-Hwan"/>
    <s v="김소형 삼본 침향환"/>
    <n v="3.75"/>
    <s v="g"/>
    <n v="60"/>
    <n v="225"/>
    <n v="89000"/>
    <s v="3.75 x 1 time per day"/>
    <s v="Deer velvet"/>
    <s v="녹용"/>
    <x v="7"/>
    <x v="0"/>
    <s v="Ball"/>
    <s v="Russia"/>
    <s v="E-commerce"/>
    <s v="Adults"/>
  </r>
  <r>
    <x v="81"/>
    <s v="HwangJak Nokyong Jinaekk"/>
    <s v="황작 녹용 진액"/>
    <n v="50"/>
    <s v="ml"/>
    <n v="30"/>
    <n v="1500"/>
    <n v="34900"/>
    <s v="50 x 1 time per day"/>
    <s v="Deer velvet 0.1%"/>
    <s v="녹용 0.1%"/>
    <x v="6"/>
    <x v="0"/>
    <s v="Pouch"/>
    <s v="New Zealand"/>
    <s v="E-commerce"/>
    <s v="Adults"/>
  </r>
  <r>
    <x v="82"/>
    <s v="Hav'eat Chimhyang Hwan"/>
    <s v="해빗 침향환"/>
    <n v="3.7"/>
    <s v="g"/>
    <n v="100"/>
    <n v="370"/>
    <n v="79800"/>
    <s v="3.7 x 1 time per day"/>
    <s v="Deer velvet powder"/>
    <s v="녹용분말"/>
    <x v="0"/>
    <x v="0"/>
    <s v="Ball"/>
    <s v="New Zealand "/>
    <s v="Lotte Mart stores"/>
    <s v="Adults"/>
  </r>
  <r>
    <x v="83"/>
    <s v="Chimhyang Dan"/>
    <s v="침향단"/>
    <n v="4.5999999999999996"/>
    <s v="g"/>
    <n v="20"/>
    <n v="92"/>
    <n v="199000"/>
    <s v="5 x 1 time per day"/>
    <s v="Deer velvet powder"/>
    <s v="녹용분말"/>
    <x v="6"/>
    <x v="0"/>
    <s v="Ball"/>
    <s v="New Zealand"/>
    <s v="E-commerce and cable TV home shopping channels"/>
    <s v="Adults"/>
  </r>
  <r>
    <x v="83"/>
    <s v="Jinsim Balhyo Nokyong Whan"/>
    <s v="진심 발효 녹용환"/>
    <n v="3.75"/>
    <s v="g"/>
    <n v="30"/>
    <n v="112.5"/>
    <n v="198000"/>
    <s v="3.75 x 1 time per day"/>
    <s v="Fermented deer velvet powder 3%"/>
    <s v="발효녹용분말 3%"/>
    <x v="0"/>
    <x v="0"/>
    <s v="Ball"/>
    <s v="New Zealand"/>
    <s v="E-commerce"/>
    <s v="Adults"/>
  </r>
  <r>
    <x v="83"/>
    <s v="Park's Nokyong Hwalryeok Plus"/>
    <s v="녹용 활력 플러스"/>
    <n v="60"/>
    <s v="ml"/>
    <n v="30"/>
    <n v="1800"/>
    <n v="29800"/>
    <s v="60 x 1-2 times per day"/>
    <s v="Deer velvet extract liquid (solid component 0.1%) 20%"/>
    <s v="녹용추출액(고형분0.1%) 20%"/>
    <x v="13"/>
    <x v="0"/>
    <s v="Pouch"/>
    <s v="New Zealand"/>
    <s v="E-commerce and cable TV home shopping channels"/>
    <s v="Adults"/>
  </r>
  <r>
    <x v="83"/>
    <s v="Park's Nokyong Hwalryeok Shin"/>
    <s v="녹용 활력신"/>
    <n v="50"/>
    <s v="ml"/>
    <n v="30"/>
    <n v="1500"/>
    <n v="49800"/>
    <s v="60 x 1-2 times per day"/>
    <s v="Deer velvet extract liquid (solid component 0.1%) 75%"/>
    <s v="녹용추출액(고형분0.1%) 75%"/>
    <x v="6"/>
    <x v="0"/>
    <s v="Pouch"/>
    <s v="New Zealand"/>
    <s v="E-commerce and cable TV home shopping channels"/>
    <s v="Adults"/>
  </r>
  <r>
    <x v="83"/>
    <s v="Park Kyungho Nokyong Hwalryeok Myungjak"/>
    <s v="박경호 녹용 활력 명작"/>
    <n v="50"/>
    <s v="ml"/>
    <n v="120"/>
    <n v="6000"/>
    <n v="138000"/>
    <s v="50 x 1-2 times per day"/>
    <s v="Deer velvet extract (solid component 0.15%) 55%"/>
    <s v="녹용추출액 55% (고형분 0.15%)"/>
    <x v="0"/>
    <x v="0"/>
    <s v="Pouch"/>
    <s v="New Zealand"/>
    <s v="Cable TV homeshopping channels"/>
    <s v="Adults"/>
  </r>
  <r>
    <x v="84"/>
    <s v="Hongsam Jin Daily"/>
    <s v="홍삼진 데일리"/>
    <n v="10"/>
    <s v="g"/>
    <n v="30"/>
    <n v="300"/>
    <n v="80000"/>
    <s v="10 x 1 time per day"/>
    <s v="Deer velvet extract powder"/>
    <s v="녹용추출분말"/>
    <x v="3"/>
    <x v="0"/>
    <s v="Stick"/>
    <s v="New Zealand"/>
    <s v="E-commerce"/>
    <s v="Adults"/>
  </r>
  <r>
    <x v="85"/>
    <s v="Meta Fermented Nokyong 1 bottle"/>
    <s v="메타 발효 녹용 1병"/>
    <n v="30"/>
    <s v="g"/>
    <n v="1"/>
    <n v="30"/>
    <n v="49000"/>
    <s v="3 x 1 time per day"/>
    <s v="Deer velvet concentrate powder 2.5%"/>
    <s v="녹용추출분말 2.5%"/>
    <x v="0"/>
    <x v="0"/>
    <s v="Bottle"/>
    <s v="New Zealand"/>
    <s v="E-commerce"/>
    <s v="Adults"/>
  </r>
  <r>
    <x v="85"/>
    <s v="Meta Balhyo Nogyong"/>
    <s v="메타 발효 녹용"/>
    <n v="30"/>
    <s v="g"/>
    <n v="3"/>
    <n v="90"/>
    <n v="129000"/>
    <s v="3gr x 1 time per day"/>
    <s v="Fermented deer velvet extract powder 2.5%"/>
    <s v="녹용 발효 추출 분말 2.5%"/>
    <x v="3"/>
    <x v="0"/>
    <s v="Bottle"/>
    <s v="New Zealand"/>
    <s v="NS cable TV home shopping channel and E-commerce"/>
    <s v="Adults and children"/>
  </r>
  <r>
    <x v="86"/>
    <s v="SongGangDang Jinbo Ganghwang"/>
    <s v="송강당 진보강황"/>
    <n v="10"/>
    <s v="g"/>
    <n v="30"/>
    <n v="300"/>
    <n v="298000"/>
    <s v="10 x 1-2 times per day"/>
    <s v="Deer velvet 10%"/>
    <s v="녹용 10%"/>
    <x v="6"/>
    <x v="0"/>
    <s v="Stick"/>
    <s v="Russia "/>
    <s v="E-commerce"/>
    <s v="Adults"/>
  </r>
  <r>
    <x v="87"/>
    <s v="Mat It Neun Nokyong (Delicious Deer Velvet)"/>
    <s v="맛있는 녹용"/>
    <n v="60"/>
    <s v="ml"/>
    <n v="30"/>
    <n v="1800"/>
    <n v="45000"/>
    <s v="60 x 1 time per day"/>
    <s v="Deer velvet extract (solid component 1%) 1%"/>
    <s v="녹용추출액 1% (고형분 1%)"/>
    <x v="0"/>
    <x v="0"/>
    <s v="Pouch"/>
    <s v="Korea"/>
    <s v="E-commerce"/>
    <s v="Adults "/>
  </r>
  <r>
    <x v="87"/>
    <s v="Him &amp; Young"/>
    <s v="힘엔용"/>
    <n v="60"/>
    <s v="ml"/>
    <n v="30"/>
    <n v="1800"/>
    <n v="288000"/>
    <s v="60ml x 1 time per day"/>
    <s v="Deer velvet extract (solid component 0.1%) 83%"/>
    <s v="녹용 추출액 (고형분 0.1%) 83%"/>
    <x v="3"/>
    <x v="0"/>
    <s v="Pouch"/>
    <s v="Korea"/>
    <s v="E-commerce"/>
    <s v="Men"/>
  </r>
  <r>
    <x v="87"/>
    <s v="Kee &amp; Young"/>
    <s v="키엔용"/>
    <n v="50"/>
    <s v="ml"/>
    <n v="30"/>
    <n v="1500"/>
    <n v="158000"/>
    <s v="50ml x 1 time per day"/>
    <s v="Deer velvet extract (solid component 0.1%) 8%"/>
    <s v="녹용 추출액 (고형분 0.1%) 8%"/>
    <x v="3"/>
    <x v="0"/>
    <s v="Pouch"/>
    <s v="Korea"/>
    <m/>
    <s v="Students"/>
  </r>
  <r>
    <x v="87"/>
    <s v="Ki &amp; Young"/>
    <s v="키엔용"/>
    <n v="80"/>
    <s v="ml"/>
    <n v="10"/>
    <n v="800"/>
    <n v="50000"/>
    <s v="80ml x 1 time per day"/>
    <s v="Deer velvet extract (solid component 0.1%) 20%"/>
    <s v="녹용 추출액 (고형분 0.1%) 20%"/>
    <x v="3"/>
    <x v="0"/>
    <s v="Pouch"/>
    <s v="Korea"/>
    <m/>
    <s v="Children"/>
  </r>
  <r>
    <x v="87"/>
    <s v="Ki &amp; Young Plus"/>
    <s v="키엔용 플러스"/>
    <n v="80"/>
    <s v="ml"/>
    <n v="10"/>
    <n v="800"/>
    <n v="55000"/>
    <s v="80ml x 1 time per day"/>
    <s v="Deer velvet extract (solid component 0.1%) 30%"/>
    <s v="녹용 추출액 (고형분 0.1%) 30%"/>
    <x v="3"/>
    <x v="0"/>
    <s v="Pouch"/>
    <s v="Korea"/>
    <m/>
    <s v="Elementary students"/>
  </r>
  <r>
    <x v="87"/>
    <s v="Achim (meaning ‘morning’) Nogyong"/>
    <s v="아침 녹용"/>
    <n v="10"/>
    <s v="g"/>
    <n v="28"/>
    <n v="280"/>
    <n v="29000"/>
    <s v="10 x 1 time per day"/>
    <s v="Deer velvet extract (solid component 0.1%) 30%"/>
    <s v="녹용추출액 30% (고형분 0.1%)"/>
    <x v="7"/>
    <x v="0"/>
    <s v="Stick"/>
    <s v="Korea"/>
    <s v="E-commerce"/>
    <s v="Adults "/>
  </r>
  <r>
    <x v="87"/>
    <s v="Mee &amp; Young"/>
    <s v="미엔용"/>
    <n v="10"/>
    <s v="ml"/>
    <n v="30"/>
    <n v="300"/>
    <n v="238000"/>
    <s v="10ml x 1 time per day"/>
    <s v="Deer velvet extract (solid component 0.1%) 50%"/>
    <s v="녹용 추출액 (고형분 0.1%) 50%"/>
    <x v="3"/>
    <x v="0"/>
    <s v="Stick"/>
    <s v="Korea"/>
    <m/>
    <s v="Women"/>
  </r>
  <r>
    <x v="87"/>
    <s v="HimNae Young"/>
    <s v="힘내용"/>
    <n v="10"/>
    <s v="ml"/>
    <n v="10"/>
    <n v="100"/>
    <n v="30000"/>
    <s v="10ml x 1 time per day"/>
    <s v="Deer velvet extract (solid component 0.1%) 40%"/>
    <s v="녹용 추출액 (고형분 0.1%) 40%"/>
    <x v="3"/>
    <x v="0"/>
    <s v="Stick"/>
    <s v="Korea"/>
    <m/>
    <s v="Adults"/>
  </r>
  <r>
    <x v="88"/>
    <s v="CheonHongRok Jeong Premium"/>
    <s v="천홍록 정 프리미엄"/>
    <n v="10"/>
    <s v="g"/>
    <n v="10"/>
    <n v="100"/>
    <n v="35000"/>
    <s v="10 x 1 time per day"/>
    <s v="Deer velvet extract (solid component 3%) 1%"/>
    <s v="녹용추출액 1% (고형분 3%)"/>
    <x v="0"/>
    <x v="0"/>
    <s v="Stick"/>
    <s v="New Zealand"/>
    <s v="E-commerce"/>
    <s v="Adults"/>
  </r>
  <r>
    <x v="89"/>
    <s v="Super Meal Nokyong"/>
    <s v="슈퍼밀 녹용"/>
    <n v="30"/>
    <s v="g"/>
    <n v="15"/>
    <n v="450"/>
    <n v="79000"/>
    <s v="30 x 2 times per day "/>
    <s v="Deer velvet powder 0.13%"/>
    <s v="녹용분말 0.13%"/>
    <x v="0"/>
    <x v="0"/>
    <s v="Pouch"/>
    <s v="Russia"/>
    <s v="E-commerce"/>
    <s v="Adults"/>
  </r>
  <r>
    <x v="90"/>
    <s v="Wang Hye Moon Nokyong Bogam"/>
    <s v="왕혜문 녹용보감"/>
    <n v="60"/>
    <s v="ml"/>
    <n v="30"/>
    <n v="1800"/>
    <n v="34460"/>
    <s v="60 x 1 time per day"/>
    <s v="Deer velvet extract (solid component over 0.1%, purified water, deer velvet) 92%"/>
    <s v="녹용추출물 (고형분 0.1% 이상, 정제수, 녹용) 92%"/>
    <x v="6"/>
    <x v="0"/>
    <s v="Pouch"/>
    <s v="Korea"/>
    <s v="E-commerce"/>
    <s v="Adults"/>
  </r>
  <r>
    <x v="90"/>
    <s v="Wang Hye Moon Nokyong Jinekk"/>
    <s v="왕혜문 녹용진액"/>
    <n v="10"/>
    <s v="g"/>
    <n v="30"/>
    <n v="300"/>
    <n v="59000"/>
    <s v="10 x 1 time per day"/>
    <s v="Deer velvet concentrate (solid component 20%) 0.6%"/>
    <s v="녹용농축액 (고형분 20%) 0.6%"/>
    <x v="6"/>
    <x v="0"/>
    <s v="Stick"/>
    <s v="Korea"/>
    <m/>
    <s v="Adults"/>
  </r>
  <r>
    <x v="91"/>
    <s v="Re-floral"/>
    <s v="리플로라"/>
    <n v="80"/>
    <s v="ml"/>
    <n v="30"/>
    <n v="2400"/>
    <n v="150000"/>
    <s v="80ml x 1 time per day"/>
    <s v="Deer velvet extract 1.25%"/>
    <s v="녹용농축액 1.25%"/>
    <x v="2"/>
    <x v="2"/>
    <s v="Pouch"/>
    <s v="Korea"/>
    <s v="E-commerce"/>
    <s v="Adults"/>
  </r>
  <r>
    <x v="91"/>
    <s v="Smart &amp; Strong"/>
    <s v="스마트앤튼튼"/>
    <n v="25"/>
    <s v="g"/>
    <n v="30"/>
    <n v="750"/>
    <n v="38000"/>
    <s v="25g x 1 time per day"/>
    <s v="Deer velvet extract (solid component 20%)"/>
    <s v="녹용농축액 (고형분 20%)"/>
    <x v="2"/>
    <x v="2"/>
    <s v="Stick"/>
    <s v="Korea"/>
    <s v="E-commerce"/>
    <s v="Students"/>
  </r>
  <r>
    <x v="92"/>
    <s v="Balhyo Chimhyung Nokyong"/>
    <s v="발표침향녹용"/>
    <n v="10"/>
    <s v="g"/>
    <n v="60"/>
    <n v="600"/>
    <n v="199000"/>
    <s v="10 x 1 time per day"/>
    <s v="Fermented deer velvet extract"/>
    <s v="발효침향녹용복합농축액, 발효녹용농축액"/>
    <x v="1"/>
    <x v="12"/>
    <s v="Pouch"/>
    <s v="New Zealand"/>
    <s v="E-commerce"/>
    <s v="Adults"/>
  </r>
  <r>
    <x v="92"/>
    <s v="Black Goat Extract"/>
    <s v="흑염소 진액"/>
    <n v="50"/>
    <s v="ml"/>
    <n v="30"/>
    <n v="1500"/>
    <n v="86000"/>
    <s v="50 x 1-2 times per day"/>
    <s v="Fermented deer velvet extract"/>
    <s v="발효녹용농축액"/>
    <x v="5"/>
    <x v="7"/>
    <s v="Pouch"/>
    <s v="New Zealand"/>
    <s v="E-commerce"/>
    <s v="Adults"/>
  </r>
  <r>
    <x v="93"/>
    <s v="Premium Nogyong Jin"/>
    <s v="더생 프리미엄 녹용진"/>
    <n v="10"/>
    <s v="ml"/>
    <n v="28"/>
    <n v="280"/>
    <n v="99000"/>
    <s v="10 x 1 time per day"/>
    <m/>
    <m/>
    <x v="7"/>
    <x v="0"/>
    <s v="Stick"/>
    <s v="New Zealand "/>
    <s v="Online and cable TV homeshopping channels"/>
    <s v="Adults"/>
  </r>
  <r>
    <x v="94"/>
    <s v="Samnoki"/>
    <s v="삼녹이"/>
    <n v="12"/>
    <s v="ml"/>
    <n v="30"/>
    <n v="360"/>
    <n v="54000"/>
    <s v="12 x 1 time per day"/>
    <s v="Fermented deer velvet extract"/>
    <s v="발효녹용추출액"/>
    <x v="7"/>
    <x v="0"/>
    <s v="Stick"/>
    <s v="Unspecified"/>
    <s v="E-commerce"/>
    <s v="Adults"/>
  </r>
  <r>
    <x v="95"/>
    <s v="San Nok Sam Gold"/>
    <s v="산녹삼 골드"/>
    <n v="100"/>
    <s v="ml"/>
    <n v="30"/>
    <n v="3000"/>
    <n v="180000"/>
    <s v="100 x 1 time per day "/>
    <s v="Deer velvet mixed extract 83% (solid component over 1.0%)"/>
    <s v="녹용혼합추출물 83%[(고형분 1.0% 이상)"/>
    <x v="5"/>
    <x v="8"/>
    <s v="Pouch"/>
    <s v="New Zealand "/>
    <s v="E-commerce and door-to-door sales"/>
    <s v="Adults"/>
  </r>
  <r>
    <x v="95"/>
    <s v="Keum Sa Hwan"/>
    <s v="금사환"/>
    <n v="3.75"/>
    <s v="g"/>
    <n v="30"/>
    <n v="112.5"/>
    <n v="180000"/>
    <s v="3.75 x 1 time per day"/>
    <s v="Deer velvet processed extract 0.15% "/>
    <m/>
    <x v="6"/>
    <x v="0"/>
    <s v="Ball"/>
    <s v="New Zealand"/>
    <s v="E-commerce"/>
    <s v="Adults"/>
  </r>
  <r>
    <x v="95"/>
    <s v="Nokyong Jin"/>
    <s v="녹용진"/>
    <n v="50"/>
    <s v="ml"/>
    <n v="9"/>
    <n v="450"/>
    <n v="45000"/>
    <s v="50 x 1 time per day"/>
    <s v="Fermented deer velvet extract (solid component 4%) 0.5%"/>
    <s v="발효녹용추출물 0.5% (고형분 4.0% 이상)"/>
    <x v="0"/>
    <x v="0"/>
    <s v="Bottle"/>
    <s v="New Zealand"/>
    <s v="LG25 convenience stores"/>
    <s v="Adults"/>
  </r>
  <r>
    <x v="95"/>
    <s v="Nokyong &amp; Sam's Power"/>
    <s v="산이 내린 녹용과 인삼의 힘"/>
    <n v="100"/>
    <s v="ml"/>
    <n v="1"/>
    <n v="100"/>
    <n v="4500"/>
    <s v="100 x 1 time per day"/>
    <s v="Deer velvet mixed extract 83% (solid component over 1.0%)"/>
    <s v="녹용혼합추출물 83%[(고형분 1.0% 이상)"/>
    <x v="6"/>
    <x v="0"/>
    <s v="Bottle"/>
    <s v="New Zealand"/>
    <m/>
    <s v="Adults"/>
  </r>
  <r>
    <x v="95"/>
    <s v="Nokyong and Sam’s Power from Mountain"/>
    <s v="산이 내린 녹용과 삼의 힘"/>
    <n v="100"/>
    <s v="ml"/>
    <n v="30"/>
    <n v="3000"/>
    <n v="138000"/>
    <s v="100 x 1 time per day"/>
    <s v="Deer velvet extract (solid component 0.49%) 83%"/>
    <s v="녹용혼합추출물 83%[녹용 0.49%]"/>
    <x v="0"/>
    <x v="0"/>
    <s v="Pouch"/>
    <s v="New Zealand"/>
    <s v="Door-to-door sales"/>
    <s v="Adults"/>
  </r>
  <r>
    <x v="95"/>
    <s v="ChamJinHan Nogyong HongsamJeong"/>
    <s v="참진한 녹용 홍삼정"/>
    <n v="10"/>
    <s v="g"/>
    <n v="60"/>
    <n v="600"/>
    <n v="100000"/>
    <s v="10 x 1 time per day"/>
    <s v="Deer velvet concentrate (solid component 15%) 2%"/>
    <s v="녹용농축액 2% (고형분 15% 이상)"/>
    <x v="2"/>
    <x v="0"/>
    <s v="Stick"/>
    <s v="New Zealand"/>
    <s v="By Orga' stores"/>
    <s v="Adults"/>
  </r>
  <r>
    <x v="96"/>
    <s v="KyungNokWon"/>
    <s v="경녹원"/>
    <n v="10"/>
    <s v="g"/>
    <n v="30"/>
    <n v="300"/>
    <n v="280000"/>
    <s v="10 x 1 time per day"/>
    <s v="Deer velvet extract 16.3% (solid component 4%)"/>
    <s v="녹용추출물 16.3% (고형분 4%, 녹용:뉴질랜드산"/>
    <x v="3"/>
    <x v="0"/>
    <s v="Stick"/>
    <s v="New Zealand"/>
    <m/>
    <s v="Adults"/>
  </r>
  <r>
    <x v="96"/>
    <s v="Deep Mountain Precious Ginseng Vitality Tonic"/>
    <s v="깊은산 귀한삼 활력보감"/>
    <n v="40"/>
    <s v="ml"/>
    <n v="60"/>
    <n v="2400"/>
    <n v="425000"/>
    <s v="40 x 2 times per day"/>
    <s v="Deer velvet is part of a plant complex extract"/>
    <s v="식물혼합추출물의 구성성분 중 하나로 녹용 표시됨"/>
    <x v="4"/>
    <x v="4"/>
    <s v="Pouch"/>
    <s v="New Zealand"/>
    <s v="Door-to-door sales"/>
    <s v="Adults"/>
  </r>
  <r>
    <x v="97"/>
    <s v="Puloman Golden Velvet"/>
    <s v="풀로만 황금녹용"/>
    <n v="25"/>
    <s v="g"/>
    <n v="10"/>
    <n v="250"/>
    <n v="190000"/>
    <s v="25 x 1 time per day"/>
    <s v="Deer velvet concentrate 5.33% (solid component 15%)"/>
    <m/>
    <x v="7"/>
    <x v="0"/>
    <s v="Pouch"/>
    <s v="New Zealand"/>
    <s v="E-commerce"/>
    <s v="Adults"/>
  </r>
  <r>
    <x v="98"/>
    <s v="Goojeon Nokyong Jin"/>
    <s v="구전녹용 진"/>
    <n v="150"/>
    <s v="ml"/>
    <n v="2"/>
    <n v="300"/>
    <n v="580000"/>
    <s v="40 x 1-2 times per day"/>
    <s v="Deer velvet solid componemt over 2.78%, 42%"/>
    <s v="녹용 고형분 2.78% 이상 42%"/>
    <x v="3"/>
    <x v="0"/>
    <s v="Bottle"/>
    <s v="Russia"/>
    <s v="E-commerce and Lotte Department Stores and Shinsegae Department Stores"/>
    <s v="Adults"/>
  </r>
  <r>
    <x v="98"/>
    <s v="Goojeon Nokyong"/>
    <s v="구전녹용"/>
    <n v="80"/>
    <s v="ml"/>
    <n v="30"/>
    <n v="2400"/>
    <n v="280000"/>
    <s v="80 x 1-2 times per day"/>
    <s v="Deer velvet solid component over 0.5%, 14.3%"/>
    <s v="녹용 고형분 0.5% 이상 14.3%"/>
    <x v="8"/>
    <x v="0"/>
    <s v="Pouch"/>
    <s v="Russia"/>
    <s v="E-commerce and Lotte Department Stores and Shinsegae Department Stores"/>
    <s v="Adults"/>
  </r>
  <r>
    <x v="98"/>
    <s v="Goojeon Nokyong Geumjiokyeob"/>
    <s v="구전녹용 금지옥엽"/>
    <n v="40"/>
    <s v="ml"/>
    <n v="30"/>
    <n v="1200"/>
    <n v="160000"/>
    <s v="40 x 1-2 times per day"/>
    <s v="Deer velvet solid componemt over 0.1%, 28.6%"/>
    <s v="녹용 고형분 0.1% 이상 28.6%"/>
    <x v="8"/>
    <x v="0"/>
    <s v="Pouch"/>
    <s v="Russia"/>
    <s v="E-commerce and Lotte Department Stores and Shinsegae Department Stores"/>
    <s v="Children"/>
  </r>
  <r>
    <x v="98"/>
    <s v="Goojeon Nokyong Soon"/>
    <s v="구전녹용순"/>
    <n v="60"/>
    <s v="ml"/>
    <n v="30"/>
    <n v="1800"/>
    <n v="180000"/>
    <s v="60 x 1-2 times per day"/>
    <s v="Deer velvet solid componemt over 0.1%, 70%"/>
    <s v="녹용 고형분 0.1% 이상 70%"/>
    <x v="9"/>
    <x v="0"/>
    <s v="Pouch"/>
    <s v="Russia"/>
    <s v="E-commerce and Lotte Department Stores and Shinsegae Department Stores"/>
    <s v="Adults"/>
  </r>
  <r>
    <x v="98"/>
    <s v="Goojeon Nokyong Danggeum Agi"/>
    <s v="구전녹용 당금아기"/>
    <n v="20"/>
    <s v="ml"/>
    <n v="30"/>
    <n v="600"/>
    <n v="110000"/>
    <s v="20 x 1-2 times per day"/>
    <s v="Deer velvet solid component over 0.1%, 28.6%"/>
    <s v="녹용 고형분 0.1% 이상 28.6%"/>
    <x v="9"/>
    <x v="0"/>
    <s v="Pouch"/>
    <s v="Russia"/>
    <s v="E-commerce and Lotte Department Stores and Shinsegae Department Stores"/>
    <s v="3-6 years old kids"/>
  </r>
  <r>
    <x v="98"/>
    <s v="Goojeon Jeongkyung Booin"/>
    <s v="구전녹용 정경부인"/>
    <n v="50"/>
    <s v="ml"/>
    <n v="30"/>
    <n v="1500"/>
    <n v="220000"/>
    <s v="50 x 1 time per day"/>
    <s v="Deer velvet"/>
    <s v="녹용"/>
    <x v="7"/>
    <x v="0"/>
    <s v="Pouch"/>
    <s v="Russia"/>
    <s v="E-commerce and Lotte Department Stores and Shinsegae Department Stores"/>
    <s v="Women"/>
  </r>
  <r>
    <x v="98"/>
    <s v="Goojeon Nokyong Bokse Pyunsal"/>
    <s v="구전녹용 복세편살"/>
    <n v="10"/>
    <s v="ml"/>
    <n v="30"/>
    <n v="300"/>
    <n v="124000"/>
    <s v="10 x 1-2 times per day"/>
    <s v="Deer velvet solid component over 0.92%, 25%"/>
    <s v="녹용 고형분 0.92% 이상 25%"/>
    <x v="3"/>
    <x v="0"/>
    <s v="Stick"/>
    <s v="Russia"/>
    <s v="E-commerce and Lotte Department Stores and Shinsegae Department Stores"/>
    <s v="Adults"/>
  </r>
  <r>
    <x v="98"/>
    <s v="Goojeon Pass with deer velvet"/>
    <s v="구전녹용 합격녹용"/>
    <n v="10"/>
    <s v="ml"/>
    <n v="30"/>
    <n v="300"/>
    <n v="130000"/>
    <s v="10 x 1 time per day"/>
    <s v="Deer velvet"/>
    <s v="녹용"/>
    <x v="2"/>
    <x v="0"/>
    <s v="Stick"/>
    <s v="Russia"/>
    <s v="E-commerce and Lotte Department Stores and Shinsegae Department Stores"/>
    <s v="Students"/>
  </r>
  <r>
    <x v="99"/>
    <s v="HeukNok Yechan"/>
    <s v="흑녹예찬"/>
    <n v="20"/>
    <s v="ml"/>
    <n v="30"/>
    <n v="600"/>
    <n v="248000"/>
    <s v="20 x 1 time per day"/>
    <s v="Deer velvet extracts (solid component 4%) 30.5%"/>
    <s v="녹용 추출액 (고형분 4%) 30.5%"/>
    <x v="2"/>
    <x v="0"/>
    <s v="Bottle"/>
    <s v="Russia"/>
    <s v="E-commerce"/>
    <s v="Adults"/>
  </r>
  <r>
    <x v="99"/>
    <s v="HeukNokJin"/>
    <s v="흑녹진"/>
    <n v="70"/>
    <s v="ml"/>
    <n v="30"/>
    <n v="2100"/>
    <n v="288000"/>
    <s v="70 x 1 time per day"/>
    <s v="Deer velvet extracts (solid component 0.5%) 60%"/>
    <s v="녹용 추출액 (고형분 0.5%) 60%"/>
    <x v="2"/>
    <x v="0"/>
    <s v="Pouch"/>
    <s v="Russia"/>
    <s v="E-commerce"/>
    <s v="Adults"/>
  </r>
  <r>
    <x v="100"/>
    <s v="Deer velvet black bellflower tonic"/>
    <s v="녹용 구증구포 흑도라지청 진액스틱"/>
    <n v="10"/>
    <s v="g"/>
    <n v="60"/>
    <n v="600"/>
    <n v="70000"/>
    <s v="10 x 1 time per day"/>
    <s v="Fermented deer velvet extract"/>
    <s v="발효녹용추출액"/>
    <x v="5"/>
    <x v="1"/>
    <s v="Stick"/>
    <s v="New Zealand "/>
    <s v="E-commerce"/>
    <s v="Adults"/>
  </r>
  <r>
    <x v="101"/>
    <s v="NokyongJeong Real Time"/>
    <s v="녹용정 리얼타임"/>
    <n v="10"/>
    <s v="ml"/>
    <n v="30"/>
    <n v="300"/>
    <n v="110000"/>
    <s v="10 x 1 time per day"/>
    <s v="Deer velvet extract"/>
    <s v="녹용추출액(고형분0.05%이상)"/>
    <x v="6"/>
    <x v="0"/>
    <s v="Stick"/>
    <s v="New Zealand"/>
    <s v="E-commerce"/>
    <s v="Adults"/>
  </r>
  <r>
    <x v="102"/>
    <s v="PanToSam Myungga"/>
    <s v="판토삼 명가"/>
    <n v="28"/>
    <s v="g"/>
    <n v="90"/>
    <n v="2520"/>
    <n v="750000"/>
    <s v="28 x 1 time per day"/>
    <s v="Deer velvet extract liquid (solid component over 1%) 14.3%"/>
    <s v="녹용추출액 (고형분 1% 이상) 14.3%"/>
    <x v="6"/>
    <x v="0"/>
    <s v="Bottle"/>
    <s v="New Zealand "/>
    <s v="E-commerce "/>
    <s v="Adults"/>
  </r>
  <r>
    <x v="103"/>
    <s v="Chimhyang Bichaek"/>
    <s v="침향비책"/>
    <n v="4"/>
    <s v="g"/>
    <n v="30"/>
    <n v="120"/>
    <n v="550000"/>
    <s v="4 x 1 time per day"/>
    <s v="New Zealand deer velvet 10%"/>
    <s v="뉴질랜드 녹용 10%"/>
    <x v="7"/>
    <x v="0"/>
    <s v="Ball"/>
    <s v="New Zealand"/>
    <s v="E-commerce"/>
    <s v="Adults"/>
  </r>
  <r>
    <x v="104"/>
    <s v="SeolHwa Nokyong Zeup"/>
    <s v="설화 녹용즙"/>
    <n v="100"/>
    <s v="ml"/>
    <n v="60"/>
    <n v="6000"/>
    <n v="195000"/>
    <s v="100 x 1-2 times per day"/>
    <s v="Korea frozen deer velvet 5 nyang (187.5g), Russian hard antler 125g "/>
    <s v="한국산 생녹용 5냥, 러시아산 녹각 125그램"/>
    <x v="6"/>
    <x v="0"/>
    <s v="Pouch"/>
    <s v="Korea, Russia"/>
    <s v="E-commerce"/>
    <s v="Adults"/>
  </r>
  <r>
    <x v="105"/>
    <s v="100 years Sejong"/>
    <s v="백년세종 산삼녹용침향환"/>
    <n v="3.75"/>
    <s v="g"/>
    <n v="5"/>
    <n v="18.75"/>
    <s v="unknown"/>
    <s v="3.75 x 1 time"/>
    <s v="Deer velvet (tip) 12%"/>
    <s v="녹용분골 12% (러시아산)"/>
    <x v="1"/>
    <x v="12"/>
    <s v="Ball"/>
    <s v="Russia"/>
    <s v="Unknown"/>
    <s v="Adults"/>
  </r>
  <r>
    <x v="106"/>
    <s v="Sogang Hwangsil Chimhyang Dan"/>
    <s v="서강황실침향단"/>
    <n v="4.2"/>
    <s v="g"/>
    <n v="35"/>
    <n v="147"/>
    <n v="560000"/>
    <s v="4.2 x 1 time per day"/>
    <s v="Deer velvet extract powder"/>
    <s v="녹용추출분말"/>
    <x v="6"/>
    <x v="0"/>
    <s v="Ball"/>
    <s v="Unspecified"/>
    <s v="- "/>
    <s v="Adults"/>
  </r>
  <r>
    <x v="107"/>
    <s v="SongGang GongJinBo Jin"/>
    <s v="송강 공진보 진"/>
    <n v="4.5"/>
    <s v="g"/>
    <n v="10"/>
    <n v="45"/>
    <n v="385000"/>
    <s v="4.5 x 1 time per day"/>
    <s v="Deer velvet 11%"/>
    <s v="녹용 11%"/>
    <x v="6"/>
    <x v="0"/>
    <s v="Ball"/>
    <s v="Russia"/>
    <s v="E-commerce"/>
    <s v="Adults"/>
  </r>
  <r>
    <x v="108"/>
    <s v="Lee Gyungje The Himchan Nokyong"/>
    <s v="이경제 더힘찬 녹용"/>
    <n v="60"/>
    <s v="ml"/>
    <n v="120"/>
    <n v="7200"/>
    <n v="157960"/>
    <s v="60 x 1-2 times per day"/>
    <s v="Deer velvet extract liquid (solid component 0.1%) 70%"/>
    <s v="녹용추출액(고형분0.1%) 70%"/>
    <x v="11"/>
    <x v="0"/>
    <s v="Pouch"/>
    <s v="New Zealand"/>
    <s v="Cable TV home shopping channel"/>
    <s v="Adults"/>
  </r>
  <r>
    <x v="108"/>
    <s v="Lee Gyungje The Himchan Nokyong Double Impact"/>
    <s v="이경제 더힘찬 녹용 더블 임팩트"/>
    <n v="66"/>
    <s v="ml"/>
    <n v="30"/>
    <n v="1980"/>
    <n v="99000"/>
    <s v="66 x 1-2 times per day"/>
    <s v="Frozen deer velvet 0.1% in deer velvet herbal complex extract liquid (solid component 0.1%) 92.95%"/>
    <s v="녹용식물혼합추출액(생녹용0.1%)92.95%"/>
    <x v="5"/>
    <x v="4"/>
    <s v="Pouch"/>
    <s v="New Zealand "/>
    <s v="Cable TV home shopping channel &amp; E-commerce"/>
    <s v="Adults "/>
  </r>
  <r>
    <x v="109"/>
    <s v="Nogyong Hongsam Stick"/>
    <s v="녹용홍삼스틱"/>
    <n v="10"/>
    <s v="g"/>
    <n v="30"/>
    <n v="300"/>
    <n v="72600"/>
    <s v="10 x 1-2 times per day"/>
    <s v="Deer velvet extract 4% (solid component 20%)"/>
    <s v="녹용추출농축액 4% (고형분 20%)"/>
    <x v="7"/>
    <x v="0"/>
    <s v="Stick"/>
    <s v="New Zealand"/>
    <s v="E-commerce"/>
    <s v="Adults"/>
  </r>
  <r>
    <x v="110"/>
    <s v="Haru Nokyong Koryeo Hongsam Jung"/>
    <s v="하루 녹용 고려 홍삼정"/>
    <n v="10"/>
    <s v="g"/>
    <n v="20"/>
    <n v="200"/>
    <n v="28000"/>
    <s v="30 x 1 time per day"/>
    <s v="Deer velvet extract 5% (solid component, over 5%)"/>
    <s v="녹용추출액 5% (고형분 0.2%)"/>
    <x v="3"/>
    <x v="0"/>
    <s v="Stick"/>
    <s v="New Zealand"/>
    <s v="E-commerce"/>
    <s v="Adults"/>
  </r>
  <r>
    <x v="111"/>
    <s v="New Nokyong Baeksae Go Stick"/>
    <s v="뉴 녹용백세고"/>
    <n v="15"/>
    <s v="ml"/>
    <n v="30"/>
    <n v="450"/>
    <n v="198000"/>
    <s v="15 x 1 time per day"/>
    <s v="Deer velvet concentrate 4% (solid component 30%)"/>
    <s v="녹용농축액 4% (고형분 30%) "/>
    <x v="0"/>
    <x v="0"/>
    <s v="Stick"/>
    <s v="New Zealand"/>
    <s v="E-commerce"/>
    <s v="Adults"/>
  </r>
  <r>
    <x v="112"/>
    <s v="Jang Que Sam Red Ginseng Power Plus "/>
    <s v="장쾌삼 홍삼력 플러스"/>
    <n v="70"/>
    <s v="ml"/>
    <n v="30"/>
    <n v="2100"/>
    <n v="19600"/>
    <s v="70 x 1 time per day"/>
    <s v="Deer velvet extract powder"/>
    <s v="녹용추출분말"/>
    <x v="6"/>
    <x v="0"/>
    <s v="Pouch"/>
    <s v="New Zealand"/>
    <s v="E-commerce"/>
    <s v="Adults"/>
  </r>
  <r>
    <x v="112"/>
    <s v="Children Ginseng King Plus"/>
    <s v="어린이 인삼왕 플러스"/>
    <n v="30"/>
    <s v="ml"/>
    <n v="30"/>
    <n v="900"/>
    <n v="39900"/>
    <s v="30 x 1 time per day"/>
    <s v="Deer velvet extract powder"/>
    <s v="녹용추출분말"/>
    <x v="6"/>
    <x v="0"/>
    <s v="Pouch"/>
    <s v="New Zealand"/>
    <s v="E-commerce"/>
    <s v="Children"/>
  </r>
  <r>
    <x v="113"/>
    <s v="Kookmin Saeng Nokyong"/>
    <s v="국민생녹용"/>
    <n v="70"/>
    <s v="ml"/>
    <n v="240"/>
    <n v="16800"/>
    <n v="288000"/>
    <s v="70 x 1 time per day"/>
    <s v="Raw deer velvet"/>
    <s v="생녹용"/>
    <x v="7"/>
    <x v="0"/>
    <s v="Pouch"/>
    <s v="Korea"/>
    <s v="Home shopping "/>
    <s v="Adults"/>
  </r>
  <r>
    <x v="114"/>
    <s v="Chimhyang Nokyong Bo"/>
    <s v="웅비원 침향독용보"/>
    <n v="80"/>
    <s v="ml"/>
    <n v="20"/>
    <n v="1600"/>
    <n v="59000"/>
    <s v="80 x 1 time per day"/>
    <s v="Deer velvet"/>
    <s v="녹용 (40mg/1포)"/>
    <x v="1"/>
    <x v="11"/>
    <s v="Pouch"/>
    <s v="Russia"/>
    <s v="E-commerce"/>
    <s v="Adults"/>
  </r>
  <r>
    <x v="115"/>
    <s v="GwangDong Bright 365 Immune Bogam Hwan"/>
    <s v="광동맑은365 면역보감 환"/>
    <n v="3.75"/>
    <s v="g"/>
    <n v="30"/>
    <n v="112.5"/>
    <n v="145000"/>
    <s v="3.75 x 1 time per day"/>
    <s v="Deer velvet extract powder"/>
    <s v="녹용추출분말"/>
    <x v="1"/>
    <x v="10"/>
    <s v="Ball"/>
    <s v="Unspecified"/>
    <s v="E-commerce"/>
    <s v="Adults"/>
  </r>
  <r>
    <x v="116"/>
    <s v="Cheonsoo Dan"/>
    <s v="천수단"/>
    <n v="4"/>
    <s v="g"/>
    <n v="3"/>
    <n v="12"/>
    <n v="60000"/>
    <s v="4 x 1 time per day"/>
    <s v="Deer velvet"/>
    <s v="녹용"/>
    <x v="6"/>
    <x v="0"/>
    <s v="Ball"/>
    <s v="New Zealand"/>
    <s v="E-commerce"/>
    <s v="Adults"/>
  </r>
  <r>
    <x v="116"/>
    <s v="Cheonsoo Dan"/>
    <s v="천수단"/>
    <n v="4"/>
    <s v="g"/>
    <n v="15"/>
    <n v="60"/>
    <n v="300000"/>
    <s v="4 x 1 time per day"/>
    <s v="Deer velvet"/>
    <s v="녹용"/>
    <x v="6"/>
    <x v="0"/>
    <s v="Ball"/>
    <s v="New Zealand"/>
    <s v="E-commerce"/>
    <s v="Adults"/>
  </r>
  <r>
    <x v="116"/>
    <s v="Jeon Nokyong Hongsam Premium"/>
    <s v="전녹용 홍삼 프리미엄"/>
    <n v="200"/>
    <s v="g"/>
    <n v="1"/>
    <n v="200"/>
    <n v="500000"/>
    <s v="5 x 2 times per day"/>
    <s v="Deer velvet concentrate (solid component over 16%) 22.6%"/>
    <s v="녹용농축액 (고형분 16% 이상) 22.6%"/>
    <x v="6"/>
    <x v="0"/>
    <s v="Bottle, spoonable"/>
    <s v="New Zealand"/>
    <s v="E-commerce"/>
    <s v="Adults"/>
  </r>
  <r>
    <x v="116"/>
    <s v="New Origin Green Lipped Mussel"/>
    <s v="초록입홍합"/>
    <n v="350"/>
    <s v="mg"/>
    <n v="30"/>
    <n v="10500"/>
    <n v="100000"/>
    <s v="350 x 1 time per day"/>
    <s v="Deer velvet powder"/>
    <s v="녹용분말"/>
    <x v="3"/>
    <x v="0"/>
    <s v="Capsule"/>
    <s v="New Zealand"/>
    <s v="E-commerce"/>
    <s v="Adults"/>
  </r>
  <r>
    <x v="116"/>
    <s v="Jeon Nokyong Hongsam "/>
    <s v="전녹용 홍삼"/>
    <n v="100"/>
    <s v="g"/>
    <n v="1"/>
    <n v="100"/>
    <n v="168000"/>
    <s v="5 x 2 times per day"/>
    <s v="Deer velvet concentrate (solid component over 16%) 13.5%"/>
    <s v="녹용농축액 (고형분 16% 이상) 13.5%"/>
    <x v="6"/>
    <x v="0"/>
    <s v="Pouch"/>
    <s v="New Zealand"/>
    <s v="E-commerce"/>
    <s v="Adults"/>
  </r>
  <r>
    <x v="116"/>
    <s v="Jeon Nokyong Jinaek "/>
    <s v="전녹용 홍삼 진액"/>
    <n v="70"/>
    <s v="ml"/>
    <n v="30"/>
    <n v="2100"/>
    <n v="160000"/>
    <s v="70 x 1 time per day"/>
    <s v="Deer velvet concentrate (solid component over 19%) 1.5%"/>
    <s v="녹용농축액 (고형분 19% 이상) 1.5%"/>
    <x v="6"/>
    <x v="0"/>
    <s v="Pouch"/>
    <s v="New Zealand"/>
    <s v="E-commerce"/>
    <s v="Adults"/>
  </r>
  <r>
    <x v="116"/>
    <s v="Jeon Nokyong Hongsam "/>
    <s v="전녹용 홍삼"/>
    <n v="200"/>
    <s v="g"/>
    <n v="1"/>
    <n v="200"/>
    <n v="280000"/>
    <s v="5 x 2 times per day"/>
    <s v="Deer velvet concentrate (solid component over 16%) 13.5%"/>
    <s v="녹용농축액 (고형분 16% 이상) 13.5%"/>
    <x v="6"/>
    <x v="0"/>
    <s v="Pouch"/>
    <s v="New Zealand"/>
    <s v="E-commerce"/>
    <s v="Adults"/>
  </r>
  <r>
    <x v="116"/>
    <s v="Jeon Nokyong Hongsam Stick"/>
    <s v="전녹용 홍삼 스틱"/>
    <n v="10"/>
    <s v="ml"/>
    <n v="30"/>
    <n v="300"/>
    <n v="140000"/>
    <s v="10 x 1 time per day"/>
    <s v="Deer velvet concentrate (solid component over 19%) 9.3%"/>
    <s v="녹용농축액 (고형분 19% 이상) 9.3%"/>
    <x v="6"/>
    <x v="0"/>
    <s v="Stick"/>
    <s v="New Zealand"/>
    <s v="E-commerce"/>
    <s v="Adults"/>
  </r>
  <r>
    <x v="116"/>
    <s v="Deer Kids Stick"/>
    <s v="디어 키즈 스틱"/>
    <n v="17"/>
    <s v="g"/>
    <n v="30"/>
    <n v="510"/>
    <n v="110000"/>
    <s v="17 x 1 time per day"/>
    <s v="Deer velvet concentrate (solid component over 9%) 3%"/>
    <s v="녹용농축액 (고형분 9% 이상) 3%"/>
    <x v="6"/>
    <x v="0"/>
    <s v="Stick"/>
    <s v="New Zealand"/>
    <s v="E-commerce"/>
    <s v="Kids"/>
  </r>
  <r>
    <x v="116"/>
    <s v="Deer Berry Stick"/>
    <s v="디어 베리 스틱"/>
    <n v="17"/>
    <s v="g"/>
    <n v="60"/>
    <n v="1020"/>
    <n v="140000"/>
    <s v="17 x 2 times per day"/>
    <s v="Deer velvet concentrate (solid component over 19%) 6.6%"/>
    <s v="녹용농축액 (고형분 19% 이상) 6.6%"/>
    <x v="6"/>
    <x v="0"/>
    <s v="Stick"/>
    <s v="New Zealand"/>
    <s v="E-commerce"/>
    <s v="Adults"/>
  </r>
  <r>
    <x v="116"/>
    <s v="Estrition Dual Collagen"/>
    <s v="에스트리션 듀얼 콜라겐"/>
    <n v="15"/>
    <s v="g"/>
    <n v="30"/>
    <n v="450"/>
    <n v="42500"/>
    <s v="15 x 1 time per day"/>
    <s v="Deer velvet collagen 1%"/>
    <s v="녹용 콜라겐 1%"/>
    <x v="0"/>
    <x v="0"/>
    <s v="Stick"/>
    <s v="New Zealand"/>
    <s v="E-commerce"/>
    <s v="Women"/>
  </r>
  <r>
    <x v="116"/>
    <s v="HENKIV Immune"/>
    <s v="헨키브이뮨"/>
    <n v="2"/>
    <s v="g"/>
    <n v="30"/>
    <n v="60"/>
    <n v="398000"/>
    <s v="30 x 1 time per day"/>
    <s v="Enzyme-treated Extract of Cervus elaphus L.(HENKIV®)"/>
    <s v="녹용효소분해추출물(HENKIVⓇ)(제2024-2호)(녹용분말:뉴질랜드산)"/>
    <x v="15"/>
    <x v="5"/>
    <s v="Tablet"/>
    <s v="New Zealand"/>
    <s v="E-commerce"/>
    <s v="Adults"/>
  </r>
  <r>
    <x v="117"/>
    <s v="Daily Care Kids Stick"/>
    <s v="데일리 케어 키즈스틱"/>
    <n v="17"/>
    <s v="g"/>
    <n v="30"/>
    <n v="510"/>
    <n v="60000"/>
    <s v="17 x 1 time per day"/>
    <s v="Deer velvet concentrate"/>
    <s v="녹용농축액"/>
    <x v="0"/>
    <x v="0"/>
    <s v="Stick"/>
    <s v="New Zealand"/>
    <s v="E-commerce"/>
    <s v="Kid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76C41A-B497-3941-A01E-642371398249}" name="PivotTable" cacheId="16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:C36" firstHeaderRow="0" firstDataRow="1" firstDataCol="1"/>
  <pivotFields count="17">
    <pivotField axis="axisRow" showAll="0">
      <items count="121">
        <item x="0"/>
        <item x="1"/>
        <item x="4"/>
        <item x="5"/>
        <item x="6"/>
        <item x="9"/>
        <item x="10"/>
        <item x="11"/>
        <item x="12"/>
        <item x="13"/>
        <item x="16"/>
        <item x="17"/>
        <item x="18"/>
        <item x="19"/>
        <item m="1" x="119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71"/>
        <item x="72"/>
        <item m="1" x="118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3"/>
        <item x="94"/>
        <item x="95"/>
        <item x="98"/>
        <item x="99"/>
        <item x="101"/>
        <item x="102"/>
        <item x="103"/>
        <item x="104"/>
        <item x="106"/>
        <item x="107"/>
        <item x="108"/>
        <item x="109"/>
        <item x="110"/>
        <item x="111"/>
        <item x="112"/>
        <item x="113"/>
        <item x="116"/>
        <item x="117"/>
        <item x="3"/>
        <item x="20"/>
        <item x="69"/>
        <item x="105"/>
        <item x="92"/>
        <item x="91"/>
        <item x="14"/>
        <item x="15"/>
        <item x="73"/>
        <item x="114"/>
        <item x="2"/>
        <item x="39"/>
        <item x="97"/>
        <item x="115"/>
        <item x="8"/>
        <item x="70"/>
        <item x="100"/>
        <item x="96"/>
        <item x="7"/>
        <item x="7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sortType="ascending">
      <items count="17">
        <item sd="0" x="14"/>
        <item sd="0" x="12"/>
        <item sd="0" x="11"/>
        <item sd="0" x="13"/>
        <item sd="0" x="8"/>
        <item sd="0" x="9"/>
        <item sd="0" x="6"/>
        <item sd="0" x="3"/>
        <item sd="0" x="0"/>
        <item sd="0" x="7"/>
        <item sd="0" x="2"/>
        <item sd="0" x="1"/>
        <item sd="0" x="5"/>
        <item x="4"/>
        <item x="15"/>
        <item sd="0" x="10"/>
        <item t="default"/>
      </items>
    </pivotField>
    <pivotField axis="axisRow" dataField="1" showAll="0" sortType="ascending">
      <items count="15">
        <item x="8"/>
        <item m="1" x="13"/>
        <item x="7"/>
        <item x="12"/>
        <item x="4"/>
        <item x="11"/>
        <item x="5"/>
        <item x="9"/>
        <item x="6"/>
        <item x="1"/>
        <item x="10"/>
        <item x="3"/>
        <item x="2"/>
        <item sd="0" x="0"/>
        <item t="default"/>
      </items>
    </pivotField>
    <pivotField showAll="0"/>
    <pivotField showAll="0"/>
    <pivotField showAll="0"/>
    <pivotField showAll="0"/>
  </pivotFields>
  <rowFields count="3">
    <field x="11"/>
    <field x="12"/>
    <field x="0"/>
  </rowFields>
  <rowItems count="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r="1">
      <x/>
    </i>
    <i r="2">
      <x v="108"/>
    </i>
    <i r="1">
      <x v="4"/>
    </i>
    <i r="2">
      <x v="69"/>
    </i>
    <i r="2">
      <x v="117"/>
    </i>
    <i r="1">
      <x v="5"/>
    </i>
    <i r="2">
      <x v="66"/>
    </i>
    <i r="1">
      <x v="7"/>
    </i>
    <i r="2">
      <x v="62"/>
    </i>
    <i r="1">
      <x v="8"/>
    </i>
    <i r="2">
      <x v="108"/>
    </i>
    <i r="1">
      <x v="9"/>
    </i>
    <i r="2">
      <x v="101"/>
    </i>
    <i r="1">
      <x v="11"/>
    </i>
    <i r="2">
      <x v="118"/>
    </i>
    <i>
      <x v="14"/>
    </i>
    <i r="1">
      <x v="3"/>
    </i>
    <i r="2">
      <x v="119"/>
    </i>
    <i r="1">
      <x v="6"/>
    </i>
    <i r="2">
      <x v="98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Month release" fld="12" subtotal="count" baseField="0" baseItem="0"/>
    <dataField name="Count of Year released" fld="11" subtotal="count" baseField="0" baseItem="0"/>
  </dataFields>
  <pivotTableStyleInfo name="PivotStyleLight16" showRowHeaders="1" showColHeaders="1" showRowStripes="0" showColStripes="0" showLastColumn="1"/>
  <filters count="1">
    <filter fld="11" type="captionNotContains" evalOrder="-1" id="1" stringValue1="unknown">
      <autoFilter ref="A1">
        <filterColumn colId="0">
          <customFilters>
            <customFilter operator="notEqual" val="*unknown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hurumshop.com/goods/goods_view.php?goodsNo=1000001022" TargetMode="External"/><Relationship Id="rId117" Type="http://schemas.openxmlformats.org/officeDocument/2006/relationships/hyperlink" Target="https://m.fredit.co.kr/product/detail?prdId=39051" TargetMode="External"/><Relationship Id="rId21" Type="http://schemas.openxmlformats.org/officeDocument/2006/relationships/hyperlink" Target="https://smartstore.naver.com/no1costco/products/4755675586" TargetMode="External"/><Relationship Id="rId42" Type="http://schemas.openxmlformats.org/officeDocument/2006/relationships/hyperlink" Target="http://item.gmarket.co.kr/DetailView/Item.asp?goodscode=2318511660&amp;GoodsSale=Y&amp;jaehuid=200001169&amp;NaPm=ct%3Dky14n97c%7Cci%3D1aaa5f6ad88d4ab244eb5ae3e1b1c13910b955df%7Ctr%3Dsls%7Csn%3D24%7Chk%3Da318cedf1392eb83ac5bd0b91036948760ea2e0b" TargetMode="External"/><Relationship Id="rId47" Type="http://schemas.openxmlformats.org/officeDocument/2006/relationships/hyperlink" Target="http://iksuhealth.com/?NaPm=ct%3Dl1n8tof4%7Cci%3D0AG0003adOPwWIEWXLlN%7Ctr%3Dsa%7Chk%3D7c844cc5b70409eb18a050c175dd6636259b4a51" TargetMode="External"/><Relationship Id="rId63" Type="http://schemas.openxmlformats.org/officeDocument/2006/relationships/hyperlink" Target="https://www.kgc.co.kr/front/product/ckj/antler/antler01/198/productDetail.do" TargetMode="External"/><Relationship Id="rId68" Type="http://schemas.openxmlformats.org/officeDocument/2006/relationships/hyperlink" Target="http://www.sisunnews.co.kr/news/articleView.html?idxno=161742" TargetMode="External"/><Relationship Id="rId84" Type="http://schemas.openxmlformats.org/officeDocument/2006/relationships/hyperlink" Target="https://smartstore.naver.com/chongkundang/products/5995055168?NaPm=ct%3Dky13fm7s%7Cci%3D854f945b6c37ed36f76ffab08f26bbff75b8ec6f%7Ctr%3Dsls%7Csn%3D3917198%7Chk%3D2d9e4690a91444a9728c943677b44c15ebfc84bf" TargetMode="External"/><Relationship Id="rId89" Type="http://schemas.openxmlformats.org/officeDocument/2006/relationships/hyperlink" Target="https://www.cheongkwanjang.co.kr/products/view.do?ref_id=952&amp;id=1362" TargetMode="External"/><Relationship Id="rId112" Type="http://schemas.openxmlformats.org/officeDocument/2006/relationships/hyperlink" Target="https://m.fredit.co.kr/product/detail?prdId=38840" TargetMode="External"/><Relationship Id="rId16" Type="http://schemas.openxmlformats.org/officeDocument/2006/relationships/hyperlink" Target="http://green-store.co.kr/xe/board_qEzza24/170989" TargetMode="External"/><Relationship Id="rId107" Type="http://schemas.openxmlformats.org/officeDocument/2006/relationships/hyperlink" Target="https://smartstore.naver.com/jmz/products/10571759842" TargetMode="External"/><Relationship Id="rId11" Type="http://schemas.openxmlformats.org/officeDocument/2006/relationships/hyperlink" Target="https://www.hwaaerak.com/product-1_detail?code=ea7b092797" TargetMode="External"/><Relationship Id="rId32" Type="http://schemas.openxmlformats.org/officeDocument/2006/relationships/hyperlink" Target="https://jasengbio.shop/goods/goods_view.php?goodsNo=796&amp;mtn=7%5E%7C%5E%5BWIB%5D+%EB%B2%A0%EC%8A%A4%ED%8A%B8%EC%83%81%ED%92%88%5E%7C%5En" TargetMode="External"/><Relationship Id="rId37" Type="http://schemas.openxmlformats.org/officeDocument/2006/relationships/hyperlink" Target="https://smartstore.naver.com/defamily/products/5847656050?NaPm=ct%3Dky0yejp4%7Cci%3D41aadc9dcf4385179dde9ff6fba2c942463e01b9%7Ctr%3Dsls%7Csn%3D1298722%7Chk%3Db0b71f17250900eebfda88b457790f62791677cd" TargetMode="External"/><Relationship Id="rId53" Type="http://schemas.openxmlformats.org/officeDocument/2006/relationships/hyperlink" Target="https://smartstore.naver.com/inurishop/products/6577008339" TargetMode="External"/><Relationship Id="rId58" Type="http://schemas.openxmlformats.org/officeDocument/2006/relationships/hyperlink" Target="https://smartstore.naver.com/cjfreshway01/products/6793985222?NaPm=ct%3Dl636ejq0%7Cci%3D989c369f74b79881b82e210f2d2dd2928af43cb1%7Ctr%3Dsls%7Csn%3D3367938%7Chk%3D9585f5c3b406f7b31a3f0b9f050bd79cfe93db0b" TargetMode="External"/><Relationship Id="rId74" Type="http://schemas.openxmlformats.org/officeDocument/2006/relationships/hyperlink" Target="https://www.kgcshop.co.kr/shop/goodsView?itemId=83862" TargetMode="External"/><Relationship Id="rId79" Type="http://schemas.openxmlformats.org/officeDocument/2006/relationships/hyperlink" Target="http://&#45453;&#54801;&#45433;&#50857;.com/product/%EC%8A%A4%EB%A7%88%ED%8A%B8%EC%95%A4%ED%8A%BC%ED%8A%BC/67/category/1/display/2/" TargetMode="External"/><Relationship Id="rId102" Type="http://schemas.openxmlformats.org/officeDocument/2006/relationships/hyperlink" Target="https://www.hansamin.com/shop/goods/goods_view.php?goodsno=4579" TargetMode="External"/><Relationship Id="rId5" Type="http://schemas.openxmlformats.org/officeDocument/2006/relationships/hyperlink" Target="https://www.kgc.co.kr/front/product/ckj/deer/antler05/265/productDetail.do" TargetMode="External"/><Relationship Id="rId90" Type="http://schemas.openxmlformats.org/officeDocument/2006/relationships/hyperlink" Target="https://www.chunhomall.com/product_view/PBP2307022" TargetMode="External"/><Relationship Id="rId95" Type="http://schemas.openxmlformats.org/officeDocument/2006/relationships/hyperlink" Target="https://m.puloman.com/goods/goods_view.php?goodsNo=1000000021" TargetMode="External"/><Relationship Id="rId22" Type="http://schemas.openxmlformats.org/officeDocument/2006/relationships/hyperlink" Target="https://blog.naver.com/natural365/222291584402" TargetMode="External"/><Relationship Id="rId27" Type="http://schemas.openxmlformats.org/officeDocument/2006/relationships/hyperlink" Target="https://mall.hiliving.co.kr/10_goods/goods_view.asp?gcode=101527" TargetMode="External"/><Relationship Id="rId43" Type="http://schemas.openxmlformats.org/officeDocument/2006/relationships/hyperlink" Target="https://shop.pulmuone.co.kr/shop/goodsView?goods=32285" TargetMode="External"/><Relationship Id="rId48" Type="http://schemas.openxmlformats.org/officeDocument/2006/relationships/hyperlink" Target="https://rebornature.co.kr/product/%ED%9D%91%EB%85%B9%EC%A7%84-70ml-x-30%ED%8F%AC/15/category/43/display/1/" TargetMode="External"/><Relationship Id="rId64" Type="http://schemas.openxmlformats.org/officeDocument/2006/relationships/hyperlink" Target="https://www.kgc.co.kr/front/product/ckj/antler/antler01/198/productDetail.do" TargetMode="External"/><Relationship Id="rId69" Type="http://schemas.openxmlformats.org/officeDocument/2006/relationships/hyperlink" Target="https://m.fredit.co.kr/product/prdProductDetails.do?prdId=36663" TargetMode="External"/><Relationship Id="rId113" Type="http://schemas.openxmlformats.org/officeDocument/2006/relationships/hyperlink" Target="https://www.thewhoo.com/product/detail.html?product_no=774" TargetMode="External"/><Relationship Id="rId118" Type="http://schemas.openxmlformats.org/officeDocument/2006/relationships/hyperlink" Target="https://smartstore.naver.com/doctorbr/products/12309712311" TargetMode="External"/><Relationship Id="rId80" Type="http://schemas.openxmlformats.org/officeDocument/2006/relationships/hyperlink" Target="https://www.kgcshop.co.kr/shop/goodsView?itemId=87590" TargetMode="External"/><Relationship Id="rId85" Type="http://schemas.openxmlformats.org/officeDocument/2006/relationships/hyperlink" Target="http://www.ckdhc.com/product/productView.do?category=CKD_CATE00000051&amp;prodCode=CHC0000053" TargetMode="External"/><Relationship Id="rId12" Type="http://schemas.openxmlformats.org/officeDocument/2006/relationships/hyperlink" Target="https://www.chunhomall.com/pageP/view.asp?p_prodcd=PBP1809018" TargetMode="External"/><Relationship Id="rId17" Type="http://schemas.openxmlformats.org/officeDocument/2006/relationships/hyperlink" Target="https://shop.drleo.kr/product/%EC%9D%B4%EA%B2%BD%EC%A0%9C-%ED%99%A9%EC%A0%9C%EA%B3%B5%EB%B9%9B%EB%8B%A8-1%EB%B0%95%EC%8A%A4375g60%ED%99%98/134/category/1/display/11/" TargetMode="External"/><Relationship Id="rId33" Type="http://schemas.openxmlformats.org/officeDocument/2006/relationships/hyperlink" Target="https://www.kgcshop.co.kr/shop/goodsView?itemId=70624" TargetMode="External"/><Relationship Id="rId38" Type="http://schemas.openxmlformats.org/officeDocument/2006/relationships/hyperlink" Target="http://item.gmarket.co.kr/DetailView/Item.asp?goodscode=2309723619&amp;GoodsSale=Y&amp;jaehuid=200001169&amp;NaPm=ct%3Dky0yqi94%7Cci%3D61a8bb7e00306912e3feab5b07616c1fe270af28%7Ctr%3Dsls%7Csn%3D24%7Chk%3Def2aa59d4b8ced41ddb9e20643fd55be6a0d7248" TargetMode="External"/><Relationship Id="rId59" Type="http://schemas.openxmlformats.org/officeDocument/2006/relationships/hyperlink" Target="https://smartstore.naver.com/kyungbangnature/products/5811645388?NaPm=ct%3Dl636s128%7Cci%3D6325645f78154679ffc181dc21a5e3abf3f9b8c3%7Ctr%3Dsls%7Csn%3D1943668%7Chk%3D64c51b8ddd5040775253ffbd3029ee55be0d28bd" TargetMode="External"/><Relationship Id="rId103" Type="http://schemas.openxmlformats.org/officeDocument/2006/relationships/hyperlink" Target="https://smartstore.naver.com/spico/products/10272423964" TargetMode="External"/><Relationship Id="rId108" Type="http://schemas.openxmlformats.org/officeDocument/2006/relationships/hyperlink" Target="https://www.jungkwanjang.co.kr/products/view.do?ref_id=1072&amp;id=1551" TargetMode="External"/><Relationship Id="rId54" Type="http://schemas.openxmlformats.org/officeDocument/2006/relationships/hyperlink" Target="http://itempage3.auction.co.kr/DetailView.aspx?ItemNo=C652473902&amp;frm3=V2" TargetMode="External"/><Relationship Id="rId70" Type="http://schemas.openxmlformats.org/officeDocument/2006/relationships/hyperlink" Target="https://m.fredit.co.kr/product/prdProductDetails.do?prdId=36664" TargetMode="External"/><Relationship Id="rId75" Type="http://schemas.openxmlformats.org/officeDocument/2006/relationships/hyperlink" Target="https://www.kgcshop.co.kr/shop/goodsView?itemId=82231" TargetMode="External"/><Relationship Id="rId91" Type="http://schemas.openxmlformats.org/officeDocument/2006/relationships/hyperlink" Target="https://m.fredit.co.kr/product/detail?prdId=37910" TargetMode="External"/><Relationship Id="rId96" Type="http://schemas.openxmlformats.org/officeDocument/2006/relationships/hyperlink" Target="https://www.ekdp.com/product/items_view.do?s=791" TargetMode="External"/><Relationship Id="rId1" Type="http://schemas.openxmlformats.org/officeDocument/2006/relationships/hyperlink" Target="https://www.kgc.co.kr/front/product/ckj/deer/antler05/230/productDetail.do" TargetMode="External"/><Relationship Id="rId6" Type="http://schemas.openxmlformats.org/officeDocument/2006/relationships/hyperlink" Target="https://www.kgc.co.kr/front/product/ckj/antler/antler01/198/productDetail.do" TargetMode="External"/><Relationship Id="rId23" Type="http://schemas.openxmlformats.org/officeDocument/2006/relationships/hyperlink" Target="https://arambi.kr/product/detail.html?product_no=1533&amp;cate_no=96&amp;display_group=1" TargetMode="External"/><Relationship Id="rId28" Type="http://schemas.openxmlformats.org/officeDocument/2006/relationships/hyperlink" Target="https://www.ekdp.com/product/items_view.do?s=96" TargetMode="External"/><Relationship Id="rId49" Type="http://schemas.openxmlformats.org/officeDocument/2006/relationships/hyperlink" Target="https://rebornature.co.kr/product/%ED%9D%91%EB%85%B9%EC%98%88%EC%B0%AC-20ml-x-30%EB%B3%91/19/category/43/display/1/" TargetMode="External"/><Relationship Id="rId114" Type="http://schemas.openxmlformats.org/officeDocument/2006/relationships/hyperlink" Target="https://www.pulmuone-lohas.com/pc/brand/product/prd_view.do?cacode=11010000&amp;pdcode=1747100304" TargetMode="External"/><Relationship Id="rId119" Type="http://schemas.openxmlformats.org/officeDocument/2006/relationships/hyperlink" Target="https://smartstore.naver.com/doctorbr/products/12299071067" TargetMode="External"/><Relationship Id="rId44" Type="http://schemas.openxmlformats.org/officeDocument/2006/relationships/hyperlink" Target="https://www.chunhomall.com/search/%ED%95%98%EB%A3%A8%20%ED%99%9C%EB%A0%A5%20%EC%A7%84%EB%85%B9%EC%9A%A9%ED%99%8D%EC%82%BC" TargetMode="External"/><Relationship Id="rId60" Type="http://schemas.openxmlformats.org/officeDocument/2006/relationships/hyperlink" Target="https://www.kgc.co.kr/front/product/ckj/antler/antler01/198/productDetail.do" TargetMode="External"/><Relationship Id="rId65" Type="http://schemas.openxmlformats.org/officeDocument/2006/relationships/hyperlink" Target="https://www.kgc.co.kr/front/product/ckj/deer/antler05/231/productDetail.do" TargetMode="External"/><Relationship Id="rId81" Type="http://schemas.openxmlformats.org/officeDocument/2006/relationships/hyperlink" Target="https://www.kgcshop.co.kr/shop/goodsView?itemId=87477" TargetMode="External"/><Relationship Id="rId86" Type="http://schemas.openxmlformats.org/officeDocument/2006/relationships/hyperlink" Target="https://www.cheonjiyang.co.kr/product/12428" TargetMode="External"/><Relationship Id="rId4" Type="http://schemas.openxmlformats.org/officeDocument/2006/relationships/hyperlink" Target="https://www.kgc.co.kr/front/product/ckj/deer/antler05/254/productDetail.do" TargetMode="External"/><Relationship Id="rId9" Type="http://schemas.openxmlformats.org/officeDocument/2006/relationships/hyperlink" Target="https://www.neworigin.co.kr/goods/goods_view.php?goodsNo=1000000145" TargetMode="External"/><Relationship Id="rId13" Type="http://schemas.openxmlformats.org/officeDocument/2006/relationships/hyperlink" Target="http://euljilife.com/?act=info.page&amp;pcode=s3_2" TargetMode="External"/><Relationship Id="rId18" Type="http://schemas.openxmlformats.org/officeDocument/2006/relationships/hyperlink" Target="https://www.choroc.com/green/webpage/goods/goodsDetail.jsp?mall_cd=1&amp;store_cd=9002&amp;media_cd=00&amp;category_id=11100&amp;goods_cd=WG024619" TargetMode="External"/><Relationship Id="rId39" Type="http://schemas.openxmlformats.org/officeDocument/2006/relationships/hyperlink" Target="https://www.og-i.com/product/detail.html?product_no=105" TargetMode="External"/><Relationship Id="rId109" Type="http://schemas.openxmlformats.org/officeDocument/2006/relationships/hyperlink" Target="https://www.marketonj.co.kr/goods/goods_view.php?goodsNo=1000000692" TargetMode="External"/><Relationship Id="rId34" Type="http://schemas.openxmlformats.org/officeDocument/2006/relationships/hyperlink" Target="https://www.momnyoung.com/goods/goods_view.php?goodsNo=1000000124&amp;mtn=14%5E%7C%5EBEST+SELLER%5E%7C%5En" TargetMode="External"/><Relationship Id="rId50" Type="http://schemas.openxmlformats.org/officeDocument/2006/relationships/hyperlink" Target="https://www.tmon.co.kr/deal/11151529798?coupon_srl=2931906&amp;utm_source=naver&amp;utm_medium=affiliate&amp;utm_term=72093_1008&amp;utm_content=&amp;utm_campaign=META_%EB%84%A4%EC%9D%B4%EB%B2%84%EC%A7%80%EC%8B%9D%EC%87%BC%ED%95%91" TargetMode="External"/><Relationship Id="rId55" Type="http://schemas.openxmlformats.org/officeDocument/2006/relationships/hyperlink" Target="https://smartstore.naver.com/hyeminkwan/products/6541258593" TargetMode="External"/><Relationship Id="rId76" Type="http://schemas.openxmlformats.org/officeDocument/2006/relationships/hyperlink" Target="https://www.josunbichaek.com/product/111-%ED%98%9C%ED%83%9D-%EC%A1%B0%EC%84%A0%ED%99%A9%EB%A6%BC-%ED%9A%A8%E5%AD%9D-%EB%B0%9C%ED%9A%A8-%EC%B9%A8%ED%96%A5%ED%99%98-30%ED%99%98/13/" TargetMode="External"/><Relationship Id="rId97" Type="http://schemas.openxmlformats.org/officeDocument/2006/relationships/hyperlink" Target="http://www.ekwangdong.co.kr/landing3/index.php" TargetMode="External"/><Relationship Id="rId104" Type="http://schemas.openxmlformats.org/officeDocument/2006/relationships/hyperlink" Target="https://smartstore.naver.com/blessingmina/products/10243693304" TargetMode="External"/><Relationship Id="rId120" Type="http://schemas.openxmlformats.org/officeDocument/2006/relationships/hyperlink" Target="https://smartstore.naver.com/kd_healthlab/products/13291614003" TargetMode="External"/><Relationship Id="rId7" Type="http://schemas.openxmlformats.org/officeDocument/2006/relationships/hyperlink" Target="https://www.kgc.co.kr/front/product/ckj/kids/kids01/177/productDetail.do" TargetMode="External"/><Relationship Id="rId71" Type="http://schemas.openxmlformats.org/officeDocument/2006/relationships/hyperlink" Target="https://www.kgcshop.co.kr/shop/goodsView?itemId=83278" TargetMode="External"/><Relationship Id="rId92" Type="http://schemas.openxmlformats.org/officeDocument/2006/relationships/hyperlink" Target="https://shopagh.com/goods/goods_view.php?goodsNo=1000001282" TargetMode="External"/><Relationship Id="rId2" Type="http://schemas.openxmlformats.org/officeDocument/2006/relationships/hyperlink" Target="https://www.kgc.co.kr/front/product/ckj/deer/antler05/231/productDetail.do" TargetMode="External"/><Relationship Id="rId29" Type="http://schemas.openxmlformats.org/officeDocument/2006/relationships/hyperlink" Target="https://www.immunelab.co.kr/store/?idx=158" TargetMode="External"/><Relationship Id="rId24" Type="http://schemas.openxmlformats.org/officeDocument/2006/relationships/hyperlink" Target="https://www.pkmall.co.kr/shop/item.php?it_id=1614131676" TargetMode="External"/><Relationship Id="rId40" Type="http://schemas.openxmlformats.org/officeDocument/2006/relationships/hyperlink" Target="https://gauiwon.kr/product/%EA%B0%80%EC%9D%98%EC%9B%90-%EB%85%B9%EC%9A%A9-%EC%8C%8D%ED%99%94%EC%B0%A8-2%EA%B0%9C/29/category/52/display/1/" TargetMode="External"/><Relationship Id="rId45" Type="http://schemas.openxmlformats.org/officeDocument/2006/relationships/hyperlink" Target="https://smartstore.naver.com/raidcorp/products/6153430281?NaPm=ct%3Dl1n6eyi8%7Cci%3Dae82f523a81e482575386dc7da68c5c4a854bc3e%7Ctr%3Dsls%7Csn%3D3504299%7Chk%3D6073339bae415183b3b386e3d75f05b575de3bd5" TargetMode="External"/><Relationship Id="rId66" Type="http://schemas.openxmlformats.org/officeDocument/2006/relationships/hyperlink" Target="https://www.kgc.co.kr/front/product/ckj/deer/antler05/254/productDetail.do" TargetMode="External"/><Relationship Id="rId87" Type="http://schemas.openxmlformats.org/officeDocument/2006/relationships/hyperlink" Target="https://smartstore.naver.com/woongbiwon/products/8400151808" TargetMode="External"/><Relationship Id="rId110" Type="http://schemas.openxmlformats.org/officeDocument/2006/relationships/hyperlink" Target="https://kdmemory365.com/product/list.html?cate_no=73" TargetMode="External"/><Relationship Id="rId115" Type="http://schemas.openxmlformats.org/officeDocument/2006/relationships/hyperlink" Target="https://www.kgcshop.co.kr/shop/goodsView?itemId=110738" TargetMode="External"/><Relationship Id="rId61" Type="http://schemas.openxmlformats.org/officeDocument/2006/relationships/hyperlink" Target="https://www.kgc.co.kr/front/product/ckj/antler/antler01/198/productDetail.do" TargetMode="External"/><Relationship Id="rId82" Type="http://schemas.openxmlformats.org/officeDocument/2006/relationships/hyperlink" Target="https://www.kgcshop.co.kr/shop/goodsView?itemId=87703" TargetMode="External"/><Relationship Id="rId19" Type="http://schemas.openxmlformats.org/officeDocument/2006/relationships/hyperlink" Target="http://www.ckdhc.com/product/productView.do?r=CKD_CATE00000006&amp;category=CKD_CATE00000051&amp;prodCode=CHC0000045" TargetMode="External"/><Relationship Id="rId14" Type="http://schemas.openxmlformats.org/officeDocument/2006/relationships/hyperlink" Target="http://hankuksam.com/product/detail.html?product_no=49&amp;cate_no=1&amp;display_group=2" TargetMode="External"/><Relationship Id="rId30" Type="http://schemas.openxmlformats.org/officeDocument/2006/relationships/hyperlink" Target="https://smartstore.naver.com/dsp1212/products/5526648817?NaPm=ct%3Dkqudqr08%7Cci%3D8dd9d97448b8dcb8fffa0230786138ed2ea27ae0%7Ctr%3Dsls%7Csn%3D2579198%7Chk%3Dff34b32b896a7963e1d483fdc7684d3e15c85529" TargetMode="External"/><Relationship Id="rId35" Type="http://schemas.openxmlformats.org/officeDocument/2006/relationships/hyperlink" Target="https://smartstore.naver.com/dradol/products/5784845804?NaPm=ct%3Dkuwauycw%7Cci%3D3af6b3f57ea3cf7339640126d9fd007e491cbc0e%7Ctr%3Dsls%7Csn%3D702339%7Chk%3Dff0f11a590f0cba2dce550756b6ebe850bdce995" TargetMode="External"/><Relationship Id="rId56" Type="http://schemas.openxmlformats.org/officeDocument/2006/relationships/hyperlink" Target="http://itempage3.auction.co.kr/DetailView.aspx?ItemNo=C534583439&amp;frm3=V2" TargetMode="External"/><Relationship Id="rId77" Type="http://schemas.openxmlformats.org/officeDocument/2006/relationships/hyperlink" Target="https://www.100sejong.co.kr/" TargetMode="External"/><Relationship Id="rId100" Type="http://schemas.openxmlformats.org/officeDocument/2006/relationships/hyperlink" Target="https://www.nutricore.co.kr/goods/view?no=1022" TargetMode="External"/><Relationship Id="rId105" Type="http://schemas.openxmlformats.org/officeDocument/2006/relationships/hyperlink" Target="https://www.chunhomall.com/product_view/PBP2405001" TargetMode="External"/><Relationship Id="rId8" Type="http://schemas.openxmlformats.org/officeDocument/2006/relationships/hyperlink" Target="https://www.kgc.co.kr/front/product/ckj/kids/kids02/187/productDetail.do" TargetMode="External"/><Relationship Id="rId51" Type="http://schemas.openxmlformats.org/officeDocument/2006/relationships/hyperlink" Target="https://jaimdangmall.com/product/detail.html?product_no=18621&amp;cate_no=114&amp;display_group=1" TargetMode="External"/><Relationship Id="rId72" Type="http://schemas.openxmlformats.org/officeDocument/2006/relationships/hyperlink" Target="https://m.agallocha.co.kr/product/detail.html?product_no=14" TargetMode="External"/><Relationship Id="rId93" Type="http://schemas.openxmlformats.org/officeDocument/2006/relationships/hyperlink" Target="https://k-beauties.com/product/lg%EC%83%9D%ED%99%9C%EA%B1%B4%EA%B0%95-%EC%83%9D%ED%99%9C%EC%A0%95%EC%9B%90-%EC%A7%84%ED%9A%A8-%EB%85%B9%EC%9A%A9%EC%9B%90-%EB%B0%9C%ED%9A%A8%EC%A7%84%EC%95%A1-30%EC%9D%BC-%EB%B3%B8/1053/" TargetMode="External"/><Relationship Id="rId98" Type="http://schemas.openxmlformats.org/officeDocument/2006/relationships/hyperlink" Target="https://skyclear365.com/product/%EB%A7%91%EC%9D%80365-%EB%A9%B4%EC%97%AD%EB%B3%B4%EA%B0%90-%ED%99%98-1%EA%B0%9C%EC%9B%94%EB%B6%84-30%ED%99%98/156/category/55/display/1/" TargetMode="External"/><Relationship Id="rId121" Type="http://schemas.openxmlformats.org/officeDocument/2006/relationships/hyperlink" Target="https://neworigin.co.kr/goods/goods_view.php?goodsNo=1000002043" TargetMode="External"/><Relationship Id="rId3" Type="http://schemas.openxmlformats.org/officeDocument/2006/relationships/hyperlink" Target="https://www.kgc.co.kr/front/product/ckj/deer/antler05/233/productDetail.do" TargetMode="External"/><Relationship Id="rId25" Type="http://schemas.openxmlformats.org/officeDocument/2006/relationships/hyperlink" Target="http://www.sdhnb.com/chimhyangbichaek/?utm_source=naver&amp;utm_medium=brand_pc&amp;utm_campaign=chimhyang" TargetMode="External"/><Relationship Id="rId46" Type="http://schemas.openxmlformats.org/officeDocument/2006/relationships/hyperlink" Target="https://smartstore.naver.com/gcfood/products/5600718097?NaPm=ct%3Dl1n8bkew%7Cci%3D29bb2d025a63bdc4e256892d91728d7ec18ad475%7Ctr%3Dsls%7Csn%3D331083%7Chk%3Dca91de618579f801bd5fbeed37cae9d39fc1ac59" TargetMode="External"/><Relationship Id="rId67" Type="http://schemas.openxmlformats.org/officeDocument/2006/relationships/hyperlink" Target="https://www.kgcshop.co.kr/shop/goodsView?itemId=64333" TargetMode="External"/><Relationship Id="rId116" Type="http://schemas.openxmlformats.org/officeDocument/2006/relationships/hyperlink" Target="https://www.chunhomall.com/product_view/PBP2509014" TargetMode="External"/><Relationship Id="rId20" Type="http://schemas.openxmlformats.org/officeDocument/2006/relationships/hyperlink" Target="http://www.ckdhc.com/product/productView.do?r=CKD_CATE00000006&amp;category=CKD_CATE00000051&amp;prodCode=CHC0000046" TargetMode="External"/><Relationship Id="rId41" Type="http://schemas.openxmlformats.org/officeDocument/2006/relationships/hyperlink" Target="http://item.gmarket.co.kr/DetailView/Item.asp?goodscode=2247102834&amp;GoodsSale=Y&amp;jaehuid=200001169&amp;NaPm=ct%3Dky143rtc%7Cci%3Db3ca717261cf1c449c1944483b800b37c86b3f51%7Ctr%3Dsls%7Csn%3D24%7Chk%3D102e2bcabd9db762a0ea8675da4edf72aa6af6a8" TargetMode="External"/><Relationship Id="rId62" Type="http://schemas.openxmlformats.org/officeDocument/2006/relationships/hyperlink" Target="https://www.kgc.co.kr/front/product/ckj/antler/antler01/198/productDetail.do" TargetMode="External"/><Relationship Id="rId83" Type="http://schemas.openxmlformats.org/officeDocument/2006/relationships/hyperlink" Target="https://m.fredit.co.kr/product/detail?prdId=37650" TargetMode="External"/><Relationship Id="rId88" Type="http://schemas.openxmlformats.org/officeDocument/2006/relationships/hyperlink" Target="https://www.kgcshop.co.kr/shop/goodsView?itemId=89847" TargetMode="External"/><Relationship Id="rId111" Type="http://schemas.openxmlformats.org/officeDocument/2006/relationships/hyperlink" Target="https://www.kgcshop.co.kr/shop/goodsView?itemId=105392" TargetMode="External"/><Relationship Id="rId15" Type="http://schemas.openxmlformats.org/officeDocument/2006/relationships/hyperlink" Target="https://www.chunhomall.com/product_view/PBP1912005" TargetMode="External"/><Relationship Id="rId36" Type="http://schemas.openxmlformats.org/officeDocument/2006/relationships/hyperlink" Target="https://haroutine.co.kr/product/%ED%95%98%EB%A3%A8%ED%8B%B4-%EB%85%B9%EC%9A%A9%EC%8A%A4%ED%8B%B1-10%ED%8F%AC-x-3%EB%B0%95%EC%8A%A4-30%EC%9D%BC%EB%B6%84%EC%84%A0%EB%AC%BC%EC%9A%A9%EC%87%BC%ED%95%91%EB%B0%B1/33/category/36/display/1/" TargetMode="External"/><Relationship Id="rId57" Type="http://schemas.openxmlformats.org/officeDocument/2006/relationships/hyperlink" Target="https://smartstore.naver.com/ilyanghealth/products/6835042639?NaPm=ct%3Dl6362bwo%7Cci%3Dff9b94efc272842777d23a3ce97e7975bb1caa13%7Ctr%3Dsls%7Csn%3D336766%7Chk%3D1f59fc176c7ec7b31f9d725b97720fd72fd004f1" TargetMode="External"/><Relationship Id="rId106" Type="http://schemas.openxmlformats.org/officeDocument/2006/relationships/hyperlink" Target="https://www.chunhomall.com/product_view/PBP2203006" TargetMode="External"/><Relationship Id="rId10" Type="http://schemas.openxmlformats.org/officeDocument/2006/relationships/hyperlink" Target="https://www.neworigin.co.kr/goods/goods_view.php?goodsNo=1000000043" TargetMode="External"/><Relationship Id="rId31" Type="http://schemas.openxmlformats.org/officeDocument/2006/relationships/hyperlink" Target="https://smartstore.naver.com/seoulhealth/products/5607485298?NaPm=ct%3Dkqudzfi8%7Cci%3D0Au0001Cssnu8ZvapuW%5F%7Ctr%3Dpla%7Chk%3D7d0fc4a64c248cb406cef1a02609a6a100597292" TargetMode="External"/><Relationship Id="rId52" Type="http://schemas.openxmlformats.org/officeDocument/2006/relationships/hyperlink" Target="https://www.immunityplus.co.kr/product/520e325a-4714-4a80-9f31-eaee7d6a88b9-17" TargetMode="External"/><Relationship Id="rId73" Type="http://schemas.openxmlformats.org/officeDocument/2006/relationships/hyperlink" Target="https://brand.naver.com/chunhoncare/products/7404952965" TargetMode="External"/><Relationship Id="rId78" Type="http://schemas.openxmlformats.org/officeDocument/2006/relationships/hyperlink" Target="https://www.nutricore.co.kr/goods/view?no=900" TargetMode="External"/><Relationship Id="rId94" Type="http://schemas.openxmlformats.org/officeDocument/2006/relationships/hyperlink" Target="https://handonglab.com/shop_view/?idx=47" TargetMode="External"/><Relationship Id="rId99" Type="http://schemas.openxmlformats.org/officeDocument/2006/relationships/hyperlink" Target="https://shop.pulmuone.co.kr/shop/goodsView?goods=39357&amp;PageCd=P_PC_goods&amp;ContentCd=37439-AIGds" TargetMode="External"/><Relationship Id="rId101" Type="http://schemas.openxmlformats.org/officeDocument/2006/relationships/hyperlink" Target="https://www.wellife.co.kr/products/view/G2001001628" TargetMode="External"/><Relationship Id="rId122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oodsafetykorea.go.kr/portal/safefoodlife/foodMeterial/foodMeterialDB.do?menu_no=2968&amp;menu_grp=MENU_NEW04" TargetMode="External"/><Relationship Id="rId2" Type="http://schemas.openxmlformats.org/officeDocument/2006/relationships/hyperlink" Target="https://www.foodsafetykorea.go.kr/portal/safefoodlife/foodMeterial/foodMeterialDB.do?menu_no=2968&amp;menu_grp=MENU_NEW04" TargetMode="External"/><Relationship Id="rId1" Type="http://schemas.openxmlformats.org/officeDocument/2006/relationships/hyperlink" Target="https://www.google.com/url?sa=t&amp;rct=j&amp;q=&amp;esrc=s&amp;source=web&amp;cd=&amp;cad=rja&amp;uact=8&amp;ved=2ahUKEwiegKvv77L_AhWQCN4KHcRiBIQQFnoECAoQAQ&amp;url=https%3A%2F%2Fwww.nifds.go.kr%2Fherb%2Fm_442%2Flist.do&amp;usg=AOvVaw2Pf20UwRsdtBO-TM24ALiu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www.nifds.go.kr/herb/m_442/list.d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C73B3-A51E-5D42-94C1-F86432AE3D25}">
  <dimension ref="A1:C36"/>
  <sheetViews>
    <sheetView tabSelected="1" topLeftCell="A14" zoomScale="130" zoomScaleNormal="130" workbookViewId="0">
      <selection activeCell="A35" sqref="A35"/>
    </sheetView>
  </sheetViews>
  <sheetFormatPr defaultColWidth="11" defaultRowHeight="14.45"/>
  <cols>
    <col min="1" max="1" width="27.5" bestFit="1" customWidth="1"/>
    <col min="2" max="2" width="20" bestFit="1" customWidth="1"/>
    <col min="3" max="3" width="19" bestFit="1" customWidth="1"/>
    <col min="4" max="5" width="20.125" bestFit="1" customWidth="1"/>
    <col min="6" max="6" width="21.125" bestFit="1" customWidth="1"/>
    <col min="7" max="7" width="20.125" bestFit="1" customWidth="1"/>
    <col min="8" max="8" width="21.125" bestFit="1" customWidth="1"/>
    <col min="9" max="9" width="20.125" bestFit="1" customWidth="1"/>
    <col min="10" max="10" width="21.125" bestFit="1" customWidth="1"/>
    <col min="11" max="11" width="20.125" bestFit="1" customWidth="1"/>
    <col min="12" max="12" width="21.125" bestFit="1" customWidth="1"/>
    <col min="13" max="13" width="20.125" bestFit="1" customWidth="1"/>
    <col min="14" max="14" width="21.125" bestFit="1" customWidth="1"/>
    <col min="15" max="15" width="20.125" bestFit="1" customWidth="1"/>
    <col min="16" max="16" width="21.125" bestFit="1" customWidth="1"/>
    <col min="17" max="17" width="20.125" bestFit="1" customWidth="1"/>
    <col min="18" max="18" width="21.125" bestFit="1" customWidth="1"/>
    <col min="19" max="19" width="20.125" bestFit="1" customWidth="1"/>
    <col min="20" max="20" width="26" bestFit="1" customWidth="1"/>
    <col min="21" max="21" width="25.125" bestFit="1" customWidth="1"/>
    <col min="22" max="22" width="13.125" bestFit="1" customWidth="1"/>
    <col min="23" max="23" width="12.125" bestFit="1" customWidth="1"/>
    <col min="24" max="24" width="18.875" bestFit="1" customWidth="1"/>
    <col min="25" max="26" width="16.125" bestFit="1" customWidth="1"/>
    <col min="27" max="27" width="14.125" bestFit="1" customWidth="1"/>
    <col min="28" max="28" width="28.875" bestFit="1" customWidth="1"/>
    <col min="29" max="29" width="13.125" bestFit="1" customWidth="1"/>
    <col min="30" max="30" width="23.125" bestFit="1" customWidth="1"/>
    <col min="31" max="31" width="28.625" bestFit="1" customWidth="1"/>
    <col min="32" max="32" width="16.125" bestFit="1" customWidth="1"/>
    <col min="33" max="33" width="17.125" bestFit="1" customWidth="1"/>
    <col min="34" max="34" width="14.125" bestFit="1" customWidth="1"/>
    <col min="35" max="35" width="15.125" bestFit="1" customWidth="1"/>
    <col min="36" max="36" width="14.625" bestFit="1" customWidth="1"/>
    <col min="37" max="37" width="24.625" bestFit="1" customWidth="1"/>
    <col min="38" max="38" width="32.125" bestFit="1" customWidth="1"/>
    <col min="39" max="39" width="37.625" bestFit="1" customWidth="1"/>
    <col min="40" max="40" width="34.125" bestFit="1" customWidth="1"/>
    <col min="41" max="41" width="17.625" bestFit="1" customWidth="1"/>
    <col min="42" max="42" width="26.125" bestFit="1" customWidth="1"/>
    <col min="43" max="43" width="22.125" bestFit="1" customWidth="1"/>
    <col min="44" max="44" width="14.125" bestFit="1" customWidth="1"/>
    <col min="45" max="45" width="13.125" bestFit="1" customWidth="1"/>
    <col min="46" max="46" width="19.875" bestFit="1" customWidth="1"/>
    <col min="47" max="47" width="21.125" bestFit="1" customWidth="1"/>
    <col min="48" max="48" width="28.125" bestFit="1" customWidth="1"/>
    <col min="49" max="49" width="39" bestFit="1" customWidth="1"/>
    <col min="50" max="50" width="32.625" bestFit="1" customWidth="1"/>
    <col min="51" max="51" width="12.125" bestFit="1" customWidth="1"/>
    <col min="52" max="52" width="13.875" bestFit="1" customWidth="1"/>
    <col min="53" max="53" width="11.625" bestFit="1" customWidth="1"/>
    <col min="54" max="54" width="22.125" bestFit="1" customWidth="1"/>
    <col min="55" max="55" width="23.625" bestFit="1" customWidth="1"/>
    <col min="56" max="56" width="15.875" bestFit="1" customWidth="1"/>
    <col min="57" max="58" width="28.125" bestFit="1" customWidth="1"/>
    <col min="59" max="59" width="28.875" bestFit="1" customWidth="1"/>
    <col min="60" max="60" width="18.625" bestFit="1" customWidth="1"/>
    <col min="61" max="61" width="20.625" bestFit="1" customWidth="1"/>
    <col min="62" max="62" width="26.125" bestFit="1" customWidth="1"/>
    <col min="63" max="63" width="22.125" bestFit="1" customWidth="1"/>
    <col min="64" max="65" width="21.125" bestFit="1" customWidth="1"/>
    <col min="66" max="66" width="35.125" bestFit="1" customWidth="1"/>
    <col min="67" max="67" width="23.125" bestFit="1" customWidth="1"/>
    <col min="68" max="68" width="14.125" bestFit="1" customWidth="1"/>
    <col min="69" max="69" width="34.125" bestFit="1" customWidth="1"/>
    <col min="70" max="70" width="32.125" bestFit="1" customWidth="1"/>
    <col min="71" max="71" width="32" bestFit="1" customWidth="1"/>
    <col min="72" max="72" width="22.125" bestFit="1" customWidth="1"/>
    <col min="73" max="73" width="20.625" bestFit="1" customWidth="1"/>
    <col min="74" max="74" width="15.125" bestFit="1" customWidth="1"/>
    <col min="75" max="75" width="10.625" bestFit="1" customWidth="1"/>
    <col min="76" max="76" width="11.625" bestFit="1" customWidth="1"/>
    <col min="77" max="77" width="13.125" bestFit="1" customWidth="1"/>
    <col min="78" max="78" width="11.625" bestFit="1" customWidth="1"/>
    <col min="79" max="79" width="17.125" bestFit="1" customWidth="1"/>
    <col min="80" max="80" width="15.875" bestFit="1" customWidth="1"/>
    <col min="81" max="81" width="23.125" bestFit="1" customWidth="1"/>
    <col min="82" max="82" width="24.125" bestFit="1" customWidth="1"/>
    <col min="83" max="83" width="16.125" bestFit="1" customWidth="1"/>
    <col min="84" max="84" width="19.125" bestFit="1" customWidth="1"/>
    <col min="85" max="85" width="23.875" bestFit="1" customWidth="1"/>
    <col min="86" max="86" width="19.125" bestFit="1" customWidth="1"/>
    <col min="87" max="87" width="25.125" bestFit="1" customWidth="1"/>
    <col min="88" max="88" width="24.875" bestFit="1" customWidth="1"/>
    <col min="89" max="89" width="18.125" bestFit="1" customWidth="1"/>
    <col min="90" max="92" width="25.875" bestFit="1" customWidth="1"/>
    <col min="93" max="93" width="36.125" bestFit="1" customWidth="1"/>
    <col min="94" max="94" width="20.625" bestFit="1" customWidth="1"/>
    <col min="95" max="95" width="36.125" bestFit="1" customWidth="1"/>
    <col min="96" max="96" width="20.625" bestFit="1" customWidth="1"/>
    <col min="97" max="97" width="36.125" bestFit="1" customWidth="1"/>
    <col min="98" max="98" width="12.625" bestFit="1" customWidth="1"/>
    <col min="99" max="99" width="15.125" bestFit="1" customWidth="1"/>
    <col min="100" max="100" width="16.125" bestFit="1" customWidth="1"/>
    <col min="101" max="101" width="20.875" bestFit="1" customWidth="1"/>
    <col min="102" max="102" width="21.125" bestFit="1" customWidth="1"/>
    <col min="103" max="103" width="23.875" bestFit="1" customWidth="1"/>
    <col min="104" max="104" width="21.625" bestFit="1" customWidth="1"/>
    <col min="105" max="105" width="20.125" bestFit="1" customWidth="1"/>
    <col min="106" max="106" width="22.625" bestFit="1" customWidth="1"/>
    <col min="107" max="107" width="19.625" bestFit="1" customWidth="1"/>
    <col min="108" max="108" width="23.625" bestFit="1" customWidth="1"/>
    <col min="109" max="109" width="25.125" bestFit="1" customWidth="1"/>
    <col min="110" max="110" width="22.125" bestFit="1" customWidth="1"/>
    <col min="111" max="111" width="24.125" bestFit="1" customWidth="1"/>
    <col min="112" max="112" width="19.125" bestFit="1" customWidth="1"/>
    <col min="113" max="113" width="21.875" bestFit="1" customWidth="1"/>
    <col min="114" max="114" width="17.875" bestFit="1" customWidth="1"/>
    <col min="115" max="115" width="14.625" bestFit="1" customWidth="1"/>
    <col min="116" max="116" width="14.125" bestFit="1" customWidth="1"/>
    <col min="117" max="117" width="9.625" bestFit="1" customWidth="1"/>
    <col min="118" max="118" width="54.125" bestFit="1" customWidth="1"/>
    <col min="119" max="119" width="55.875" bestFit="1" customWidth="1"/>
    <col min="120" max="120" width="53.125" bestFit="1" customWidth="1"/>
    <col min="121" max="121" width="16.125" bestFit="1" customWidth="1"/>
    <col min="122" max="122" width="26.125" bestFit="1" customWidth="1"/>
    <col min="123" max="123" width="29.125" bestFit="1" customWidth="1"/>
    <col min="124" max="124" width="10.875" bestFit="1" customWidth="1"/>
    <col min="125" max="125" width="33.875" bestFit="1" customWidth="1"/>
    <col min="126" max="126" width="10.125" bestFit="1" customWidth="1"/>
    <col min="127" max="128" width="14.125" bestFit="1" customWidth="1"/>
    <col min="129" max="129" width="7.125" bestFit="1" customWidth="1"/>
    <col min="130" max="130" width="21.125" bestFit="1" customWidth="1"/>
    <col min="131" max="131" width="29.125" bestFit="1" customWidth="1"/>
    <col min="132" max="132" width="25.125" bestFit="1" customWidth="1"/>
    <col min="133" max="133" width="18.625" bestFit="1" customWidth="1"/>
    <col min="134" max="134" width="13.125" bestFit="1" customWidth="1"/>
    <col min="135" max="135" width="22.125" bestFit="1" customWidth="1"/>
    <col min="136" max="136" width="18.125" bestFit="1" customWidth="1"/>
    <col min="137" max="137" width="13.125" bestFit="1" customWidth="1"/>
    <col min="138" max="138" width="25.625" bestFit="1" customWidth="1"/>
    <col min="139" max="139" width="19.875" bestFit="1" customWidth="1"/>
    <col min="140" max="140" width="11.125" bestFit="1" customWidth="1"/>
    <col min="141" max="141" width="13.125" bestFit="1" customWidth="1"/>
    <col min="142" max="142" width="9.875" bestFit="1" customWidth="1"/>
    <col min="143" max="143" width="13.875" bestFit="1" customWidth="1"/>
    <col min="144" max="144" width="18.125" bestFit="1" customWidth="1"/>
    <col min="145" max="145" width="29.125" bestFit="1" customWidth="1"/>
    <col min="146" max="146" width="28.625" bestFit="1" customWidth="1"/>
    <col min="147" max="147" width="17.125" bestFit="1" customWidth="1"/>
    <col min="148" max="148" width="27.125" bestFit="1" customWidth="1"/>
    <col min="149" max="149" width="28.125" bestFit="1" customWidth="1"/>
    <col min="150" max="150" width="36.125" bestFit="1" customWidth="1"/>
    <col min="151" max="151" width="17.625" bestFit="1" customWidth="1"/>
    <col min="152" max="152" width="21.625" bestFit="1" customWidth="1"/>
    <col min="153" max="153" width="26.125" bestFit="1" customWidth="1"/>
    <col min="154" max="154" width="25.125" bestFit="1" customWidth="1"/>
    <col min="155" max="155" width="21.125" bestFit="1" customWidth="1"/>
    <col min="156" max="156" width="27" bestFit="1" customWidth="1"/>
    <col min="157" max="157" width="30.125" bestFit="1" customWidth="1"/>
    <col min="158" max="158" width="23" bestFit="1" customWidth="1"/>
    <col min="159" max="159" width="13.125" bestFit="1" customWidth="1"/>
    <col min="160" max="160" width="32.125" bestFit="1" customWidth="1"/>
    <col min="161" max="161" width="43.125" bestFit="1" customWidth="1"/>
    <col min="162" max="162" width="36.125" bestFit="1" customWidth="1"/>
    <col min="163" max="163" width="13.125" bestFit="1" customWidth="1"/>
    <col min="164" max="164" width="35.875" bestFit="1" customWidth="1"/>
    <col min="165" max="165" width="38.625" bestFit="1" customWidth="1"/>
    <col min="166" max="166" width="12.125" bestFit="1" customWidth="1"/>
    <col min="167" max="167" width="19.125" bestFit="1" customWidth="1"/>
    <col min="168" max="168" width="30.125" bestFit="1" customWidth="1"/>
    <col min="169" max="169" width="5.125" bestFit="1" customWidth="1"/>
    <col min="170" max="170" width="19.125" bestFit="1" customWidth="1"/>
    <col min="171" max="171" width="17.875" bestFit="1" customWidth="1"/>
    <col min="172" max="172" width="27.125" bestFit="1" customWidth="1"/>
    <col min="173" max="173" width="28.125" bestFit="1" customWidth="1"/>
    <col min="174" max="174" width="10.625" bestFit="1" customWidth="1"/>
    <col min="175" max="175" width="16.625" bestFit="1" customWidth="1"/>
    <col min="176" max="176" width="28.125" bestFit="1" customWidth="1"/>
    <col min="177" max="177" width="19.125" bestFit="1" customWidth="1"/>
    <col min="178" max="178" width="20.875" bestFit="1" customWidth="1"/>
    <col min="179" max="179" width="19.875" bestFit="1" customWidth="1"/>
    <col min="180" max="180" width="21.875" bestFit="1" customWidth="1"/>
    <col min="181" max="181" width="8.875" bestFit="1" customWidth="1"/>
    <col min="182" max="182" width="21.125" bestFit="1" customWidth="1"/>
    <col min="183" max="183" width="16.125" bestFit="1" customWidth="1"/>
    <col min="184" max="184" width="36.875" bestFit="1" customWidth="1"/>
    <col min="185" max="185" width="18.125" bestFit="1" customWidth="1"/>
    <col min="186" max="186" width="18.875" bestFit="1" customWidth="1"/>
    <col min="187" max="188" width="22.125" bestFit="1" customWidth="1"/>
    <col min="189" max="189" width="10.875" bestFit="1" customWidth="1"/>
    <col min="190" max="190" width="16.625" bestFit="1" customWidth="1"/>
    <col min="191" max="191" width="21.625" bestFit="1" customWidth="1"/>
    <col min="192" max="192" width="17.875" bestFit="1" customWidth="1"/>
    <col min="193" max="193" width="38.875" bestFit="1" customWidth="1"/>
    <col min="194" max="195" width="27.125" bestFit="1" customWidth="1"/>
    <col min="196" max="196" width="19" bestFit="1" customWidth="1"/>
    <col min="197" max="197" width="8" bestFit="1" customWidth="1"/>
    <col min="198" max="198" width="20.625" bestFit="1" customWidth="1"/>
    <col min="199" max="199" width="23.125" bestFit="1" customWidth="1"/>
    <col min="200" max="200" width="28.125" bestFit="1" customWidth="1"/>
    <col min="201" max="201" width="21.125" bestFit="1" customWidth="1"/>
    <col min="202" max="202" width="28.875" bestFit="1" customWidth="1"/>
    <col min="203" max="203" width="18.125" bestFit="1" customWidth="1"/>
    <col min="204" max="204" width="21.125" bestFit="1" customWidth="1"/>
    <col min="205" max="205" width="9.875" bestFit="1" customWidth="1"/>
    <col min="206" max="206" width="33.125" bestFit="1" customWidth="1"/>
    <col min="207" max="207" width="37.875" bestFit="1" customWidth="1"/>
    <col min="208" max="208" width="29.125" bestFit="1" customWidth="1"/>
    <col min="209" max="209" width="27.125" bestFit="1" customWidth="1"/>
    <col min="210" max="210" width="19.625" bestFit="1" customWidth="1"/>
    <col min="211" max="211" width="27.875" bestFit="1" customWidth="1"/>
    <col min="212" max="212" width="26.125" bestFit="1" customWidth="1"/>
    <col min="213" max="213" width="24.125" bestFit="1" customWidth="1"/>
    <col min="214" max="214" width="22.125" bestFit="1" customWidth="1"/>
    <col min="215" max="215" width="21.125" bestFit="1" customWidth="1"/>
    <col min="216" max="216" width="29.125" bestFit="1" customWidth="1"/>
    <col min="217" max="217" width="28.125" bestFit="1" customWidth="1"/>
    <col min="218" max="218" width="36.125" bestFit="1" customWidth="1"/>
    <col min="219" max="219" width="10.625" bestFit="1" customWidth="1"/>
  </cols>
  <sheetData>
    <row r="1" spans="1:3">
      <c r="A1" s="2" t="s">
        <v>0</v>
      </c>
      <c r="B1" t="s">
        <v>1</v>
      </c>
      <c r="C1" t="s">
        <v>2</v>
      </c>
    </row>
    <row r="2" spans="1:3">
      <c r="A2" s="1">
        <v>2011</v>
      </c>
      <c r="B2" s="33"/>
      <c r="C2" s="33">
        <v>3</v>
      </c>
    </row>
    <row r="3" spans="1:3">
      <c r="A3" s="1">
        <v>2012</v>
      </c>
      <c r="B3" s="33"/>
      <c r="C3" s="33">
        <v>4</v>
      </c>
    </row>
    <row r="4" spans="1:3">
      <c r="A4" s="1">
        <v>2014</v>
      </c>
      <c r="B4" s="33"/>
      <c r="C4" s="33">
        <v>2</v>
      </c>
    </row>
    <row r="5" spans="1:3">
      <c r="A5" s="1">
        <v>2015</v>
      </c>
      <c r="B5" s="33"/>
      <c r="C5" s="33">
        <v>2</v>
      </c>
    </row>
    <row r="6" spans="1:3">
      <c r="A6" s="1">
        <v>2016</v>
      </c>
      <c r="B6" s="33"/>
      <c r="C6" s="33">
        <v>10</v>
      </c>
    </row>
    <row r="7" spans="1:3">
      <c r="A7" s="1">
        <v>2017</v>
      </c>
      <c r="B7" s="33"/>
      <c r="C7" s="33">
        <v>11</v>
      </c>
    </row>
    <row r="8" spans="1:3">
      <c r="A8" s="1">
        <v>2018</v>
      </c>
      <c r="B8" s="33"/>
      <c r="C8" s="33">
        <v>62</v>
      </c>
    </row>
    <row r="9" spans="1:3">
      <c r="A9" s="1">
        <v>2019</v>
      </c>
      <c r="B9" s="33"/>
      <c r="C9" s="33">
        <v>37</v>
      </c>
    </row>
    <row r="10" spans="1:3">
      <c r="A10" s="1">
        <v>2020</v>
      </c>
      <c r="B10" s="33"/>
      <c r="C10" s="33">
        <v>42</v>
      </c>
    </row>
    <row r="11" spans="1:3">
      <c r="A11" s="1">
        <v>2021</v>
      </c>
      <c r="B11" s="33"/>
      <c r="C11" s="33">
        <v>34</v>
      </c>
    </row>
    <row r="12" spans="1:3">
      <c r="A12" s="1">
        <v>2022</v>
      </c>
      <c r="B12" s="33">
        <v>7</v>
      </c>
      <c r="C12" s="33">
        <v>27</v>
      </c>
    </row>
    <row r="13" spans="1:3">
      <c r="A13" s="1">
        <v>2023</v>
      </c>
      <c r="B13" s="33">
        <v>18</v>
      </c>
      <c r="C13" s="33">
        <v>18</v>
      </c>
    </row>
    <row r="14" spans="1:3">
      <c r="A14" s="1">
        <v>2024</v>
      </c>
      <c r="B14" s="33">
        <v>12</v>
      </c>
      <c r="C14" s="33">
        <v>12</v>
      </c>
    </row>
    <row r="15" spans="1:3">
      <c r="A15" s="1">
        <v>2025</v>
      </c>
      <c r="B15" s="33">
        <v>12</v>
      </c>
      <c r="C15" s="33">
        <v>12</v>
      </c>
    </row>
    <row r="16" spans="1:3">
      <c r="A16" s="3" t="s">
        <v>3</v>
      </c>
      <c r="B16" s="33">
        <v>1</v>
      </c>
      <c r="C16" s="33">
        <v>1</v>
      </c>
    </row>
    <row r="17" spans="1:3">
      <c r="A17" s="20" t="s">
        <v>4</v>
      </c>
      <c r="B17" s="33">
        <v>1</v>
      </c>
      <c r="C17" s="33">
        <v>1</v>
      </c>
    </row>
    <row r="18" spans="1:3">
      <c r="A18" s="3" t="s">
        <v>5</v>
      </c>
      <c r="B18" s="33">
        <v>2</v>
      </c>
      <c r="C18" s="33">
        <v>2</v>
      </c>
    </row>
    <row r="19" spans="1:3">
      <c r="A19" s="20" t="s">
        <v>6</v>
      </c>
      <c r="B19" s="33">
        <v>1</v>
      </c>
      <c r="C19" s="33">
        <v>1</v>
      </c>
    </row>
    <row r="20" spans="1:3">
      <c r="A20" s="20" t="s">
        <v>7</v>
      </c>
      <c r="B20" s="33">
        <v>1</v>
      </c>
      <c r="C20" s="33">
        <v>1</v>
      </c>
    </row>
    <row r="21" spans="1:3">
      <c r="A21" s="3" t="s">
        <v>8</v>
      </c>
      <c r="B21" s="33">
        <v>4</v>
      </c>
      <c r="C21" s="33">
        <v>4</v>
      </c>
    </row>
    <row r="22" spans="1:3">
      <c r="A22" s="20" t="s">
        <v>9</v>
      </c>
      <c r="B22" s="33">
        <v>4</v>
      </c>
      <c r="C22" s="33">
        <v>4</v>
      </c>
    </row>
    <row r="23" spans="1:3">
      <c r="A23" s="3" t="s">
        <v>10</v>
      </c>
      <c r="B23" s="33">
        <v>1</v>
      </c>
      <c r="C23" s="33">
        <v>1</v>
      </c>
    </row>
    <row r="24" spans="1:3">
      <c r="A24" s="20" t="s">
        <v>11</v>
      </c>
      <c r="B24" s="33">
        <v>1</v>
      </c>
      <c r="C24" s="33">
        <v>1</v>
      </c>
    </row>
    <row r="25" spans="1:3">
      <c r="A25" s="3" t="s">
        <v>12</v>
      </c>
      <c r="B25" s="33">
        <v>1</v>
      </c>
      <c r="C25" s="33">
        <v>1</v>
      </c>
    </row>
    <row r="26" spans="1:3">
      <c r="A26" s="20" t="s">
        <v>4</v>
      </c>
      <c r="B26" s="33">
        <v>1</v>
      </c>
      <c r="C26" s="33">
        <v>1</v>
      </c>
    </row>
    <row r="27" spans="1:3">
      <c r="A27" s="3" t="s">
        <v>13</v>
      </c>
      <c r="B27" s="33">
        <v>1</v>
      </c>
      <c r="C27" s="33">
        <v>1</v>
      </c>
    </row>
    <row r="28" spans="1:3">
      <c r="A28" s="20" t="s">
        <v>14</v>
      </c>
      <c r="B28" s="33">
        <v>1</v>
      </c>
      <c r="C28" s="33">
        <v>1</v>
      </c>
    </row>
    <row r="29" spans="1:3">
      <c r="A29" s="3" t="s">
        <v>15</v>
      </c>
      <c r="B29" s="33">
        <v>2</v>
      </c>
      <c r="C29" s="33">
        <v>2</v>
      </c>
    </row>
    <row r="30" spans="1:3">
      <c r="A30" s="20" t="s">
        <v>16</v>
      </c>
      <c r="B30" s="33">
        <v>2</v>
      </c>
      <c r="C30" s="33">
        <v>2</v>
      </c>
    </row>
    <row r="31" spans="1:3">
      <c r="A31" s="1">
        <v>2026</v>
      </c>
      <c r="B31" s="33">
        <v>2</v>
      </c>
      <c r="C31" s="33">
        <v>2</v>
      </c>
    </row>
    <row r="32" spans="1:3">
      <c r="A32" s="3" t="s">
        <v>17</v>
      </c>
      <c r="B32" s="33">
        <v>1</v>
      </c>
      <c r="C32" s="33">
        <v>1</v>
      </c>
    </row>
    <row r="33" spans="1:3">
      <c r="A33" s="20" t="s">
        <v>18</v>
      </c>
      <c r="B33" s="33">
        <v>1</v>
      </c>
      <c r="C33" s="33">
        <v>1</v>
      </c>
    </row>
    <row r="34" spans="1:3">
      <c r="A34" s="3" t="s">
        <v>19</v>
      </c>
      <c r="B34" s="33">
        <v>1</v>
      </c>
      <c r="C34" s="33">
        <v>1</v>
      </c>
    </row>
    <row r="35" spans="1:3">
      <c r="A35" s="20" t="s">
        <v>20</v>
      </c>
      <c r="B35" s="33">
        <v>1</v>
      </c>
      <c r="C35" s="33">
        <v>1</v>
      </c>
    </row>
    <row r="36" spans="1:3">
      <c r="A36" s="1" t="s">
        <v>21</v>
      </c>
      <c r="B36" s="33">
        <v>51</v>
      </c>
      <c r="C36" s="33">
        <v>278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23AA6-B954-4D90-940C-BB497D3D4E11}">
  <dimension ref="A1:R282"/>
  <sheetViews>
    <sheetView topLeftCell="A264" zoomScaleNormal="100" workbookViewId="0">
      <selection activeCell="A281" sqref="A281"/>
    </sheetView>
  </sheetViews>
  <sheetFormatPr defaultColWidth="36.125" defaultRowHeight="12.6"/>
  <cols>
    <col min="1" max="1" width="32.875" style="5" bestFit="1" customWidth="1"/>
    <col min="2" max="2" width="46.625" style="6" bestFit="1" customWidth="1"/>
    <col min="3" max="3" width="26.125" style="6" customWidth="1"/>
    <col min="4" max="4" width="9.125" style="6" bestFit="1" customWidth="1"/>
    <col min="5" max="5" width="7.125" style="6" bestFit="1" customWidth="1"/>
    <col min="6" max="6" width="16" style="6" bestFit="1" customWidth="1"/>
    <col min="7" max="7" width="7" style="6" bestFit="1" customWidth="1"/>
    <col min="8" max="8" width="11.625" style="6" bestFit="1" customWidth="1"/>
    <col min="9" max="9" width="21.625" style="6" bestFit="1" customWidth="1"/>
    <col min="10" max="10" width="81" style="6" bestFit="1" customWidth="1"/>
    <col min="11" max="11" width="63" style="6" bestFit="1" customWidth="1"/>
    <col min="12" max="12" width="13.125" style="6" bestFit="1" customWidth="1"/>
    <col min="13" max="13" width="13.125" style="6" customWidth="1"/>
    <col min="14" max="14" width="17.625" style="6" bestFit="1" customWidth="1"/>
    <col min="15" max="15" width="18.125" style="6" bestFit="1" customWidth="1"/>
    <col min="16" max="16" width="96.125" style="6" bestFit="1" customWidth="1"/>
    <col min="17" max="17" width="15.125" style="6" bestFit="1" customWidth="1"/>
    <col min="18" max="18" width="255.875" style="6" bestFit="1" customWidth="1"/>
    <col min="19" max="16384" width="36.125" style="6"/>
  </cols>
  <sheetData>
    <row r="1" spans="1:18" s="28" customFormat="1" ht="12.95">
      <c r="A1" s="26" t="s">
        <v>22</v>
      </c>
      <c r="B1" s="27" t="s">
        <v>23</v>
      </c>
      <c r="C1" s="27" t="s">
        <v>24</v>
      </c>
      <c r="D1" s="27" t="s">
        <v>25</v>
      </c>
      <c r="E1" s="27" t="s">
        <v>26</v>
      </c>
      <c r="F1" s="27" t="s">
        <v>26</v>
      </c>
      <c r="G1" s="27" t="s">
        <v>27</v>
      </c>
      <c r="H1" s="27" t="s">
        <v>28</v>
      </c>
      <c r="I1" s="27" t="s">
        <v>29</v>
      </c>
      <c r="J1" s="27" t="s">
        <v>30</v>
      </c>
      <c r="K1" s="27" t="s">
        <v>31</v>
      </c>
      <c r="L1" s="27" t="s">
        <v>32</v>
      </c>
      <c r="M1" s="27" t="s">
        <v>33</v>
      </c>
      <c r="N1" s="27" t="s">
        <v>34</v>
      </c>
      <c r="O1" s="27" t="s">
        <v>35</v>
      </c>
      <c r="P1" s="27" t="s">
        <v>36</v>
      </c>
      <c r="Q1" s="27" t="s">
        <v>37</v>
      </c>
      <c r="R1" s="27" t="s">
        <v>38</v>
      </c>
    </row>
    <row r="2" spans="1:18">
      <c r="A2" s="5" t="s">
        <v>39</v>
      </c>
      <c r="B2" s="5" t="s">
        <v>40</v>
      </c>
      <c r="C2" s="5" t="s">
        <v>41</v>
      </c>
      <c r="D2" s="5">
        <v>3.75</v>
      </c>
      <c r="E2" s="5" t="s">
        <v>42</v>
      </c>
      <c r="F2" s="5">
        <v>60</v>
      </c>
      <c r="G2" s="5">
        <f t="shared" ref="G2:G7" si="0">+D2*F2</f>
        <v>225</v>
      </c>
      <c r="H2" s="5">
        <v>354220</v>
      </c>
      <c r="I2" s="5" t="s">
        <v>43</v>
      </c>
      <c r="J2" s="5" t="s">
        <v>44</v>
      </c>
      <c r="K2" s="5" t="s">
        <v>45</v>
      </c>
      <c r="L2" s="5">
        <v>2020</v>
      </c>
      <c r="M2" s="5"/>
      <c r="N2" s="5" t="s">
        <v>46</v>
      </c>
      <c r="O2" s="5" t="s">
        <v>47</v>
      </c>
      <c r="P2" s="5" t="s">
        <v>48</v>
      </c>
      <c r="Q2" s="5" t="s">
        <v>49</v>
      </c>
      <c r="R2" s="5" t="s">
        <v>50</v>
      </c>
    </row>
    <row r="3" spans="1:18">
      <c r="A3" s="5" t="s">
        <v>51</v>
      </c>
      <c r="B3" s="5" t="s">
        <v>52</v>
      </c>
      <c r="C3" s="5" t="s">
        <v>53</v>
      </c>
      <c r="D3" s="5">
        <v>25</v>
      </c>
      <c r="E3" s="5" t="s">
        <v>54</v>
      </c>
      <c r="F3" s="5">
        <v>21</v>
      </c>
      <c r="G3" s="5">
        <f t="shared" si="0"/>
        <v>525</v>
      </c>
      <c r="H3" s="5">
        <v>840000</v>
      </c>
      <c r="I3" s="5" t="s">
        <v>55</v>
      </c>
      <c r="J3" s="5" t="s">
        <v>56</v>
      </c>
      <c r="K3" s="5" t="s">
        <v>56</v>
      </c>
      <c r="L3" s="5">
        <v>2020</v>
      </c>
      <c r="M3" s="5"/>
      <c r="N3" s="5" t="s">
        <v>57</v>
      </c>
      <c r="O3" s="5" t="s">
        <v>47</v>
      </c>
      <c r="P3" s="5" t="s">
        <v>58</v>
      </c>
      <c r="Q3" s="5" t="s">
        <v>49</v>
      </c>
      <c r="R3" s="9" t="s">
        <v>59</v>
      </c>
    </row>
    <row r="4" spans="1:18" ht="14.45">
      <c r="A4" s="5" t="s">
        <v>60</v>
      </c>
      <c r="B4" s="5" t="s">
        <v>61</v>
      </c>
      <c r="C4" s="5" t="s">
        <v>62</v>
      </c>
      <c r="D4" s="5">
        <v>3.75</v>
      </c>
      <c r="E4" s="5" t="s">
        <v>42</v>
      </c>
      <c r="F4" s="5">
        <v>30</v>
      </c>
      <c r="G4" s="5">
        <f t="shared" si="0"/>
        <v>112.5</v>
      </c>
      <c r="H4" s="5">
        <v>89000</v>
      </c>
      <c r="I4" s="5" t="s">
        <v>43</v>
      </c>
      <c r="J4" s="5" t="s">
        <v>63</v>
      </c>
      <c r="K4" s="5" t="s">
        <v>64</v>
      </c>
      <c r="L4" s="5">
        <v>2023</v>
      </c>
      <c r="M4" s="5" t="s">
        <v>13</v>
      </c>
      <c r="N4" s="5" t="s">
        <v>46</v>
      </c>
      <c r="O4" s="5" t="s">
        <v>47</v>
      </c>
      <c r="P4" s="5" t="s">
        <v>48</v>
      </c>
      <c r="Q4" s="5" t="s">
        <v>49</v>
      </c>
      <c r="R4" s="18" t="s">
        <v>65</v>
      </c>
    </row>
    <row r="5" spans="1:18" ht="14.45">
      <c r="A5" s="5" t="s">
        <v>66</v>
      </c>
      <c r="B5" s="5" t="s">
        <v>67</v>
      </c>
      <c r="C5" s="5" t="s">
        <v>68</v>
      </c>
      <c r="D5" s="5">
        <v>3.75</v>
      </c>
      <c r="E5" s="5" t="s">
        <v>42</v>
      </c>
      <c r="F5" s="5">
        <v>30</v>
      </c>
      <c r="G5" s="5">
        <f t="shared" si="0"/>
        <v>112.5</v>
      </c>
      <c r="H5" s="5">
        <v>399000</v>
      </c>
      <c r="I5" s="8" t="s">
        <v>43</v>
      </c>
      <c r="J5" s="5" t="s">
        <v>69</v>
      </c>
      <c r="K5" s="5" t="s">
        <v>70</v>
      </c>
      <c r="L5" s="5">
        <v>2022</v>
      </c>
      <c r="M5" s="5" t="s">
        <v>71</v>
      </c>
      <c r="N5" s="5" t="s">
        <v>46</v>
      </c>
      <c r="O5" s="5" t="s">
        <v>72</v>
      </c>
      <c r="P5" s="5" t="s">
        <v>48</v>
      </c>
      <c r="Q5" s="5" t="s">
        <v>49</v>
      </c>
      <c r="R5" s="18" t="s">
        <v>73</v>
      </c>
    </row>
    <row r="6" spans="1:18">
      <c r="A6" s="5" t="s">
        <v>74</v>
      </c>
      <c r="B6" s="5" t="s">
        <v>75</v>
      </c>
      <c r="C6" s="5" t="s">
        <v>76</v>
      </c>
      <c r="D6" s="5">
        <v>50</v>
      </c>
      <c r="E6" s="5" t="s">
        <v>77</v>
      </c>
      <c r="F6" s="5">
        <v>10</v>
      </c>
      <c r="G6" s="5">
        <f t="shared" si="0"/>
        <v>500</v>
      </c>
      <c r="H6" s="5">
        <v>42000</v>
      </c>
      <c r="I6" s="5" t="s">
        <v>78</v>
      </c>
      <c r="J6" s="5" t="s">
        <v>79</v>
      </c>
      <c r="K6" s="5" t="s">
        <v>80</v>
      </c>
      <c r="L6" s="5">
        <v>2020</v>
      </c>
      <c r="M6" s="5"/>
      <c r="N6" s="5" t="s">
        <v>81</v>
      </c>
      <c r="O6" s="5" t="s">
        <v>82</v>
      </c>
      <c r="P6" s="5" t="s">
        <v>48</v>
      </c>
      <c r="Q6" s="5" t="s">
        <v>83</v>
      </c>
      <c r="R6" s="5" t="s">
        <v>84</v>
      </c>
    </row>
    <row r="7" spans="1:18">
      <c r="A7" s="5" t="s">
        <v>85</v>
      </c>
      <c r="B7" s="5" t="s">
        <v>86</v>
      </c>
      <c r="C7" s="5" t="s">
        <v>87</v>
      </c>
      <c r="D7" s="5">
        <v>3.75</v>
      </c>
      <c r="E7" s="5" t="s">
        <v>42</v>
      </c>
      <c r="F7" s="5">
        <v>10</v>
      </c>
      <c r="G7" s="5">
        <f t="shared" si="0"/>
        <v>37.5</v>
      </c>
      <c r="H7" s="5">
        <v>120000</v>
      </c>
      <c r="I7" s="5" t="s">
        <v>43</v>
      </c>
      <c r="J7" s="5" t="s">
        <v>88</v>
      </c>
      <c r="K7" s="5" t="s">
        <v>89</v>
      </c>
      <c r="L7" s="5">
        <v>2020</v>
      </c>
      <c r="M7" s="5"/>
      <c r="N7" s="5" t="s">
        <v>46</v>
      </c>
      <c r="O7" s="5" t="s">
        <v>72</v>
      </c>
      <c r="P7" s="5" t="s">
        <v>48</v>
      </c>
      <c r="Q7" s="5" t="s">
        <v>49</v>
      </c>
      <c r="R7" s="5" t="s">
        <v>90</v>
      </c>
    </row>
    <row r="8" spans="1:18">
      <c r="A8" s="5" t="s">
        <v>91</v>
      </c>
      <c r="B8" s="4" t="s">
        <v>92</v>
      </c>
      <c r="C8" s="4" t="s">
        <v>93</v>
      </c>
      <c r="D8" s="8">
        <v>1</v>
      </c>
      <c r="E8" s="8" t="s">
        <v>54</v>
      </c>
      <c r="F8" s="8">
        <v>60</v>
      </c>
      <c r="G8" s="8">
        <f t="shared" ref="G8:G15" si="1">D8*F8</f>
        <v>60</v>
      </c>
      <c r="H8" s="8">
        <v>129000</v>
      </c>
      <c r="I8" s="8" t="s">
        <v>94</v>
      </c>
      <c r="J8" s="8" t="s">
        <v>63</v>
      </c>
      <c r="K8" s="5" t="s">
        <v>64</v>
      </c>
      <c r="L8" s="8">
        <v>2019</v>
      </c>
      <c r="M8" s="8"/>
      <c r="N8" s="5" t="s">
        <v>95</v>
      </c>
      <c r="O8" s="5" t="s">
        <v>47</v>
      </c>
      <c r="P8" s="5" t="s">
        <v>48</v>
      </c>
      <c r="Q8" s="5" t="s">
        <v>49</v>
      </c>
      <c r="R8" s="9" t="s">
        <v>96</v>
      </c>
    </row>
    <row r="9" spans="1:18" ht="14.45">
      <c r="A9" s="5" t="s">
        <v>16</v>
      </c>
      <c r="B9" s="4" t="s">
        <v>97</v>
      </c>
      <c r="C9" s="4" t="s">
        <v>98</v>
      </c>
      <c r="D9" s="8">
        <v>3.75</v>
      </c>
      <c r="E9" s="8" t="s">
        <v>54</v>
      </c>
      <c r="F9" s="8">
        <v>60</v>
      </c>
      <c r="G9" s="8">
        <f t="shared" si="1"/>
        <v>225</v>
      </c>
      <c r="H9" s="8">
        <v>99000</v>
      </c>
      <c r="I9" s="8" t="s">
        <v>43</v>
      </c>
      <c r="J9" s="8" t="s">
        <v>63</v>
      </c>
      <c r="K9" s="5" t="s">
        <v>64</v>
      </c>
      <c r="L9" s="8">
        <v>2025</v>
      </c>
      <c r="M9" s="8" t="s">
        <v>15</v>
      </c>
      <c r="N9" s="5" t="s">
        <v>46</v>
      </c>
      <c r="O9" s="5" t="s">
        <v>72</v>
      </c>
      <c r="P9" s="5" t="s">
        <v>48</v>
      </c>
      <c r="Q9" s="5" t="s">
        <v>49</v>
      </c>
      <c r="R9" s="18" t="s">
        <v>99</v>
      </c>
    </row>
    <row r="10" spans="1:18" ht="14.45">
      <c r="A10" s="5" t="s">
        <v>16</v>
      </c>
      <c r="B10" s="4" t="s">
        <v>100</v>
      </c>
      <c r="C10" s="4" t="s">
        <v>101</v>
      </c>
      <c r="D10" s="8">
        <v>15</v>
      </c>
      <c r="E10" s="8" t="s">
        <v>54</v>
      </c>
      <c r="F10" s="8">
        <v>30</v>
      </c>
      <c r="G10" s="8">
        <f t="shared" si="1"/>
        <v>450</v>
      </c>
      <c r="H10" s="8">
        <v>99000</v>
      </c>
      <c r="I10" s="8" t="s">
        <v>102</v>
      </c>
      <c r="J10" s="8" t="s">
        <v>103</v>
      </c>
      <c r="K10" s="5" t="s">
        <v>104</v>
      </c>
      <c r="L10" s="8">
        <v>2025</v>
      </c>
      <c r="M10" s="8" t="s">
        <v>15</v>
      </c>
      <c r="N10" s="5" t="s">
        <v>95</v>
      </c>
      <c r="O10" s="5" t="s">
        <v>47</v>
      </c>
      <c r="P10" s="5" t="s">
        <v>48</v>
      </c>
      <c r="Q10" s="5" t="s">
        <v>49</v>
      </c>
      <c r="R10" s="18" t="s">
        <v>105</v>
      </c>
    </row>
    <row r="11" spans="1:18" ht="14.45">
      <c r="A11" s="5" t="s">
        <v>106</v>
      </c>
      <c r="B11" s="4" t="s">
        <v>107</v>
      </c>
      <c r="C11" s="4" t="s">
        <v>108</v>
      </c>
      <c r="D11" s="8">
        <v>4.5</v>
      </c>
      <c r="E11" s="8" t="s">
        <v>54</v>
      </c>
      <c r="F11" s="8">
        <v>30</v>
      </c>
      <c r="G11" s="8">
        <f t="shared" si="1"/>
        <v>135</v>
      </c>
      <c r="H11" s="8">
        <v>189000</v>
      </c>
      <c r="I11" s="7" t="s">
        <v>109</v>
      </c>
      <c r="J11" s="8" t="s">
        <v>63</v>
      </c>
      <c r="K11" s="5" t="s">
        <v>64</v>
      </c>
      <c r="L11" s="8">
        <v>2024</v>
      </c>
      <c r="M11" s="8" t="s">
        <v>5</v>
      </c>
      <c r="N11" s="5" t="s">
        <v>46</v>
      </c>
      <c r="O11" s="5" t="s">
        <v>47</v>
      </c>
      <c r="P11" s="5" t="s">
        <v>48</v>
      </c>
      <c r="Q11" s="5" t="s">
        <v>49</v>
      </c>
      <c r="R11" s="18" t="s">
        <v>110</v>
      </c>
    </row>
    <row r="12" spans="1:18">
      <c r="A12" s="5" t="s">
        <v>111</v>
      </c>
      <c r="B12" s="5" t="s">
        <v>112</v>
      </c>
      <c r="C12" s="5" t="s">
        <v>113</v>
      </c>
      <c r="D12" s="8">
        <v>3.75</v>
      </c>
      <c r="E12" s="8" t="s">
        <v>54</v>
      </c>
      <c r="F12" s="8">
        <v>20</v>
      </c>
      <c r="G12" s="8">
        <f t="shared" si="1"/>
        <v>75</v>
      </c>
      <c r="H12" s="8">
        <v>150000</v>
      </c>
      <c r="I12" s="8" t="s">
        <v>43</v>
      </c>
      <c r="J12" s="8" t="s">
        <v>114</v>
      </c>
      <c r="K12" s="5" t="s">
        <v>115</v>
      </c>
      <c r="L12" s="8">
        <v>2019</v>
      </c>
      <c r="M12" s="8"/>
      <c r="N12" s="5" t="s">
        <v>46</v>
      </c>
      <c r="O12" s="5" t="s">
        <v>116</v>
      </c>
      <c r="P12" s="5" t="s">
        <v>117</v>
      </c>
      <c r="Q12" s="5" t="s">
        <v>49</v>
      </c>
      <c r="R12" s="9" t="s">
        <v>118</v>
      </c>
    </row>
    <row r="13" spans="1:18">
      <c r="A13" s="5" t="s">
        <v>111</v>
      </c>
      <c r="B13" s="5" t="s">
        <v>119</v>
      </c>
      <c r="C13" s="5" t="s">
        <v>120</v>
      </c>
      <c r="D13" s="8">
        <v>50</v>
      </c>
      <c r="E13" s="8" t="s">
        <v>121</v>
      </c>
      <c r="F13" s="8">
        <v>30</v>
      </c>
      <c r="G13" s="8">
        <f t="shared" si="1"/>
        <v>1500</v>
      </c>
      <c r="H13" s="8">
        <v>165000</v>
      </c>
      <c r="I13" s="8" t="s">
        <v>43</v>
      </c>
      <c r="J13" s="8" t="s">
        <v>122</v>
      </c>
      <c r="K13" s="5" t="s">
        <v>123</v>
      </c>
      <c r="L13" s="8">
        <v>2019</v>
      </c>
      <c r="M13" s="8"/>
      <c r="N13" s="5" t="s">
        <v>81</v>
      </c>
      <c r="O13" s="5" t="s">
        <v>72</v>
      </c>
      <c r="P13" s="5" t="s">
        <v>117</v>
      </c>
      <c r="Q13" s="5" t="s">
        <v>49</v>
      </c>
      <c r="R13" s="9" t="s">
        <v>124</v>
      </c>
    </row>
    <row r="14" spans="1:18">
      <c r="A14" s="5" t="s">
        <v>125</v>
      </c>
      <c r="B14" s="5" t="s">
        <v>126</v>
      </c>
      <c r="C14" s="5" t="s">
        <v>127</v>
      </c>
      <c r="D14" s="8">
        <v>3.75</v>
      </c>
      <c r="E14" s="8" t="s">
        <v>54</v>
      </c>
      <c r="F14" s="8">
        <v>30</v>
      </c>
      <c r="G14" s="8">
        <f t="shared" si="1"/>
        <v>112.5</v>
      </c>
      <c r="H14" s="8">
        <v>150000</v>
      </c>
      <c r="I14" s="8" t="s">
        <v>43</v>
      </c>
      <c r="J14" s="8" t="s">
        <v>88</v>
      </c>
      <c r="K14" s="5" t="s">
        <v>89</v>
      </c>
      <c r="L14" s="8">
        <v>2019</v>
      </c>
      <c r="M14" s="8"/>
      <c r="N14" s="5" t="s">
        <v>46</v>
      </c>
      <c r="O14" s="5" t="s">
        <v>47</v>
      </c>
      <c r="P14" s="5" t="s">
        <v>48</v>
      </c>
      <c r="Q14" s="5" t="s">
        <v>49</v>
      </c>
      <c r="R14" s="9" t="s">
        <v>128</v>
      </c>
    </row>
    <row r="15" spans="1:18">
      <c r="A15" s="5" t="s">
        <v>129</v>
      </c>
      <c r="B15" s="5" t="s">
        <v>130</v>
      </c>
      <c r="C15" s="5" t="s">
        <v>131</v>
      </c>
      <c r="D15" s="8">
        <v>100</v>
      </c>
      <c r="E15" s="8" t="s">
        <v>132</v>
      </c>
      <c r="F15" s="8">
        <v>60</v>
      </c>
      <c r="G15" s="8">
        <f t="shared" si="1"/>
        <v>6000</v>
      </c>
      <c r="H15" s="8">
        <v>250000</v>
      </c>
      <c r="I15" s="8" t="s">
        <v>133</v>
      </c>
      <c r="J15" s="8" t="s">
        <v>134</v>
      </c>
      <c r="K15" s="5" t="s">
        <v>135</v>
      </c>
      <c r="L15" s="8">
        <v>2018</v>
      </c>
      <c r="M15" s="8"/>
      <c r="N15" s="5" t="s">
        <v>136</v>
      </c>
      <c r="O15" s="5" t="s">
        <v>137</v>
      </c>
      <c r="P15" s="5" t="s">
        <v>48</v>
      </c>
      <c r="Q15" s="5" t="s">
        <v>138</v>
      </c>
      <c r="R15" s="9" t="s">
        <v>139</v>
      </c>
    </row>
    <row r="16" spans="1:18">
      <c r="A16" s="5" t="s">
        <v>129</v>
      </c>
      <c r="B16" s="5" t="s">
        <v>140</v>
      </c>
      <c r="C16" s="5" t="s">
        <v>141</v>
      </c>
      <c r="D16" s="5">
        <v>100</v>
      </c>
      <c r="E16" s="5" t="s">
        <v>77</v>
      </c>
      <c r="F16" s="5">
        <v>60</v>
      </c>
      <c r="G16" s="8">
        <f>+D16*F16</f>
        <v>6000</v>
      </c>
      <c r="H16" s="5">
        <v>250000</v>
      </c>
      <c r="I16" s="5" t="s">
        <v>142</v>
      </c>
      <c r="J16" s="5" t="s">
        <v>88</v>
      </c>
      <c r="K16" s="5" t="s">
        <v>89</v>
      </c>
      <c r="L16" s="5">
        <v>2020</v>
      </c>
      <c r="M16" s="5"/>
      <c r="N16" s="5" t="s">
        <v>143</v>
      </c>
      <c r="O16" s="5" t="s">
        <v>72</v>
      </c>
      <c r="P16" s="5" t="s">
        <v>48</v>
      </c>
      <c r="Q16" s="5" t="s">
        <v>49</v>
      </c>
      <c r="R16" s="9" t="s">
        <v>144</v>
      </c>
    </row>
    <row r="17" spans="1:18">
      <c r="A17" s="5" t="s">
        <v>145</v>
      </c>
      <c r="B17" s="5" t="s">
        <v>146</v>
      </c>
      <c r="C17" s="5" t="s">
        <v>147</v>
      </c>
      <c r="D17" s="8">
        <v>50</v>
      </c>
      <c r="E17" s="8" t="s">
        <v>132</v>
      </c>
      <c r="F17" s="8">
        <v>30</v>
      </c>
      <c r="G17" s="8">
        <f>D17*F17</f>
        <v>1500</v>
      </c>
      <c r="H17" s="8">
        <v>178000</v>
      </c>
      <c r="I17" s="8" t="s">
        <v>148</v>
      </c>
      <c r="J17" s="8" t="s">
        <v>103</v>
      </c>
      <c r="K17" s="5" t="s">
        <v>104</v>
      </c>
      <c r="L17" s="8">
        <v>2018</v>
      </c>
      <c r="M17" s="8"/>
      <c r="N17" s="5" t="s">
        <v>136</v>
      </c>
      <c r="O17" s="5" t="s">
        <v>149</v>
      </c>
      <c r="P17" s="5" t="s">
        <v>48</v>
      </c>
      <c r="Q17" s="5" t="s">
        <v>138</v>
      </c>
      <c r="R17" s="9" t="s">
        <v>150</v>
      </c>
    </row>
    <row r="18" spans="1:18">
      <c r="A18" s="5" t="s">
        <v>145</v>
      </c>
      <c r="B18" s="4" t="s">
        <v>151</v>
      </c>
      <c r="C18" s="4" t="s">
        <v>152</v>
      </c>
      <c r="D18" s="8">
        <v>50</v>
      </c>
      <c r="E18" s="8" t="s">
        <v>132</v>
      </c>
      <c r="F18" s="8">
        <v>30</v>
      </c>
      <c r="G18" s="8">
        <f>D18*F18</f>
        <v>1500</v>
      </c>
      <c r="H18" s="8">
        <v>230000</v>
      </c>
      <c r="I18" s="8" t="s">
        <v>148</v>
      </c>
      <c r="J18" s="8" t="s">
        <v>153</v>
      </c>
      <c r="K18" s="5" t="s">
        <v>104</v>
      </c>
      <c r="L18" s="8">
        <v>2018</v>
      </c>
      <c r="M18" s="8"/>
      <c r="N18" s="5" t="s">
        <v>136</v>
      </c>
      <c r="O18" s="5" t="s">
        <v>149</v>
      </c>
      <c r="P18" s="5" t="s">
        <v>48</v>
      </c>
      <c r="Q18" s="5" t="s">
        <v>138</v>
      </c>
      <c r="R18" s="9" t="s">
        <v>154</v>
      </c>
    </row>
    <row r="19" spans="1:18">
      <c r="A19" s="5" t="s">
        <v>155</v>
      </c>
      <c r="B19" s="6" t="s">
        <v>156</v>
      </c>
      <c r="C19" s="6" t="s">
        <v>157</v>
      </c>
      <c r="D19" s="6">
        <v>4.5</v>
      </c>
      <c r="E19" s="6" t="s">
        <v>158</v>
      </c>
      <c r="F19" s="6">
        <v>15</v>
      </c>
      <c r="G19" s="6">
        <f>+D19*F19</f>
        <v>67.5</v>
      </c>
      <c r="H19" s="10">
        <v>158000</v>
      </c>
      <c r="I19" s="6" t="s">
        <v>159</v>
      </c>
      <c r="J19" s="6" t="s">
        <v>160</v>
      </c>
      <c r="K19" s="6" t="s">
        <v>161</v>
      </c>
      <c r="L19" s="11">
        <v>2021</v>
      </c>
      <c r="M19" s="11"/>
      <c r="N19" s="5" t="s">
        <v>46</v>
      </c>
      <c r="O19" s="6" t="s">
        <v>162</v>
      </c>
      <c r="P19" s="6" t="s">
        <v>48</v>
      </c>
      <c r="Q19" s="6" t="s">
        <v>163</v>
      </c>
      <c r="R19" s="6" t="s">
        <v>164</v>
      </c>
    </row>
    <row r="20" spans="1:18" ht="14.45">
      <c r="A20" s="5" t="s">
        <v>165</v>
      </c>
      <c r="B20" s="6" t="s">
        <v>166</v>
      </c>
      <c r="C20" s="6" t="s">
        <v>167</v>
      </c>
      <c r="D20" s="6">
        <v>10</v>
      </c>
      <c r="E20" s="6" t="s">
        <v>77</v>
      </c>
      <c r="F20" s="6">
        <v>30</v>
      </c>
      <c r="G20" s="6">
        <f>+D20*F20</f>
        <v>300</v>
      </c>
      <c r="H20" s="10">
        <v>22900</v>
      </c>
      <c r="I20" s="6" t="s">
        <v>168</v>
      </c>
      <c r="J20" s="6" t="s">
        <v>169</v>
      </c>
      <c r="K20" s="6" t="s">
        <v>170</v>
      </c>
      <c r="L20" s="11">
        <v>2023</v>
      </c>
      <c r="M20" s="11" t="s">
        <v>5</v>
      </c>
      <c r="N20" s="5" t="s">
        <v>95</v>
      </c>
      <c r="O20" s="6" t="s">
        <v>47</v>
      </c>
      <c r="P20" s="6" t="s">
        <v>48</v>
      </c>
      <c r="Q20" s="6" t="s">
        <v>49</v>
      </c>
      <c r="R20" s="24" t="s">
        <v>171</v>
      </c>
    </row>
    <row r="21" spans="1:18">
      <c r="A21" s="5" t="s">
        <v>172</v>
      </c>
      <c r="B21" s="5" t="s">
        <v>173</v>
      </c>
      <c r="C21" s="5" t="s">
        <v>174</v>
      </c>
      <c r="D21" s="5">
        <v>3.75</v>
      </c>
      <c r="E21" s="5" t="s">
        <v>54</v>
      </c>
      <c r="F21" s="5">
        <v>30</v>
      </c>
      <c r="G21" s="5">
        <f>+D21*F21</f>
        <v>112.5</v>
      </c>
      <c r="H21" s="5">
        <v>250000</v>
      </c>
      <c r="I21" s="5" t="s">
        <v>43</v>
      </c>
      <c r="J21" s="5" t="s">
        <v>44</v>
      </c>
      <c r="K21" s="5" t="s">
        <v>45</v>
      </c>
      <c r="L21" s="5">
        <v>2020</v>
      </c>
      <c r="M21" s="5"/>
      <c r="N21" s="5" t="s">
        <v>46</v>
      </c>
      <c r="O21" s="5" t="s">
        <v>47</v>
      </c>
      <c r="P21" s="5" t="s">
        <v>48</v>
      </c>
      <c r="Q21" s="5" t="s">
        <v>49</v>
      </c>
      <c r="R21" s="9" t="s">
        <v>175</v>
      </c>
    </row>
    <row r="22" spans="1:18" ht="14.45">
      <c r="A22" s="5" t="s">
        <v>172</v>
      </c>
      <c r="B22" s="4" t="s">
        <v>176</v>
      </c>
      <c r="C22" s="4" t="s">
        <v>177</v>
      </c>
      <c r="D22" s="8">
        <v>240</v>
      </c>
      <c r="E22" s="8" t="s">
        <v>54</v>
      </c>
      <c r="F22" s="8">
        <v>1</v>
      </c>
      <c r="G22" s="8">
        <f>D22*F22</f>
        <v>240</v>
      </c>
      <c r="H22" s="8">
        <v>170000</v>
      </c>
      <c r="I22" s="8" t="s">
        <v>94</v>
      </c>
      <c r="J22" s="8"/>
      <c r="K22" s="5"/>
      <c r="L22" s="8">
        <v>2019</v>
      </c>
      <c r="M22" s="8"/>
      <c r="N22" s="4" t="s">
        <v>178</v>
      </c>
      <c r="O22" s="5" t="s">
        <v>149</v>
      </c>
      <c r="P22" s="5" t="s">
        <v>48</v>
      </c>
      <c r="Q22" s="5" t="s">
        <v>138</v>
      </c>
      <c r="R22" s="18" t="s">
        <v>179</v>
      </c>
    </row>
    <row r="23" spans="1:18">
      <c r="A23" s="5" t="s">
        <v>172</v>
      </c>
      <c r="B23" s="5" t="s">
        <v>180</v>
      </c>
      <c r="C23" s="5" t="s">
        <v>181</v>
      </c>
      <c r="D23" s="5">
        <v>50</v>
      </c>
      <c r="E23" s="5" t="s">
        <v>77</v>
      </c>
      <c r="F23" s="5">
        <v>30</v>
      </c>
      <c r="G23" s="5">
        <f>+D23*F23</f>
        <v>1500</v>
      </c>
      <c r="H23" s="5">
        <v>23880</v>
      </c>
      <c r="I23" s="5" t="s">
        <v>182</v>
      </c>
      <c r="J23" s="5" t="s">
        <v>183</v>
      </c>
      <c r="K23" s="5" t="s">
        <v>184</v>
      </c>
      <c r="L23" s="5">
        <v>2020</v>
      </c>
      <c r="M23" s="5"/>
      <c r="N23" s="5" t="s">
        <v>81</v>
      </c>
      <c r="O23" s="5" t="s">
        <v>47</v>
      </c>
      <c r="P23" s="5" t="s">
        <v>185</v>
      </c>
      <c r="Q23" s="5" t="s">
        <v>49</v>
      </c>
      <c r="R23" s="9" t="s">
        <v>186</v>
      </c>
    </row>
    <row r="24" spans="1:18">
      <c r="A24" s="5" t="s">
        <v>172</v>
      </c>
      <c r="B24" s="5" t="s">
        <v>187</v>
      </c>
      <c r="C24" s="5" t="s">
        <v>188</v>
      </c>
      <c r="D24" s="5">
        <v>20</v>
      </c>
      <c r="E24" s="5" t="s">
        <v>189</v>
      </c>
      <c r="F24" s="5">
        <v>30</v>
      </c>
      <c r="G24" s="5">
        <f>+D24*F24</f>
        <v>600</v>
      </c>
      <c r="H24" s="5">
        <v>30000</v>
      </c>
      <c r="I24" s="5" t="s">
        <v>190</v>
      </c>
      <c r="J24" s="5" t="s">
        <v>191</v>
      </c>
      <c r="K24" s="5" t="s">
        <v>192</v>
      </c>
      <c r="L24" s="5">
        <v>2021</v>
      </c>
      <c r="M24" s="5"/>
      <c r="N24" s="5" t="s">
        <v>136</v>
      </c>
      <c r="O24" s="5" t="s">
        <v>149</v>
      </c>
      <c r="P24" s="5" t="s">
        <v>193</v>
      </c>
      <c r="Q24" s="5" t="s">
        <v>194</v>
      </c>
      <c r="R24" s="9"/>
    </row>
    <row r="25" spans="1:18">
      <c r="A25" s="5" t="s">
        <v>172</v>
      </c>
      <c r="B25" s="4" t="s">
        <v>195</v>
      </c>
      <c r="C25" s="4" t="s">
        <v>196</v>
      </c>
      <c r="D25" s="8">
        <v>50</v>
      </c>
      <c r="E25" s="8" t="s">
        <v>132</v>
      </c>
      <c r="F25" s="8">
        <v>30</v>
      </c>
      <c r="G25" s="8">
        <f>D25*F25</f>
        <v>1500</v>
      </c>
      <c r="H25" s="8">
        <v>19900</v>
      </c>
      <c r="I25" s="8" t="s">
        <v>148</v>
      </c>
      <c r="J25" s="8" t="s">
        <v>197</v>
      </c>
      <c r="K25" s="5" t="s">
        <v>198</v>
      </c>
      <c r="L25" s="8">
        <v>2016</v>
      </c>
      <c r="M25" s="8"/>
      <c r="N25" s="4" t="s">
        <v>136</v>
      </c>
      <c r="O25" s="5" t="s">
        <v>149</v>
      </c>
      <c r="P25" s="5" t="s">
        <v>48</v>
      </c>
      <c r="Q25" s="5" t="s">
        <v>138</v>
      </c>
      <c r="R25" s="9" t="s">
        <v>199</v>
      </c>
    </row>
    <row r="26" spans="1:18">
      <c r="A26" s="5" t="s">
        <v>172</v>
      </c>
      <c r="B26" s="5" t="s">
        <v>200</v>
      </c>
      <c r="C26" s="5" t="s">
        <v>201</v>
      </c>
      <c r="D26" s="5">
        <v>10</v>
      </c>
      <c r="E26" s="5" t="s">
        <v>54</v>
      </c>
      <c r="F26" s="5">
        <v>30</v>
      </c>
      <c r="G26" s="5">
        <f>+D26*F26</f>
        <v>300</v>
      </c>
      <c r="H26" s="5">
        <v>300000</v>
      </c>
      <c r="I26" s="5" t="s">
        <v>168</v>
      </c>
      <c r="J26" s="5" t="s">
        <v>202</v>
      </c>
      <c r="K26" s="5" t="s">
        <v>203</v>
      </c>
      <c r="L26" s="5">
        <v>2020</v>
      </c>
      <c r="M26" s="5"/>
      <c r="N26" s="5" t="s">
        <v>95</v>
      </c>
      <c r="O26" s="5" t="s">
        <v>47</v>
      </c>
      <c r="P26" s="5" t="s">
        <v>48</v>
      </c>
      <c r="Q26" s="5" t="s">
        <v>49</v>
      </c>
      <c r="R26" s="9" t="s">
        <v>204</v>
      </c>
    </row>
    <row r="27" spans="1:18">
      <c r="A27" s="5" t="s">
        <v>205</v>
      </c>
      <c r="B27" s="5" t="s">
        <v>206</v>
      </c>
      <c r="C27" s="5" t="s">
        <v>207</v>
      </c>
      <c r="D27" s="5">
        <v>3.75</v>
      </c>
      <c r="E27" s="5" t="s">
        <v>54</v>
      </c>
      <c r="F27" s="5">
        <v>30</v>
      </c>
      <c r="G27" s="5">
        <f>+D27*F27</f>
        <v>112.5</v>
      </c>
      <c r="H27" s="5">
        <v>90000</v>
      </c>
      <c r="I27" s="5" t="s">
        <v>43</v>
      </c>
      <c r="J27" s="5" t="s">
        <v>208</v>
      </c>
      <c r="K27" s="5" t="s">
        <v>209</v>
      </c>
      <c r="L27" s="5">
        <v>2021</v>
      </c>
      <c r="M27" s="5"/>
      <c r="N27" s="5" t="s">
        <v>46</v>
      </c>
      <c r="O27" s="5" t="s">
        <v>47</v>
      </c>
      <c r="P27" s="5" t="s">
        <v>48</v>
      </c>
      <c r="Q27" s="5" t="s">
        <v>49</v>
      </c>
      <c r="R27" s="9" t="s">
        <v>210</v>
      </c>
    </row>
    <row r="28" spans="1:18">
      <c r="A28" s="5" t="s">
        <v>211</v>
      </c>
      <c r="B28" s="5" t="s">
        <v>212</v>
      </c>
      <c r="C28" s="5" t="s">
        <v>213</v>
      </c>
      <c r="D28" s="5">
        <v>1000</v>
      </c>
      <c r="E28" s="5" t="s">
        <v>77</v>
      </c>
      <c r="F28" s="5">
        <v>10</v>
      </c>
      <c r="G28" s="5">
        <f>+D28*F28</f>
        <v>10000</v>
      </c>
      <c r="H28" s="5">
        <v>19000</v>
      </c>
      <c r="I28" s="5" t="s">
        <v>214</v>
      </c>
      <c r="J28" s="5" t="s">
        <v>215</v>
      </c>
      <c r="K28" s="5" t="s">
        <v>216</v>
      </c>
      <c r="L28" s="5">
        <v>2020</v>
      </c>
      <c r="M28" s="5"/>
      <c r="N28" s="5" t="s">
        <v>81</v>
      </c>
      <c r="O28" s="5" t="s">
        <v>82</v>
      </c>
      <c r="P28" s="5" t="s">
        <v>217</v>
      </c>
      <c r="Q28" s="5" t="s">
        <v>218</v>
      </c>
      <c r="R28" s="9" t="s">
        <v>219</v>
      </c>
    </row>
    <row r="29" spans="1:18">
      <c r="A29" s="5" t="s">
        <v>211</v>
      </c>
      <c r="B29" s="5" t="s">
        <v>220</v>
      </c>
      <c r="C29" s="5" t="s">
        <v>221</v>
      </c>
      <c r="D29" s="8">
        <v>10</v>
      </c>
      <c r="E29" s="8" t="s">
        <v>54</v>
      </c>
      <c r="F29" s="8">
        <v>30</v>
      </c>
      <c r="G29" s="8">
        <f>D29*F29</f>
        <v>300</v>
      </c>
      <c r="H29" s="8">
        <v>52000</v>
      </c>
      <c r="I29" s="8" t="s">
        <v>168</v>
      </c>
      <c r="J29" s="8" t="s">
        <v>222</v>
      </c>
      <c r="K29" s="5" t="s">
        <v>223</v>
      </c>
      <c r="L29" s="8">
        <v>2019</v>
      </c>
      <c r="M29" s="8"/>
      <c r="N29" s="5" t="s">
        <v>95</v>
      </c>
      <c r="O29" s="5" t="s">
        <v>47</v>
      </c>
      <c r="P29" s="5" t="s">
        <v>217</v>
      </c>
      <c r="Q29" s="5" t="s">
        <v>49</v>
      </c>
      <c r="R29" s="9" t="s">
        <v>224</v>
      </c>
    </row>
    <row r="30" spans="1:18">
      <c r="A30" s="5" t="s">
        <v>225</v>
      </c>
      <c r="B30" s="5" t="s">
        <v>226</v>
      </c>
      <c r="C30" s="5" t="s">
        <v>227</v>
      </c>
      <c r="D30" s="5">
        <v>20</v>
      </c>
      <c r="E30" s="5" t="s">
        <v>77</v>
      </c>
      <c r="F30" s="5">
        <v>5</v>
      </c>
      <c r="G30" s="5">
        <f>+D30*F30</f>
        <v>100</v>
      </c>
      <c r="H30" s="5">
        <v>165810</v>
      </c>
      <c r="I30" s="5" t="s">
        <v>228</v>
      </c>
      <c r="J30" s="5" t="s">
        <v>229</v>
      </c>
      <c r="K30" s="5" t="s">
        <v>230</v>
      </c>
      <c r="L30" s="5">
        <v>2022</v>
      </c>
      <c r="M30" s="5"/>
      <c r="N30" s="5" t="s">
        <v>95</v>
      </c>
      <c r="O30" s="5" t="s">
        <v>116</v>
      </c>
      <c r="P30" s="5" t="s">
        <v>48</v>
      </c>
      <c r="Q30" s="5" t="s">
        <v>49</v>
      </c>
      <c r="R30" s="9" t="s">
        <v>231</v>
      </c>
    </row>
    <row r="31" spans="1:18">
      <c r="A31" s="5" t="s">
        <v>232</v>
      </c>
      <c r="B31" s="5" t="s">
        <v>233</v>
      </c>
      <c r="C31" s="5" t="s">
        <v>234</v>
      </c>
      <c r="D31" s="5">
        <v>15</v>
      </c>
      <c r="E31" s="5" t="s">
        <v>77</v>
      </c>
      <c r="F31" s="5">
        <v>21</v>
      </c>
      <c r="G31" s="5">
        <f>+D31*F31</f>
        <v>315</v>
      </c>
      <c r="H31" s="5">
        <v>189000</v>
      </c>
      <c r="I31" s="5" t="s">
        <v>235</v>
      </c>
      <c r="J31" s="5" t="s">
        <v>236</v>
      </c>
      <c r="K31" s="5" t="s">
        <v>237</v>
      </c>
      <c r="L31" s="5">
        <v>2020</v>
      </c>
      <c r="M31" s="5"/>
      <c r="N31" s="5" t="s">
        <v>95</v>
      </c>
      <c r="O31" s="5" t="s">
        <v>47</v>
      </c>
      <c r="P31" s="5" t="s">
        <v>48</v>
      </c>
      <c r="Q31" s="5" t="s">
        <v>49</v>
      </c>
      <c r="R31" s="5" t="s">
        <v>238</v>
      </c>
    </row>
    <row r="32" spans="1:18">
      <c r="A32" s="5" t="s">
        <v>14</v>
      </c>
      <c r="B32" s="5" t="s">
        <v>239</v>
      </c>
      <c r="C32" s="5" t="s">
        <v>240</v>
      </c>
      <c r="D32" s="7">
        <v>30</v>
      </c>
      <c r="E32" s="7" t="s">
        <v>77</v>
      </c>
      <c r="F32" s="7">
        <v>30</v>
      </c>
      <c r="G32" s="7">
        <f>D32*F32</f>
        <v>900</v>
      </c>
      <c r="H32" s="7">
        <v>650000</v>
      </c>
      <c r="I32" s="7" t="s">
        <v>241</v>
      </c>
      <c r="J32" s="8" t="s">
        <v>88</v>
      </c>
      <c r="K32" s="5" t="s">
        <v>89</v>
      </c>
      <c r="L32" s="7">
        <v>2019</v>
      </c>
      <c r="M32" s="7"/>
      <c r="N32" s="5" t="s">
        <v>57</v>
      </c>
      <c r="O32" s="4" t="s">
        <v>47</v>
      </c>
      <c r="P32" s="5" t="s">
        <v>242</v>
      </c>
      <c r="Q32" s="4" t="s">
        <v>49</v>
      </c>
      <c r="R32" s="9" t="s">
        <v>243</v>
      </c>
    </row>
    <row r="33" spans="1:18">
      <c r="A33" s="5" t="s">
        <v>14</v>
      </c>
      <c r="B33" s="5" t="s">
        <v>244</v>
      </c>
      <c r="C33" s="5" t="s">
        <v>245</v>
      </c>
      <c r="D33" s="7">
        <v>4</v>
      </c>
      <c r="E33" s="7" t="s">
        <v>246</v>
      </c>
      <c r="F33" s="7">
        <v>30</v>
      </c>
      <c r="G33" s="7">
        <f>D33*F33</f>
        <v>120</v>
      </c>
      <c r="H33" s="7">
        <v>180000</v>
      </c>
      <c r="I33" s="7" t="s">
        <v>247</v>
      </c>
      <c r="J33" s="8" t="s">
        <v>248</v>
      </c>
      <c r="K33" s="5" t="s">
        <v>249</v>
      </c>
      <c r="L33" s="7">
        <v>2017</v>
      </c>
      <c r="M33" s="7"/>
      <c r="N33" s="5" t="s">
        <v>46</v>
      </c>
      <c r="O33" s="4" t="s">
        <v>149</v>
      </c>
      <c r="P33" s="5" t="s">
        <v>242</v>
      </c>
      <c r="Q33" s="4" t="s">
        <v>138</v>
      </c>
      <c r="R33" s="9" t="s">
        <v>250</v>
      </c>
    </row>
    <row r="34" spans="1:18" s="5" customFormat="1">
      <c r="A34" s="5" t="s">
        <v>14</v>
      </c>
      <c r="B34" s="5" t="s">
        <v>244</v>
      </c>
      <c r="C34" s="5" t="s">
        <v>245</v>
      </c>
      <c r="D34" s="7">
        <v>4</v>
      </c>
      <c r="E34" s="7" t="s">
        <v>246</v>
      </c>
      <c r="F34" s="7">
        <v>60</v>
      </c>
      <c r="G34" s="7">
        <f>D34*F34</f>
        <v>240</v>
      </c>
      <c r="H34" s="7">
        <v>320000</v>
      </c>
      <c r="I34" s="7" t="s">
        <v>247</v>
      </c>
      <c r="J34" s="8" t="s">
        <v>248</v>
      </c>
      <c r="K34" s="5" t="s">
        <v>249</v>
      </c>
      <c r="L34" s="7">
        <v>2017</v>
      </c>
      <c r="M34" s="7"/>
      <c r="N34" s="5" t="s">
        <v>46</v>
      </c>
      <c r="O34" s="4" t="s">
        <v>149</v>
      </c>
      <c r="P34" s="5" t="s">
        <v>242</v>
      </c>
      <c r="Q34" s="4" t="s">
        <v>138</v>
      </c>
      <c r="R34" s="9" t="s">
        <v>250</v>
      </c>
    </row>
    <row r="35" spans="1:18" s="5" customFormat="1" ht="14.45">
      <c r="A35" s="5" t="s">
        <v>14</v>
      </c>
      <c r="B35" s="5" t="s">
        <v>251</v>
      </c>
      <c r="C35" s="5" t="s">
        <v>252</v>
      </c>
      <c r="D35" s="5">
        <v>4.5</v>
      </c>
      <c r="E35" s="5" t="s">
        <v>253</v>
      </c>
      <c r="F35" s="5">
        <v>30</v>
      </c>
      <c r="G35" s="5">
        <f>+D35*F35</f>
        <v>135</v>
      </c>
      <c r="H35" s="5">
        <v>1000000</v>
      </c>
      <c r="I35" s="5" t="s">
        <v>254</v>
      </c>
      <c r="J35" s="5" t="s">
        <v>191</v>
      </c>
      <c r="K35" s="5" t="s">
        <v>192</v>
      </c>
      <c r="L35" s="5">
        <v>2021</v>
      </c>
      <c r="N35" s="5" t="s">
        <v>46</v>
      </c>
      <c r="O35" s="5" t="s">
        <v>149</v>
      </c>
      <c r="P35" s="5" t="s">
        <v>242</v>
      </c>
      <c r="Q35" s="5" t="s">
        <v>138</v>
      </c>
      <c r="R35" s="18" t="s">
        <v>255</v>
      </c>
    </row>
    <row r="36" spans="1:18" s="5" customFormat="1" ht="14.45">
      <c r="A36" s="5" t="s">
        <v>14</v>
      </c>
      <c r="B36" s="5" t="s">
        <v>256</v>
      </c>
      <c r="C36" s="5" t="s">
        <v>257</v>
      </c>
      <c r="D36" s="5">
        <v>4</v>
      </c>
      <c r="E36" s="5" t="s">
        <v>253</v>
      </c>
      <c r="F36" s="5">
        <v>30</v>
      </c>
      <c r="G36" s="5">
        <f>+D36*F36</f>
        <v>120</v>
      </c>
      <c r="H36" s="5">
        <v>310000</v>
      </c>
      <c r="I36" s="5" t="s">
        <v>258</v>
      </c>
      <c r="J36" s="5" t="s">
        <v>259</v>
      </c>
      <c r="K36" s="5" t="s">
        <v>249</v>
      </c>
      <c r="L36" s="5">
        <v>2024</v>
      </c>
      <c r="M36" s="5" t="s">
        <v>19</v>
      </c>
      <c r="N36" s="5" t="s">
        <v>46</v>
      </c>
      <c r="O36" s="5" t="s">
        <v>149</v>
      </c>
      <c r="P36" s="5" t="s">
        <v>242</v>
      </c>
      <c r="Q36" s="5" t="s">
        <v>138</v>
      </c>
      <c r="R36" s="18" t="s">
        <v>260</v>
      </c>
    </row>
    <row r="37" spans="1:18" s="5" customFormat="1" ht="14.45">
      <c r="A37" s="5" t="s">
        <v>14</v>
      </c>
      <c r="B37" s="5" t="s">
        <v>261</v>
      </c>
      <c r="C37" s="5" t="s">
        <v>262</v>
      </c>
      <c r="D37" s="5">
        <v>4.5</v>
      </c>
      <c r="E37" s="5" t="s">
        <v>253</v>
      </c>
      <c r="F37" s="5">
        <v>30</v>
      </c>
      <c r="G37" s="5">
        <f>+D37*F37</f>
        <v>135</v>
      </c>
      <c r="H37" s="5">
        <v>2000000</v>
      </c>
      <c r="I37" s="5" t="s">
        <v>109</v>
      </c>
      <c r="L37" s="5">
        <v>2025</v>
      </c>
      <c r="M37" s="5" t="s">
        <v>13</v>
      </c>
      <c r="N37" s="5" t="s">
        <v>46</v>
      </c>
      <c r="O37" s="5" t="s">
        <v>72</v>
      </c>
      <c r="P37" s="5" t="s">
        <v>242</v>
      </c>
      <c r="Q37" s="5" t="s">
        <v>138</v>
      </c>
      <c r="R37" s="18" t="s">
        <v>263</v>
      </c>
    </row>
    <row r="38" spans="1:18">
      <c r="A38" s="5" t="s">
        <v>14</v>
      </c>
      <c r="B38" s="5" t="s">
        <v>264</v>
      </c>
      <c r="C38" s="5" t="s">
        <v>240</v>
      </c>
      <c r="D38" s="5">
        <v>30</v>
      </c>
      <c r="E38" s="5" t="s">
        <v>77</v>
      </c>
      <c r="F38" s="5">
        <v>30</v>
      </c>
      <c r="G38" s="5">
        <f>+D38*F38</f>
        <v>900</v>
      </c>
      <c r="H38" s="5">
        <v>650000</v>
      </c>
      <c r="I38" s="5" t="s">
        <v>265</v>
      </c>
      <c r="J38" s="5" t="s">
        <v>153</v>
      </c>
      <c r="K38" s="5" t="s">
        <v>104</v>
      </c>
      <c r="L38" s="5">
        <v>2020</v>
      </c>
      <c r="M38" s="5"/>
      <c r="N38" s="5" t="s">
        <v>178</v>
      </c>
      <c r="O38" s="5" t="s">
        <v>47</v>
      </c>
      <c r="P38" s="5" t="s">
        <v>242</v>
      </c>
      <c r="Q38" s="5" t="s">
        <v>49</v>
      </c>
      <c r="R38" s="9" t="s">
        <v>243</v>
      </c>
    </row>
    <row r="39" spans="1:18">
      <c r="A39" s="5" t="s">
        <v>14</v>
      </c>
      <c r="B39" s="5" t="s">
        <v>266</v>
      </c>
      <c r="C39" s="5" t="s">
        <v>267</v>
      </c>
      <c r="D39" s="7">
        <v>40</v>
      </c>
      <c r="E39" s="7" t="s">
        <v>132</v>
      </c>
      <c r="F39" s="7">
        <v>30</v>
      </c>
      <c r="G39" s="7">
        <f t="shared" ref="G39:G44" si="2">D39*F39</f>
        <v>1200</v>
      </c>
      <c r="H39" s="7">
        <v>142000</v>
      </c>
      <c r="I39" s="7" t="s">
        <v>268</v>
      </c>
      <c r="J39" s="7" t="s">
        <v>269</v>
      </c>
      <c r="K39" s="5" t="s">
        <v>270</v>
      </c>
      <c r="L39" s="7">
        <v>2016</v>
      </c>
      <c r="M39" s="7"/>
      <c r="N39" s="4" t="s">
        <v>136</v>
      </c>
      <c r="O39" s="4" t="s">
        <v>149</v>
      </c>
      <c r="P39" s="5" t="s">
        <v>242</v>
      </c>
      <c r="Q39" s="4" t="s">
        <v>271</v>
      </c>
      <c r="R39" s="9" t="s">
        <v>272</v>
      </c>
    </row>
    <row r="40" spans="1:18">
      <c r="A40" s="5" t="s">
        <v>14</v>
      </c>
      <c r="B40" s="4" t="s">
        <v>273</v>
      </c>
      <c r="C40" s="4" t="s">
        <v>274</v>
      </c>
      <c r="D40" s="7">
        <v>80</v>
      </c>
      <c r="E40" s="7" t="s">
        <v>132</v>
      </c>
      <c r="F40" s="7">
        <v>30</v>
      </c>
      <c r="G40" s="7">
        <f t="shared" si="2"/>
        <v>2400</v>
      </c>
      <c r="H40" s="7">
        <v>145000</v>
      </c>
      <c r="I40" s="7" t="s">
        <v>275</v>
      </c>
      <c r="J40" s="7" t="s">
        <v>276</v>
      </c>
      <c r="K40" s="5" t="s">
        <v>277</v>
      </c>
      <c r="L40" s="7">
        <v>2017</v>
      </c>
      <c r="M40" s="7"/>
      <c r="N40" s="4" t="s">
        <v>136</v>
      </c>
      <c r="O40" s="4" t="s">
        <v>149</v>
      </c>
      <c r="P40" s="5" t="s">
        <v>242</v>
      </c>
      <c r="Q40" s="4" t="s">
        <v>138</v>
      </c>
      <c r="R40" s="9" t="s">
        <v>278</v>
      </c>
    </row>
    <row r="41" spans="1:18">
      <c r="A41" s="5" t="s">
        <v>14</v>
      </c>
      <c r="B41" s="5" t="s">
        <v>279</v>
      </c>
      <c r="C41" s="5" t="s">
        <v>280</v>
      </c>
      <c r="D41" s="7">
        <v>70</v>
      </c>
      <c r="E41" s="7" t="s">
        <v>132</v>
      </c>
      <c r="F41" s="7">
        <v>30</v>
      </c>
      <c r="G41" s="7">
        <f t="shared" si="2"/>
        <v>2100</v>
      </c>
      <c r="H41" s="7">
        <v>120000</v>
      </c>
      <c r="I41" s="7" t="s">
        <v>281</v>
      </c>
      <c r="J41" s="7" t="s">
        <v>282</v>
      </c>
      <c r="K41" s="5" t="s">
        <v>283</v>
      </c>
      <c r="L41" s="7">
        <v>2018</v>
      </c>
      <c r="M41" s="7"/>
      <c r="N41" s="4" t="s">
        <v>136</v>
      </c>
      <c r="O41" s="4" t="s">
        <v>149</v>
      </c>
      <c r="P41" s="5" t="s">
        <v>242</v>
      </c>
      <c r="Q41" s="4" t="s">
        <v>138</v>
      </c>
      <c r="R41" s="9" t="s">
        <v>284</v>
      </c>
    </row>
    <row r="42" spans="1:18">
      <c r="A42" s="5" t="s">
        <v>14</v>
      </c>
      <c r="B42" s="5" t="s">
        <v>285</v>
      </c>
      <c r="C42" s="5" t="s">
        <v>286</v>
      </c>
      <c r="D42" s="7">
        <v>80</v>
      </c>
      <c r="E42" s="7" t="s">
        <v>132</v>
      </c>
      <c r="F42" s="7">
        <v>30</v>
      </c>
      <c r="G42" s="7">
        <f t="shared" si="2"/>
        <v>2400</v>
      </c>
      <c r="H42" s="7">
        <v>179000</v>
      </c>
      <c r="I42" s="7" t="s">
        <v>275</v>
      </c>
      <c r="J42" s="7" t="s">
        <v>287</v>
      </c>
      <c r="K42" s="5" t="s">
        <v>288</v>
      </c>
      <c r="L42" s="7">
        <v>2018</v>
      </c>
      <c r="M42" s="7"/>
      <c r="N42" s="4" t="s">
        <v>136</v>
      </c>
      <c r="O42" s="4" t="s">
        <v>149</v>
      </c>
      <c r="P42" s="5" t="s">
        <v>242</v>
      </c>
      <c r="Q42" s="4" t="s">
        <v>138</v>
      </c>
      <c r="R42" s="9" t="s">
        <v>289</v>
      </c>
    </row>
    <row r="43" spans="1:18">
      <c r="A43" s="5" t="s">
        <v>14</v>
      </c>
      <c r="B43" s="5" t="s">
        <v>290</v>
      </c>
      <c r="C43" s="5" t="s">
        <v>291</v>
      </c>
      <c r="D43" s="7">
        <v>60</v>
      </c>
      <c r="E43" s="7" t="s">
        <v>77</v>
      </c>
      <c r="F43" s="7">
        <v>30</v>
      </c>
      <c r="G43" s="7">
        <f t="shared" si="2"/>
        <v>1800</v>
      </c>
      <c r="H43" s="7">
        <v>70000</v>
      </c>
      <c r="I43" s="7" t="s">
        <v>292</v>
      </c>
      <c r="J43" s="7" t="s">
        <v>293</v>
      </c>
      <c r="K43" s="5" t="s">
        <v>294</v>
      </c>
      <c r="L43" s="7">
        <v>2019</v>
      </c>
      <c r="M43" s="7"/>
      <c r="N43" s="5" t="s">
        <v>81</v>
      </c>
      <c r="O43" s="4" t="s">
        <v>47</v>
      </c>
      <c r="P43" s="5" t="s">
        <v>242</v>
      </c>
      <c r="Q43" s="4" t="s">
        <v>49</v>
      </c>
      <c r="R43" s="9" t="s">
        <v>295</v>
      </c>
    </row>
    <row r="44" spans="1:18">
      <c r="A44" s="5" t="s">
        <v>14</v>
      </c>
      <c r="B44" s="5" t="s">
        <v>296</v>
      </c>
      <c r="C44" s="5" t="s">
        <v>297</v>
      </c>
      <c r="D44" s="7">
        <v>40</v>
      </c>
      <c r="E44" s="7" t="s">
        <v>77</v>
      </c>
      <c r="F44" s="7">
        <v>30</v>
      </c>
      <c r="G44" s="7">
        <f t="shared" si="2"/>
        <v>1200</v>
      </c>
      <c r="H44" s="7">
        <v>42000</v>
      </c>
      <c r="I44" s="7" t="s">
        <v>298</v>
      </c>
      <c r="J44" s="8" t="s">
        <v>299</v>
      </c>
      <c r="K44" s="5" t="s">
        <v>300</v>
      </c>
      <c r="L44" s="7">
        <v>2019</v>
      </c>
      <c r="M44" s="7"/>
      <c r="N44" s="5" t="s">
        <v>81</v>
      </c>
      <c r="O44" s="4" t="s">
        <v>47</v>
      </c>
      <c r="P44" s="5" t="s">
        <v>242</v>
      </c>
      <c r="Q44" s="4" t="s">
        <v>83</v>
      </c>
      <c r="R44" s="9" t="s">
        <v>301</v>
      </c>
    </row>
    <row r="45" spans="1:18">
      <c r="A45" s="5" t="s">
        <v>14</v>
      </c>
      <c r="B45" s="5" t="s">
        <v>302</v>
      </c>
      <c r="C45" s="5" t="s">
        <v>303</v>
      </c>
      <c r="D45" s="5">
        <v>10</v>
      </c>
      <c r="E45" s="5" t="s">
        <v>304</v>
      </c>
      <c r="F45" s="5">
        <v>60</v>
      </c>
      <c r="G45" s="5">
        <f t="shared" ref="G45:G51" si="3">+D45*F45</f>
        <v>600</v>
      </c>
      <c r="H45" s="5">
        <v>50000</v>
      </c>
      <c r="I45" s="5" t="s">
        <v>305</v>
      </c>
      <c r="J45" s="5" t="s">
        <v>306</v>
      </c>
      <c r="K45" s="5" t="s">
        <v>307</v>
      </c>
      <c r="L45" s="5">
        <v>2020</v>
      </c>
      <c r="M45" s="5"/>
      <c r="N45" s="5" t="s">
        <v>95</v>
      </c>
      <c r="O45" s="5" t="s">
        <v>47</v>
      </c>
      <c r="P45" s="5" t="s">
        <v>242</v>
      </c>
      <c r="Q45" s="5" t="s">
        <v>49</v>
      </c>
      <c r="R45" s="9" t="s">
        <v>308</v>
      </c>
    </row>
    <row r="46" spans="1:18">
      <c r="A46" s="5" t="s">
        <v>14</v>
      </c>
      <c r="B46" s="5" t="s">
        <v>309</v>
      </c>
      <c r="C46" s="5" t="s">
        <v>310</v>
      </c>
      <c r="D46" s="5">
        <v>15</v>
      </c>
      <c r="E46" s="5" t="s">
        <v>54</v>
      </c>
      <c r="F46" s="5">
        <v>30</v>
      </c>
      <c r="G46" s="5">
        <f t="shared" si="3"/>
        <v>450</v>
      </c>
      <c r="H46" s="5">
        <v>120000</v>
      </c>
      <c r="I46" s="5" t="s">
        <v>235</v>
      </c>
      <c r="J46" s="5" t="s">
        <v>153</v>
      </c>
      <c r="K46" s="5" t="s">
        <v>104</v>
      </c>
      <c r="L46" s="5">
        <v>2020</v>
      </c>
      <c r="M46" s="5"/>
      <c r="N46" s="5" t="s">
        <v>95</v>
      </c>
      <c r="O46" s="5" t="s">
        <v>47</v>
      </c>
      <c r="P46" s="5" t="s">
        <v>242</v>
      </c>
      <c r="Q46" s="5" t="s">
        <v>311</v>
      </c>
      <c r="R46" s="9" t="s">
        <v>312</v>
      </c>
    </row>
    <row r="47" spans="1:18">
      <c r="A47" s="5" t="s">
        <v>14</v>
      </c>
      <c r="B47" s="5" t="s">
        <v>313</v>
      </c>
      <c r="C47" s="5" t="s">
        <v>314</v>
      </c>
      <c r="D47" s="7">
        <v>20</v>
      </c>
      <c r="E47" s="7" t="s">
        <v>54</v>
      </c>
      <c r="F47" s="7">
        <v>15</v>
      </c>
      <c r="G47" s="7">
        <f t="shared" si="3"/>
        <v>300</v>
      </c>
      <c r="H47" s="7">
        <v>24100</v>
      </c>
      <c r="I47" s="7" t="s">
        <v>315</v>
      </c>
      <c r="J47" s="7" t="s">
        <v>316</v>
      </c>
      <c r="K47" s="6" t="s">
        <v>317</v>
      </c>
      <c r="L47" s="7">
        <v>2022</v>
      </c>
      <c r="M47" s="7"/>
      <c r="N47" s="4" t="s">
        <v>95</v>
      </c>
      <c r="O47" s="4" t="s">
        <v>116</v>
      </c>
      <c r="P47" s="4" t="s">
        <v>242</v>
      </c>
      <c r="Q47" s="4" t="s">
        <v>218</v>
      </c>
      <c r="R47" s="9" t="s">
        <v>318</v>
      </c>
    </row>
    <row r="48" spans="1:18">
      <c r="A48" s="5" t="s">
        <v>14</v>
      </c>
      <c r="B48" s="5" t="s">
        <v>319</v>
      </c>
      <c r="C48" s="5" t="s">
        <v>320</v>
      </c>
      <c r="D48" s="8">
        <v>70</v>
      </c>
      <c r="E48" s="8" t="s">
        <v>77</v>
      </c>
      <c r="F48" s="8">
        <v>60</v>
      </c>
      <c r="G48" s="8">
        <f t="shared" si="3"/>
        <v>4200</v>
      </c>
      <c r="H48" s="8">
        <v>120000</v>
      </c>
      <c r="I48" s="8" t="s">
        <v>321</v>
      </c>
      <c r="J48" s="8" t="s">
        <v>88</v>
      </c>
      <c r="K48" s="5" t="s">
        <v>89</v>
      </c>
      <c r="L48" s="8">
        <v>2022</v>
      </c>
      <c r="M48" s="8"/>
      <c r="N48" s="5" t="s">
        <v>95</v>
      </c>
      <c r="O48" s="5" t="s">
        <v>116</v>
      </c>
      <c r="P48" s="5" t="s">
        <v>242</v>
      </c>
      <c r="Q48" s="5" t="s">
        <v>49</v>
      </c>
      <c r="R48" s="9" t="s">
        <v>322</v>
      </c>
    </row>
    <row r="49" spans="1:18" ht="14.45">
      <c r="A49" s="5" t="s">
        <v>14</v>
      </c>
      <c r="B49" s="4" t="s">
        <v>323</v>
      </c>
      <c r="C49" s="5" t="s">
        <v>324</v>
      </c>
      <c r="D49" s="8">
        <v>80</v>
      </c>
      <c r="E49" s="8" t="s">
        <v>77</v>
      </c>
      <c r="F49" s="8">
        <v>30</v>
      </c>
      <c r="G49" s="8">
        <f t="shared" si="3"/>
        <v>2400</v>
      </c>
      <c r="H49" s="8">
        <v>109000</v>
      </c>
      <c r="I49" s="8" t="s">
        <v>325</v>
      </c>
      <c r="J49" s="7" t="s">
        <v>326</v>
      </c>
      <c r="K49" s="5" t="s">
        <v>327</v>
      </c>
      <c r="L49" s="8">
        <v>2023</v>
      </c>
      <c r="M49" s="8" t="s">
        <v>12</v>
      </c>
      <c r="N49" s="5" t="s">
        <v>81</v>
      </c>
      <c r="O49" s="5" t="s">
        <v>116</v>
      </c>
      <c r="P49" s="5" t="s">
        <v>242</v>
      </c>
      <c r="Q49" s="5" t="s">
        <v>328</v>
      </c>
      <c r="R49" s="18" t="s">
        <v>329</v>
      </c>
    </row>
    <row r="50" spans="1:18" ht="14.45">
      <c r="A50" s="5" t="s">
        <v>14</v>
      </c>
      <c r="B50" s="5" t="s">
        <v>330</v>
      </c>
      <c r="C50" s="5" t="s">
        <v>331</v>
      </c>
      <c r="D50" s="8">
        <v>4</v>
      </c>
      <c r="E50" s="8" t="s">
        <v>42</v>
      </c>
      <c r="F50" s="8">
        <v>60</v>
      </c>
      <c r="G50" s="8">
        <f t="shared" si="3"/>
        <v>240</v>
      </c>
      <c r="H50" s="8">
        <v>269000</v>
      </c>
      <c r="I50" s="8" t="s">
        <v>258</v>
      </c>
      <c r="J50" s="8" t="s">
        <v>332</v>
      </c>
      <c r="K50" s="5" t="s">
        <v>333</v>
      </c>
      <c r="L50" s="8">
        <v>2022</v>
      </c>
      <c r="M50" s="8" t="s">
        <v>15</v>
      </c>
      <c r="N50" s="5" t="s">
        <v>46</v>
      </c>
      <c r="O50" s="5" t="s">
        <v>116</v>
      </c>
      <c r="P50" s="5" t="s">
        <v>48</v>
      </c>
      <c r="Q50" s="5" t="s">
        <v>328</v>
      </c>
      <c r="R50" s="18" t="s">
        <v>334</v>
      </c>
    </row>
    <row r="51" spans="1:18">
      <c r="A51" s="5" t="s">
        <v>335</v>
      </c>
      <c r="B51" s="5" t="s">
        <v>336</v>
      </c>
      <c r="C51" s="5" t="s">
        <v>337</v>
      </c>
      <c r="D51" s="5">
        <v>3.75</v>
      </c>
      <c r="E51" s="5" t="s">
        <v>54</v>
      </c>
      <c r="F51" s="5">
        <v>10</v>
      </c>
      <c r="G51" s="8">
        <f t="shared" si="3"/>
        <v>37.5</v>
      </c>
      <c r="H51" s="5">
        <v>19000</v>
      </c>
      <c r="I51" s="5" t="s">
        <v>43</v>
      </c>
      <c r="J51" s="5" t="s">
        <v>63</v>
      </c>
      <c r="K51" s="5" t="s">
        <v>64</v>
      </c>
      <c r="L51" s="5">
        <v>2022</v>
      </c>
      <c r="M51" s="5"/>
      <c r="N51" s="5" t="s">
        <v>46</v>
      </c>
      <c r="O51" s="12" t="s">
        <v>338</v>
      </c>
      <c r="P51" s="5" t="s">
        <v>48</v>
      </c>
      <c r="Q51" s="5" t="s">
        <v>49</v>
      </c>
      <c r="R51" s="9" t="s">
        <v>339</v>
      </c>
    </row>
    <row r="52" spans="1:18">
      <c r="A52" s="5" t="s">
        <v>340</v>
      </c>
      <c r="B52" s="5" t="s">
        <v>341</v>
      </c>
      <c r="C52" s="5" t="s">
        <v>342</v>
      </c>
      <c r="D52" s="8">
        <v>180</v>
      </c>
      <c r="E52" s="8" t="s">
        <v>54</v>
      </c>
      <c r="F52" s="8">
        <v>1</v>
      </c>
      <c r="G52" s="8">
        <f>D52*F52</f>
        <v>180</v>
      </c>
      <c r="H52" s="8">
        <v>89000</v>
      </c>
      <c r="I52" s="8" t="s">
        <v>343</v>
      </c>
      <c r="J52" s="8" t="s">
        <v>344</v>
      </c>
      <c r="K52" s="5" t="s">
        <v>345</v>
      </c>
      <c r="L52" s="8">
        <v>2019</v>
      </c>
      <c r="M52" s="8"/>
      <c r="N52" s="5" t="s">
        <v>178</v>
      </c>
      <c r="O52" s="5" t="s">
        <v>47</v>
      </c>
      <c r="P52" s="5" t="s">
        <v>48</v>
      </c>
      <c r="Q52" s="5" t="s">
        <v>328</v>
      </c>
      <c r="R52" s="9"/>
    </row>
    <row r="53" spans="1:18" ht="14.45">
      <c r="A53" s="31" t="s">
        <v>340</v>
      </c>
      <c r="B53" s="5" t="s">
        <v>346</v>
      </c>
      <c r="C53" s="5" t="s">
        <v>347</v>
      </c>
      <c r="D53" s="8">
        <v>50</v>
      </c>
      <c r="E53" s="8" t="s">
        <v>77</v>
      </c>
      <c r="F53" s="8">
        <v>24</v>
      </c>
      <c r="G53" s="8">
        <f>D53*F53</f>
        <v>1200</v>
      </c>
      <c r="H53" s="8">
        <v>75000</v>
      </c>
      <c r="I53" s="8" t="s">
        <v>78</v>
      </c>
      <c r="J53" s="8" t="s">
        <v>348</v>
      </c>
      <c r="K53" s="5" t="s">
        <v>349</v>
      </c>
      <c r="L53" s="8">
        <v>2024</v>
      </c>
      <c r="M53" s="8" t="s">
        <v>350</v>
      </c>
      <c r="N53" s="5" t="s">
        <v>81</v>
      </c>
      <c r="O53" s="5" t="s">
        <v>47</v>
      </c>
      <c r="P53" s="5" t="s">
        <v>48</v>
      </c>
      <c r="Q53" s="5" t="s">
        <v>328</v>
      </c>
      <c r="R53" s="18" t="s">
        <v>351</v>
      </c>
    </row>
    <row r="54" spans="1:18" s="5" customFormat="1">
      <c r="A54" s="5" t="s">
        <v>352</v>
      </c>
      <c r="B54" s="5" t="s">
        <v>353</v>
      </c>
      <c r="C54" s="5" t="s">
        <v>354</v>
      </c>
      <c r="D54" s="8">
        <v>3.75</v>
      </c>
      <c r="E54" s="8" t="s">
        <v>54</v>
      </c>
      <c r="F54" s="8">
        <v>32</v>
      </c>
      <c r="G54" s="8">
        <f>D54*F54</f>
        <v>120</v>
      </c>
      <c r="H54" s="8">
        <v>400000</v>
      </c>
      <c r="I54" s="8" t="s">
        <v>43</v>
      </c>
      <c r="J54" s="8" t="s">
        <v>355</v>
      </c>
      <c r="K54" s="5" t="s">
        <v>356</v>
      </c>
      <c r="L54" s="8">
        <v>2019</v>
      </c>
      <c r="M54" s="8"/>
      <c r="N54" s="5" t="s">
        <v>46</v>
      </c>
      <c r="O54" s="5" t="s">
        <v>47</v>
      </c>
      <c r="P54" s="5" t="s">
        <v>48</v>
      </c>
      <c r="Q54" s="5" t="s">
        <v>49</v>
      </c>
      <c r="R54" s="9" t="s">
        <v>357</v>
      </c>
    </row>
    <row r="55" spans="1:18">
      <c r="A55" s="5" t="s">
        <v>358</v>
      </c>
      <c r="B55" s="5" t="s">
        <v>359</v>
      </c>
      <c r="C55" s="5" t="s">
        <v>360</v>
      </c>
      <c r="D55" s="8">
        <v>3.75</v>
      </c>
      <c r="E55" s="8" t="s">
        <v>54</v>
      </c>
      <c r="F55" s="8">
        <v>30</v>
      </c>
      <c r="G55" s="8">
        <f>D55*F55</f>
        <v>112.5</v>
      </c>
      <c r="H55" s="8">
        <v>298000</v>
      </c>
      <c r="I55" s="8" t="s">
        <v>43</v>
      </c>
      <c r="J55" s="8" t="s">
        <v>361</v>
      </c>
      <c r="K55" s="5" t="s">
        <v>362</v>
      </c>
      <c r="L55" s="8">
        <v>2018</v>
      </c>
      <c r="M55" s="8"/>
      <c r="N55" s="5" t="s">
        <v>46</v>
      </c>
      <c r="O55" s="5" t="s">
        <v>47</v>
      </c>
      <c r="P55" s="5" t="s">
        <v>48</v>
      </c>
      <c r="Q55" s="5" t="s">
        <v>49</v>
      </c>
      <c r="R55" s="9" t="s">
        <v>363</v>
      </c>
    </row>
    <row r="56" spans="1:18">
      <c r="A56" s="5" t="s">
        <v>364</v>
      </c>
      <c r="B56" s="5" t="s">
        <v>365</v>
      </c>
      <c r="C56" s="5" t="s">
        <v>366</v>
      </c>
      <c r="D56" s="5"/>
      <c r="E56" s="5"/>
      <c r="F56" s="5" t="s">
        <v>367</v>
      </c>
      <c r="G56" s="5"/>
      <c r="H56" s="5">
        <v>48000</v>
      </c>
      <c r="I56" s="5" t="s">
        <v>368</v>
      </c>
      <c r="J56" s="5" t="s">
        <v>369</v>
      </c>
      <c r="K56" s="5" t="s">
        <v>370</v>
      </c>
      <c r="L56" s="5">
        <v>2021</v>
      </c>
      <c r="M56" s="5"/>
      <c r="N56" s="5" t="s">
        <v>178</v>
      </c>
      <c r="O56" s="5" t="s">
        <v>47</v>
      </c>
      <c r="P56" s="5" t="s">
        <v>48</v>
      </c>
      <c r="Q56" s="5" t="s">
        <v>371</v>
      </c>
      <c r="R56" s="9" t="s">
        <v>372</v>
      </c>
    </row>
    <row r="57" spans="1:18">
      <c r="A57" s="5" t="s">
        <v>373</v>
      </c>
      <c r="B57" s="5" t="s">
        <v>374</v>
      </c>
      <c r="C57" s="5" t="s">
        <v>375</v>
      </c>
      <c r="D57" s="8">
        <v>70</v>
      </c>
      <c r="E57" s="8" t="s">
        <v>132</v>
      </c>
      <c r="F57" s="8">
        <v>60</v>
      </c>
      <c r="G57" s="8">
        <f>D57*F57</f>
        <v>4200</v>
      </c>
      <c r="H57" s="8" t="s">
        <v>376</v>
      </c>
      <c r="I57" s="8" t="s">
        <v>377</v>
      </c>
      <c r="J57" s="8" t="s">
        <v>378</v>
      </c>
      <c r="K57" s="5" t="s">
        <v>379</v>
      </c>
      <c r="L57" s="8">
        <v>2018</v>
      </c>
      <c r="M57" s="8"/>
      <c r="N57" s="5" t="s">
        <v>136</v>
      </c>
      <c r="O57" s="5" t="s">
        <v>380</v>
      </c>
      <c r="P57" s="5" t="s">
        <v>48</v>
      </c>
      <c r="Q57" s="5" t="s">
        <v>138</v>
      </c>
      <c r="R57" s="9" t="s">
        <v>381</v>
      </c>
    </row>
    <row r="58" spans="1:18">
      <c r="A58" s="5" t="s">
        <v>382</v>
      </c>
      <c r="B58" s="5" t="s">
        <v>383</v>
      </c>
      <c r="C58" s="5" t="s">
        <v>384</v>
      </c>
      <c r="D58" s="5">
        <v>10</v>
      </c>
      <c r="E58" s="5" t="s">
        <v>42</v>
      </c>
      <c r="F58" s="5">
        <v>30</v>
      </c>
      <c r="G58" s="5">
        <f>+D58*F58</f>
        <v>300</v>
      </c>
      <c r="H58" s="8">
        <v>34000</v>
      </c>
      <c r="I58" s="5" t="s">
        <v>385</v>
      </c>
      <c r="J58" s="5" t="s">
        <v>386</v>
      </c>
      <c r="K58" s="5" t="s">
        <v>387</v>
      </c>
      <c r="L58" s="5">
        <v>2021</v>
      </c>
      <c r="M58" s="5"/>
      <c r="N58" s="5" t="s">
        <v>95</v>
      </c>
      <c r="O58" s="5" t="s">
        <v>82</v>
      </c>
      <c r="P58" s="5" t="s">
        <v>48</v>
      </c>
      <c r="Q58" s="5" t="s">
        <v>49</v>
      </c>
      <c r="R58" s="9" t="s">
        <v>388</v>
      </c>
    </row>
    <row r="59" spans="1:18">
      <c r="A59" s="5" t="s">
        <v>389</v>
      </c>
      <c r="B59" s="5" t="s">
        <v>390</v>
      </c>
      <c r="C59" s="5" t="s">
        <v>391</v>
      </c>
      <c r="D59" s="5">
        <v>3.75</v>
      </c>
      <c r="E59" s="5" t="s">
        <v>42</v>
      </c>
      <c r="F59" s="5">
        <v>30</v>
      </c>
      <c r="G59" s="5">
        <f>+D59*F59</f>
        <v>112.5</v>
      </c>
      <c r="H59" s="5">
        <v>198000</v>
      </c>
      <c r="I59" s="5" t="s">
        <v>43</v>
      </c>
      <c r="J59" s="5" t="s">
        <v>153</v>
      </c>
      <c r="K59" s="5" t="s">
        <v>104</v>
      </c>
      <c r="L59" s="5">
        <v>2020</v>
      </c>
      <c r="M59" s="5"/>
      <c r="N59" s="5" t="s">
        <v>46</v>
      </c>
      <c r="O59" s="5" t="s">
        <v>47</v>
      </c>
      <c r="P59" s="5" t="s">
        <v>392</v>
      </c>
      <c r="Q59" s="5" t="s">
        <v>49</v>
      </c>
      <c r="R59" s="5" t="s">
        <v>393</v>
      </c>
    </row>
    <row r="60" spans="1:18">
      <c r="A60" s="5" t="s">
        <v>394</v>
      </c>
      <c r="B60" s="5" t="s">
        <v>395</v>
      </c>
      <c r="C60" s="5" t="s">
        <v>396</v>
      </c>
      <c r="D60" s="8">
        <v>10</v>
      </c>
      <c r="E60" s="8" t="s">
        <v>132</v>
      </c>
      <c r="F60" s="8">
        <v>14</v>
      </c>
      <c r="G60" s="8">
        <f>D60*F60</f>
        <v>140</v>
      </c>
      <c r="H60" s="8">
        <v>35800</v>
      </c>
      <c r="I60" s="8" t="s">
        <v>397</v>
      </c>
      <c r="J60" s="8" t="s">
        <v>398</v>
      </c>
      <c r="K60" s="5" t="s">
        <v>399</v>
      </c>
      <c r="L60" s="8">
        <v>2018</v>
      </c>
      <c r="M60" s="8"/>
      <c r="N60" s="5" t="s">
        <v>400</v>
      </c>
      <c r="O60" s="5" t="s">
        <v>149</v>
      </c>
      <c r="P60" s="5" t="s">
        <v>401</v>
      </c>
      <c r="Q60" s="5" t="s">
        <v>138</v>
      </c>
      <c r="R60" s="9" t="s">
        <v>402</v>
      </c>
    </row>
    <row r="61" spans="1:18">
      <c r="A61" s="5" t="s">
        <v>403</v>
      </c>
      <c r="B61" s="4" t="s">
        <v>404</v>
      </c>
      <c r="C61" s="4" t="s">
        <v>405</v>
      </c>
      <c r="D61" s="8">
        <v>4</v>
      </c>
      <c r="E61" s="8" t="s">
        <v>406</v>
      </c>
      <c r="F61" s="8">
        <v>30</v>
      </c>
      <c r="G61" s="8">
        <f>D61*F61</f>
        <v>120</v>
      </c>
      <c r="H61" s="8">
        <v>540000</v>
      </c>
      <c r="I61" s="8" t="s">
        <v>407</v>
      </c>
      <c r="J61" s="8" t="s">
        <v>378</v>
      </c>
      <c r="K61" s="5" t="s">
        <v>379</v>
      </c>
      <c r="L61" s="8">
        <v>2018</v>
      </c>
      <c r="M61" s="8"/>
      <c r="N61" s="5" t="s">
        <v>46</v>
      </c>
      <c r="O61" s="5" t="s">
        <v>137</v>
      </c>
      <c r="P61" s="5" t="s">
        <v>48</v>
      </c>
      <c r="Q61" s="5" t="s">
        <v>138</v>
      </c>
      <c r="R61" s="9" t="s">
        <v>408</v>
      </c>
    </row>
    <row r="62" spans="1:18">
      <c r="A62" s="5" t="s">
        <v>409</v>
      </c>
      <c r="B62" s="4" t="s">
        <v>410</v>
      </c>
      <c r="C62" s="4" t="s">
        <v>411</v>
      </c>
      <c r="D62" s="8">
        <v>3.75</v>
      </c>
      <c r="E62" s="8" t="s">
        <v>406</v>
      </c>
      <c r="F62" s="8">
        <v>30</v>
      </c>
      <c r="G62" s="8">
        <f>D62*F62</f>
        <v>112.5</v>
      </c>
      <c r="H62" s="8">
        <v>290000</v>
      </c>
      <c r="I62" s="8" t="s">
        <v>412</v>
      </c>
      <c r="J62" s="8"/>
      <c r="K62" s="5"/>
      <c r="L62" s="8">
        <v>2018</v>
      </c>
      <c r="M62" s="8"/>
      <c r="N62" s="5" t="s">
        <v>46</v>
      </c>
      <c r="O62" s="5" t="s">
        <v>149</v>
      </c>
      <c r="P62" s="5" t="s">
        <v>48</v>
      </c>
      <c r="Q62" s="5" t="s">
        <v>138</v>
      </c>
      <c r="R62" s="9"/>
    </row>
    <row r="63" spans="1:18">
      <c r="A63" s="5" t="s">
        <v>413</v>
      </c>
      <c r="B63" s="5" t="s">
        <v>414</v>
      </c>
      <c r="C63" s="5" t="s">
        <v>415</v>
      </c>
      <c r="D63" s="8">
        <v>1000</v>
      </c>
      <c r="E63" s="8" t="s">
        <v>246</v>
      </c>
      <c r="F63" s="8">
        <v>1</v>
      </c>
      <c r="G63" s="8">
        <f>D63*F63</f>
        <v>1000</v>
      </c>
      <c r="H63" s="8">
        <v>298000</v>
      </c>
      <c r="I63" s="8" t="s">
        <v>416</v>
      </c>
      <c r="J63" s="8" t="s">
        <v>417</v>
      </c>
      <c r="K63" s="5" t="s">
        <v>418</v>
      </c>
      <c r="L63" s="8">
        <v>2018</v>
      </c>
      <c r="M63" s="8"/>
      <c r="N63" s="5" t="s">
        <v>419</v>
      </c>
      <c r="O63" s="5" t="s">
        <v>420</v>
      </c>
      <c r="P63" s="5" t="s">
        <v>48</v>
      </c>
      <c r="Q63" s="5" t="s">
        <v>138</v>
      </c>
      <c r="R63" s="9" t="s">
        <v>421</v>
      </c>
    </row>
    <row r="64" spans="1:18" s="5" customFormat="1">
      <c r="A64" s="5" t="s">
        <v>413</v>
      </c>
      <c r="B64" s="5" t="s">
        <v>422</v>
      </c>
      <c r="C64" s="5" t="s">
        <v>423</v>
      </c>
      <c r="D64" s="8">
        <v>70</v>
      </c>
      <c r="E64" s="8" t="s">
        <v>189</v>
      </c>
      <c r="F64" s="8">
        <v>60</v>
      </c>
      <c r="G64" s="8">
        <f>D64*F64</f>
        <v>4200</v>
      </c>
      <c r="H64" s="8">
        <v>79000</v>
      </c>
      <c r="I64" s="8" t="s">
        <v>424</v>
      </c>
      <c r="J64" s="8" t="s">
        <v>425</v>
      </c>
      <c r="K64" s="5" t="s">
        <v>426</v>
      </c>
      <c r="L64" s="8">
        <v>2021</v>
      </c>
      <c r="M64" s="8"/>
      <c r="N64" s="5" t="s">
        <v>427</v>
      </c>
      <c r="O64" s="5" t="s">
        <v>428</v>
      </c>
      <c r="P64" s="5" t="s">
        <v>48</v>
      </c>
      <c r="Q64" s="5" t="s">
        <v>163</v>
      </c>
      <c r="R64" s="14" t="s">
        <v>429</v>
      </c>
    </row>
    <row r="65" spans="1:18" s="5" customFormat="1">
      <c r="A65" s="5" t="s">
        <v>430</v>
      </c>
      <c r="B65" s="5" t="s">
        <v>431</v>
      </c>
      <c r="C65" s="5" t="s">
        <v>432</v>
      </c>
      <c r="D65" s="5">
        <v>360</v>
      </c>
      <c r="E65" s="5" t="s">
        <v>54</v>
      </c>
      <c r="F65" s="5">
        <v>2</v>
      </c>
      <c r="G65" s="5">
        <f>+D65*F65</f>
        <v>720</v>
      </c>
      <c r="H65" s="5">
        <v>53000</v>
      </c>
      <c r="J65" s="5" t="s">
        <v>88</v>
      </c>
      <c r="K65" s="5" t="s">
        <v>89</v>
      </c>
      <c r="L65" s="5">
        <v>2021</v>
      </c>
      <c r="N65" s="5" t="s">
        <v>178</v>
      </c>
      <c r="O65" s="5" t="s">
        <v>47</v>
      </c>
      <c r="P65" s="5" t="s">
        <v>48</v>
      </c>
      <c r="Q65" s="5" t="s">
        <v>49</v>
      </c>
      <c r="R65" s="9" t="s">
        <v>433</v>
      </c>
    </row>
    <row r="66" spans="1:18" s="5" customFormat="1">
      <c r="A66" s="5" t="s">
        <v>434</v>
      </c>
      <c r="B66" s="5" t="s">
        <v>435</v>
      </c>
      <c r="C66" s="5" t="s">
        <v>436</v>
      </c>
      <c r="D66" s="5">
        <v>5</v>
      </c>
      <c r="E66" s="5" t="s">
        <v>54</v>
      </c>
      <c r="F66" s="5">
        <v>30</v>
      </c>
      <c r="G66" s="5">
        <f>+D66*F66</f>
        <v>150</v>
      </c>
      <c r="H66" s="13">
        <v>320000</v>
      </c>
      <c r="I66" s="5" t="s">
        <v>437</v>
      </c>
      <c r="J66" s="5" t="s">
        <v>438</v>
      </c>
      <c r="K66" s="5" t="s">
        <v>439</v>
      </c>
      <c r="L66" s="5">
        <v>2022</v>
      </c>
      <c r="N66" s="5" t="s">
        <v>46</v>
      </c>
      <c r="O66" s="5" t="s">
        <v>72</v>
      </c>
      <c r="P66" s="5" t="s">
        <v>48</v>
      </c>
      <c r="Q66" s="5" t="s">
        <v>49</v>
      </c>
      <c r="R66" s="9" t="s">
        <v>440</v>
      </c>
    </row>
    <row r="67" spans="1:18" s="5" customFormat="1">
      <c r="A67" s="5" t="s">
        <v>441</v>
      </c>
      <c r="B67" s="5" t="s">
        <v>442</v>
      </c>
      <c r="C67" s="5" t="s">
        <v>443</v>
      </c>
      <c r="D67" s="5">
        <v>60</v>
      </c>
      <c r="E67" s="5" t="s">
        <v>77</v>
      </c>
      <c r="F67" s="5">
        <v>120</v>
      </c>
      <c r="G67" s="5">
        <f>+D67*F67</f>
        <v>7200</v>
      </c>
      <c r="H67" s="5">
        <v>118000</v>
      </c>
      <c r="I67" s="5" t="s">
        <v>292</v>
      </c>
      <c r="J67" s="5" t="s">
        <v>444</v>
      </c>
      <c r="K67" s="5" t="s">
        <v>445</v>
      </c>
      <c r="L67" s="5">
        <v>2020</v>
      </c>
      <c r="N67" s="5" t="s">
        <v>81</v>
      </c>
      <c r="O67" s="5" t="s">
        <v>72</v>
      </c>
      <c r="P67" s="5" t="s">
        <v>446</v>
      </c>
      <c r="Q67" s="5" t="s">
        <v>328</v>
      </c>
      <c r="R67" s="9" t="s">
        <v>447</v>
      </c>
    </row>
    <row r="68" spans="1:18">
      <c r="A68" s="5" t="s">
        <v>448</v>
      </c>
      <c r="B68" s="4" t="s">
        <v>449</v>
      </c>
      <c r="C68" s="4" t="s">
        <v>450</v>
      </c>
      <c r="D68" s="8">
        <v>50</v>
      </c>
      <c r="E68" s="8" t="s">
        <v>121</v>
      </c>
      <c r="F68" s="8">
        <v>14</v>
      </c>
      <c r="G68" s="8">
        <f>D68*F68</f>
        <v>700</v>
      </c>
      <c r="H68" s="8">
        <v>140000</v>
      </c>
      <c r="I68" s="8" t="s">
        <v>78</v>
      </c>
      <c r="J68" s="8" t="s">
        <v>451</v>
      </c>
      <c r="K68" s="5" t="s">
        <v>452</v>
      </c>
      <c r="L68" s="8">
        <v>2019</v>
      </c>
      <c r="M68" s="8"/>
      <c r="N68" s="5" t="s">
        <v>178</v>
      </c>
      <c r="O68" s="5" t="s">
        <v>47</v>
      </c>
      <c r="P68" s="5" t="s">
        <v>453</v>
      </c>
      <c r="Q68" s="5" t="s">
        <v>49</v>
      </c>
      <c r="R68" s="9" t="s">
        <v>454</v>
      </c>
    </row>
    <row r="69" spans="1:18" s="5" customFormat="1">
      <c r="A69" s="5" t="s">
        <v>448</v>
      </c>
      <c r="B69" s="5" t="s">
        <v>455</v>
      </c>
      <c r="C69" s="5" t="s">
        <v>450</v>
      </c>
      <c r="D69" s="5">
        <v>13</v>
      </c>
      <c r="E69" s="5" t="s">
        <v>54</v>
      </c>
      <c r="F69" s="5">
        <v>14</v>
      </c>
      <c r="G69" s="5">
        <f>+D69*F69</f>
        <v>182</v>
      </c>
      <c r="H69" s="5">
        <v>100000</v>
      </c>
      <c r="I69" s="5" t="s">
        <v>456</v>
      </c>
      <c r="J69" s="5" t="s">
        <v>457</v>
      </c>
      <c r="K69" s="5" t="s">
        <v>458</v>
      </c>
      <c r="L69" s="5">
        <v>2020</v>
      </c>
      <c r="N69" s="5" t="s">
        <v>95</v>
      </c>
      <c r="O69" s="5" t="s">
        <v>47</v>
      </c>
      <c r="P69" s="5" t="s">
        <v>459</v>
      </c>
      <c r="Q69" s="5" t="s">
        <v>49</v>
      </c>
      <c r="R69" s="9" t="s">
        <v>460</v>
      </c>
    </row>
    <row r="70" spans="1:18">
      <c r="A70" s="5" t="s">
        <v>461</v>
      </c>
      <c r="B70" s="5" t="s">
        <v>462</v>
      </c>
      <c r="C70" s="5" t="s">
        <v>463</v>
      </c>
      <c r="D70" s="5">
        <v>50</v>
      </c>
      <c r="E70" s="5" t="s">
        <v>77</v>
      </c>
      <c r="F70" s="5">
        <v>30</v>
      </c>
      <c r="G70" s="8">
        <f>+D70*F70</f>
        <v>1500</v>
      </c>
      <c r="H70" s="8">
        <v>151800</v>
      </c>
      <c r="I70" s="5" t="s">
        <v>78</v>
      </c>
      <c r="J70" s="5"/>
      <c r="K70" s="5"/>
      <c r="L70" s="5">
        <v>2021</v>
      </c>
      <c r="M70" s="5"/>
      <c r="N70" s="5" t="s">
        <v>81</v>
      </c>
      <c r="O70" s="5" t="s">
        <v>72</v>
      </c>
      <c r="P70" s="5" t="s">
        <v>48</v>
      </c>
      <c r="Q70" s="5" t="s">
        <v>49</v>
      </c>
      <c r="R70" s="5"/>
    </row>
    <row r="71" spans="1:18">
      <c r="A71" s="5" t="s">
        <v>461</v>
      </c>
      <c r="B71" s="5" t="s">
        <v>464</v>
      </c>
      <c r="C71" s="5" t="s">
        <v>465</v>
      </c>
      <c r="D71" s="5">
        <v>10</v>
      </c>
      <c r="E71" s="5" t="s">
        <v>77</v>
      </c>
      <c r="F71" s="5">
        <v>30</v>
      </c>
      <c r="G71" s="5">
        <f>+D71*F71</f>
        <v>300</v>
      </c>
      <c r="H71" s="5">
        <v>101500</v>
      </c>
      <c r="I71" s="5" t="s">
        <v>168</v>
      </c>
      <c r="J71" s="5" t="s">
        <v>466</v>
      </c>
      <c r="K71" s="5" t="s">
        <v>467</v>
      </c>
      <c r="L71" s="5">
        <v>2021</v>
      </c>
      <c r="M71" s="5"/>
      <c r="N71" s="5" t="s">
        <v>95</v>
      </c>
      <c r="O71" s="5" t="s">
        <v>72</v>
      </c>
      <c r="P71" s="5" t="s">
        <v>48</v>
      </c>
      <c r="Q71" s="5" t="s">
        <v>49</v>
      </c>
      <c r="R71" s="9" t="s">
        <v>468</v>
      </c>
    </row>
    <row r="72" spans="1:18">
      <c r="A72" s="5" t="s">
        <v>469</v>
      </c>
      <c r="B72" s="4" t="s">
        <v>470</v>
      </c>
      <c r="C72" s="4" t="s">
        <v>471</v>
      </c>
      <c r="D72" s="8"/>
      <c r="E72" s="8" t="s">
        <v>132</v>
      </c>
      <c r="F72" s="8">
        <v>30</v>
      </c>
      <c r="G72" s="8"/>
      <c r="H72" s="8">
        <v>398000</v>
      </c>
      <c r="I72" s="8"/>
      <c r="J72" s="8" t="s">
        <v>472</v>
      </c>
      <c r="K72" s="5"/>
      <c r="L72" s="8">
        <v>2018</v>
      </c>
      <c r="M72" s="8"/>
      <c r="N72" s="5" t="s">
        <v>46</v>
      </c>
      <c r="O72" s="5" t="s">
        <v>137</v>
      </c>
      <c r="P72" s="5" t="s">
        <v>48</v>
      </c>
      <c r="Q72" s="5" t="s">
        <v>138</v>
      </c>
      <c r="R72" s="9" t="s">
        <v>473</v>
      </c>
    </row>
    <row r="73" spans="1:18" ht="14.45">
      <c r="A73" s="5" t="s">
        <v>474</v>
      </c>
      <c r="B73" s="4" t="s">
        <v>475</v>
      </c>
      <c r="C73" s="4" t="s">
        <v>476</v>
      </c>
      <c r="D73" s="8">
        <v>3.75</v>
      </c>
      <c r="E73" s="8" t="s">
        <v>42</v>
      </c>
      <c r="F73" s="8">
        <v>30</v>
      </c>
      <c r="G73" s="8">
        <f t="shared" ref="G73:G79" si="4">D73*F73</f>
        <v>112.5</v>
      </c>
      <c r="H73" s="8">
        <v>140000</v>
      </c>
      <c r="I73" s="8" t="s">
        <v>477</v>
      </c>
      <c r="J73" s="8" t="s">
        <v>88</v>
      </c>
      <c r="K73" s="5" t="s">
        <v>89</v>
      </c>
      <c r="L73" s="8">
        <v>2023</v>
      </c>
      <c r="M73" s="8" t="s">
        <v>13</v>
      </c>
      <c r="N73" s="5" t="s">
        <v>46</v>
      </c>
      <c r="O73" s="5" t="s">
        <v>47</v>
      </c>
      <c r="P73" s="5" t="s">
        <v>48</v>
      </c>
      <c r="Q73" s="5" t="s">
        <v>49</v>
      </c>
      <c r="R73" s="18" t="s">
        <v>478</v>
      </c>
    </row>
    <row r="74" spans="1:18">
      <c r="A74" s="5" t="s">
        <v>479</v>
      </c>
      <c r="B74" s="5" t="s">
        <v>480</v>
      </c>
      <c r="C74" s="5" t="s">
        <v>481</v>
      </c>
      <c r="D74" s="8">
        <v>100</v>
      </c>
      <c r="E74" s="8" t="s">
        <v>132</v>
      </c>
      <c r="F74" s="8">
        <v>30</v>
      </c>
      <c r="G74" s="8">
        <f t="shared" si="4"/>
        <v>3000</v>
      </c>
      <c r="H74" s="8">
        <v>125000</v>
      </c>
      <c r="I74" s="8" t="s">
        <v>133</v>
      </c>
      <c r="J74" s="8" t="s">
        <v>482</v>
      </c>
      <c r="K74" s="5" t="s">
        <v>483</v>
      </c>
      <c r="L74" s="8">
        <v>2018</v>
      </c>
      <c r="M74" s="8"/>
      <c r="N74" s="5" t="s">
        <v>136</v>
      </c>
      <c r="O74" s="5" t="s">
        <v>137</v>
      </c>
      <c r="P74" s="5" t="s">
        <v>48</v>
      </c>
      <c r="Q74" s="5" t="s">
        <v>138</v>
      </c>
      <c r="R74" s="9" t="s">
        <v>484</v>
      </c>
    </row>
    <row r="75" spans="1:18">
      <c r="A75" s="5" t="s">
        <v>485</v>
      </c>
      <c r="B75" s="4" t="s">
        <v>486</v>
      </c>
      <c r="C75" s="4" t="s">
        <v>487</v>
      </c>
      <c r="D75" s="8">
        <v>4.5</v>
      </c>
      <c r="E75" s="8" t="s">
        <v>42</v>
      </c>
      <c r="F75" s="8">
        <v>30</v>
      </c>
      <c r="G75" s="8">
        <f t="shared" si="4"/>
        <v>135</v>
      </c>
      <c r="H75" s="8">
        <v>270000</v>
      </c>
      <c r="I75" s="8" t="s">
        <v>488</v>
      </c>
      <c r="J75" s="8" t="s">
        <v>489</v>
      </c>
      <c r="K75" s="5" t="s">
        <v>490</v>
      </c>
      <c r="L75" s="8">
        <v>2018</v>
      </c>
      <c r="M75" s="8"/>
      <c r="N75" s="5" t="s">
        <v>46</v>
      </c>
      <c r="O75" s="5" t="s">
        <v>338</v>
      </c>
      <c r="P75" s="5"/>
      <c r="Q75" s="5" t="s">
        <v>138</v>
      </c>
      <c r="R75" s="9"/>
    </row>
    <row r="76" spans="1:18" s="5" customFormat="1">
      <c r="A76" s="5" t="s">
        <v>485</v>
      </c>
      <c r="B76" s="5" t="s">
        <v>491</v>
      </c>
      <c r="C76" s="5" t="s">
        <v>492</v>
      </c>
      <c r="D76" s="8">
        <v>240</v>
      </c>
      <c r="E76" s="8" t="s">
        <v>42</v>
      </c>
      <c r="F76" s="8">
        <v>2</v>
      </c>
      <c r="G76" s="8">
        <f t="shared" si="4"/>
        <v>480</v>
      </c>
      <c r="H76" s="8">
        <v>280000</v>
      </c>
      <c r="I76" s="8" t="s">
        <v>493</v>
      </c>
      <c r="J76" s="8" t="s">
        <v>378</v>
      </c>
      <c r="K76" s="5" t="s">
        <v>379</v>
      </c>
      <c r="L76" s="8">
        <v>2018</v>
      </c>
      <c r="M76" s="8"/>
      <c r="N76" s="5" t="s">
        <v>419</v>
      </c>
      <c r="O76" s="5" t="s">
        <v>338</v>
      </c>
      <c r="Q76" s="5" t="s">
        <v>138</v>
      </c>
      <c r="R76" s="9"/>
    </row>
    <row r="77" spans="1:18" s="5" customFormat="1">
      <c r="A77" s="5" t="s">
        <v>485</v>
      </c>
      <c r="B77" s="5" t="s">
        <v>494</v>
      </c>
      <c r="C77" s="5" t="s">
        <v>495</v>
      </c>
      <c r="D77" s="8">
        <v>10</v>
      </c>
      <c r="E77" s="8" t="s">
        <v>42</v>
      </c>
      <c r="F77" s="8">
        <v>10</v>
      </c>
      <c r="G77" s="8">
        <f t="shared" si="4"/>
        <v>100</v>
      </c>
      <c r="H77" s="8">
        <v>320000</v>
      </c>
      <c r="I77" s="8" t="s">
        <v>496</v>
      </c>
      <c r="J77" s="8" t="s">
        <v>497</v>
      </c>
      <c r="K77" s="5" t="s">
        <v>498</v>
      </c>
      <c r="L77" s="8">
        <v>2018</v>
      </c>
      <c r="M77" s="8"/>
      <c r="N77" s="5" t="s">
        <v>400</v>
      </c>
      <c r="O77" s="5" t="s">
        <v>137</v>
      </c>
      <c r="P77" s="5" t="s">
        <v>48</v>
      </c>
      <c r="Q77" s="5" t="s">
        <v>138</v>
      </c>
      <c r="R77" s="9" t="s">
        <v>499</v>
      </c>
    </row>
    <row r="78" spans="1:18" s="5" customFormat="1">
      <c r="A78" s="5" t="s">
        <v>485</v>
      </c>
      <c r="B78" s="4" t="s">
        <v>500</v>
      </c>
      <c r="C78" s="4" t="s">
        <v>501</v>
      </c>
      <c r="D78" s="8">
        <v>10</v>
      </c>
      <c r="E78" s="8" t="s">
        <v>42</v>
      </c>
      <c r="F78" s="8">
        <v>30</v>
      </c>
      <c r="G78" s="8">
        <f t="shared" si="4"/>
        <v>300</v>
      </c>
      <c r="H78" s="8">
        <v>240000</v>
      </c>
      <c r="I78" s="8" t="s">
        <v>496</v>
      </c>
      <c r="J78" s="8" t="s">
        <v>378</v>
      </c>
      <c r="K78" s="5" t="s">
        <v>379</v>
      </c>
      <c r="L78" s="8">
        <v>2018</v>
      </c>
      <c r="M78" s="8"/>
      <c r="N78" s="5" t="s">
        <v>400</v>
      </c>
      <c r="O78" s="5" t="s">
        <v>338</v>
      </c>
      <c r="Q78" s="5" t="s">
        <v>138</v>
      </c>
      <c r="R78" s="9"/>
    </row>
    <row r="79" spans="1:18">
      <c r="A79" s="5" t="s">
        <v>502</v>
      </c>
      <c r="B79" s="5" t="s">
        <v>503</v>
      </c>
      <c r="C79" s="5" t="s">
        <v>504</v>
      </c>
      <c r="D79" s="8">
        <v>10</v>
      </c>
      <c r="E79" s="8" t="s">
        <v>42</v>
      </c>
      <c r="F79" s="8">
        <v>60</v>
      </c>
      <c r="G79" s="8">
        <f t="shared" si="4"/>
        <v>600</v>
      </c>
      <c r="H79" s="8">
        <v>80000</v>
      </c>
      <c r="I79" s="8" t="s">
        <v>397</v>
      </c>
      <c r="J79" s="8" t="s">
        <v>103</v>
      </c>
      <c r="K79" s="5" t="s">
        <v>505</v>
      </c>
      <c r="L79" s="8">
        <v>2018</v>
      </c>
      <c r="M79" s="8"/>
      <c r="N79" s="5" t="s">
        <v>400</v>
      </c>
      <c r="O79" s="5" t="s">
        <v>149</v>
      </c>
      <c r="P79" s="5" t="s">
        <v>48</v>
      </c>
      <c r="Q79" s="5" t="s">
        <v>138</v>
      </c>
      <c r="R79" s="9" t="s">
        <v>506</v>
      </c>
    </row>
    <row r="80" spans="1:18">
      <c r="A80" s="5" t="s">
        <v>507</v>
      </c>
      <c r="B80" s="5" t="s">
        <v>508</v>
      </c>
      <c r="C80" s="5" t="s">
        <v>509</v>
      </c>
      <c r="D80" s="5">
        <v>100</v>
      </c>
      <c r="E80" s="5" t="s">
        <v>77</v>
      </c>
      <c r="F80" s="5">
        <v>20</v>
      </c>
      <c r="G80" s="8">
        <f>+D80*F80</f>
        <v>2000</v>
      </c>
      <c r="H80" s="5">
        <v>19900</v>
      </c>
      <c r="I80" s="5"/>
      <c r="J80" s="5" t="s">
        <v>510</v>
      </c>
      <c r="K80" s="5" t="s">
        <v>511</v>
      </c>
      <c r="L80" s="5">
        <v>2020</v>
      </c>
      <c r="M80" s="5"/>
      <c r="N80" s="5" t="s">
        <v>178</v>
      </c>
      <c r="O80" s="5" t="s">
        <v>47</v>
      </c>
      <c r="P80" s="5" t="s">
        <v>512</v>
      </c>
      <c r="Q80" s="5" t="s">
        <v>49</v>
      </c>
      <c r="R80" s="5" t="s">
        <v>513</v>
      </c>
    </row>
    <row r="81" spans="1:18">
      <c r="A81" s="5" t="s">
        <v>514</v>
      </c>
      <c r="B81" s="5" t="s">
        <v>515</v>
      </c>
      <c r="C81" s="5" t="s">
        <v>516</v>
      </c>
      <c r="D81" s="5">
        <v>3.75</v>
      </c>
      <c r="E81" s="5" t="s">
        <v>42</v>
      </c>
      <c r="F81" s="5">
        <v>25</v>
      </c>
      <c r="G81" s="5">
        <f>+D81*F81</f>
        <v>93.75</v>
      </c>
      <c r="H81" s="5">
        <v>39200</v>
      </c>
      <c r="I81" s="5" t="s">
        <v>43</v>
      </c>
      <c r="J81" s="5" t="s">
        <v>88</v>
      </c>
      <c r="K81" s="5" t="s">
        <v>89</v>
      </c>
      <c r="L81" s="5">
        <v>2020</v>
      </c>
      <c r="M81" s="5"/>
      <c r="N81" s="5" t="s">
        <v>46</v>
      </c>
      <c r="O81" s="5" t="s">
        <v>82</v>
      </c>
      <c r="P81" s="5" t="s">
        <v>48</v>
      </c>
      <c r="Q81" s="5" t="s">
        <v>49</v>
      </c>
      <c r="R81" s="5" t="s">
        <v>517</v>
      </c>
    </row>
    <row r="82" spans="1:18">
      <c r="A82" s="5" t="s">
        <v>514</v>
      </c>
      <c r="B82" s="5" t="s">
        <v>518</v>
      </c>
      <c r="C82" s="5" t="s">
        <v>519</v>
      </c>
      <c r="D82" s="8">
        <v>50</v>
      </c>
      <c r="E82" s="8" t="s">
        <v>132</v>
      </c>
      <c r="F82" s="8">
        <v>30</v>
      </c>
      <c r="G82" s="8">
        <f>D82*F82</f>
        <v>1500</v>
      </c>
      <c r="H82" s="8">
        <v>155000</v>
      </c>
      <c r="I82" s="8" t="s">
        <v>148</v>
      </c>
      <c r="J82" s="8" t="s">
        <v>378</v>
      </c>
      <c r="K82" s="5" t="s">
        <v>379</v>
      </c>
      <c r="L82" s="8">
        <v>2018</v>
      </c>
      <c r="M82" s="8"/>
      <c r="N82" s="5" t="s">
        <v>400</v>
      </c>
      <c r="O82" s="5" t="s">
        <v>380</v>
      </c>
      <c r="P82" s="5" t="s">
        <v>48</v>
      </c>
      <c r="Q82" s="5" t="s">
        <v>520</v>
      </c>
      <c r="R82" s="9" t="s">
        <v>521</v>
      </c>
    </row>
    <row r="83" spans="1:18" ht="14.45">
      <c r="A83" s="5" t="s">
        <v>514</v>
      </c>
      <c r="B83" s="5" t="s">
        <v>522</v>
      </c>
      <c r="C83" s="5" t="s">
        <v>523</v>
      </c>
      <c r="D83" s="8">
        <v>20</v>
      </c>
      <c r="E83" s="8" t="s">
        <v>42</v>
      </c>
      <c r="F83" s="8">
        <v>20</v>
      </c>
      <c r="G83" s="8">
        <f>D83*F83</f>
        <v>400</v>
      </c>
      <c r="H83" s="8">
        <v>70000</v>
      </c>
      <c r="I83" s="8" t="s">
        <v>148</v>
      </c>
      <c r="J83" s="8" t="s">
        <v>524</v>
      </c>
      <c r="K83" s="5" t="s">
        <v>525</v>
      </c>
      <c r="L83" s="8">
        <v>2024</v>
      </c>
      <c r="M83" s="8" t="s">
        <v>350</v>
      </c>
      <c r="N83" s="5" t="s">
        <v>178</v>
      </c>
      <c r="O83" s="5" t="s">
        <v>380</v>
      </c>
      <c r="P83" s="5" t="s">
        <v>48</v>
      </c>
      <c r="Q83" s="5" t="s">
        <v>49</v>
      </c>
      <c r="R83" s="18" t="s">
        <v>526</v>
      </c>
    </row>
    <row r="84" spans="1:18">
      <c r="A84" s="5" t="s">
        <v>527</v>
      </c>
      <c r="B84" s="5" t="s">
        <v>528</v>
      </c>
      <c r="C84" s="5" t="s">
        <v>529</v>
      </c>
      <c r="D84" s="8">
        <v>95</v>
      </c>
      <c r="E84" s="8" t="s">
        <v>132</v>
      </c>
      <c r="F84" s="8">
        <v>60</v>
      </c>
      <c r="G84" s="8">
        <f>D84*F84</f>
        <v>5700</v>
      </c>
      <c r="H84" s="8">
        <v>159000</v>
      </c>
      <c r="I84" s="8" t="s">
        <v>530</v>
      </c>
      <c r="J84" s="8" t="s">
        <v>531</v>
      </c>
      <c r="K84" s="5" t="s">
        <v>532</v>
      </c>
      <c r="L84" s="8">
        <v>2018</v>
      </c>
      <c r="M84" s="8"/>
      <c r="N84" s="5" t="s">
        <v>136</v>
      </c>
      <c r="O84" s="5" t="s">
        <v>137</v>
      </c>
      <c r="P84" s="5" t="s">
        <v>48</v>
      </c>
      <c r="Q84" s="5" t="s">
        <v>138</v>
      </c>
      <c r="R84" s="9" t="s">
        <v>533</v>
      </c>
    </row>
    <row r="85" spans="1:18">
      <c r="A85" s="5" t="s">
        <v>534</v>
      </c>
      <c r="B85" s="6" t="s">
        <v>535</v>
      </c>
      <c r="C85" s="6" t="s">
        <v>536</v>
      </c>
      <c r="D85" s="6">
        <v>20</v>
      </c>
      <c r="E85" s="6" t="s">
        <v>77</v>
      </c>
      <c r="F85" s="6">
        <v>30</v>
      </c>
      <c r="G85" s="6">
        <f>+D85*F85</f>
        <v>600</v>
      </c>
      <c r="H85" s="10">
        <v>125000</v>
      </c>
      <c r="I85" s="6" t="s">
        <v>537</v>
      </c>
      <c r="J85" s="6" t="s">
        <v>88</v>
      </c>
      <c r="K85" s="6" t="s">
        <v>89</v>
      </c>
      <c r="L85" s="6">
        <v>2021</v>
      </c>
      <c r="N85" s="6" t="s">
        <v>178</v>
      </c>
      <c r="O85" s="6" t="s">
        <v>47</v>
      </c>
      <c r="P85" s="6" t="s">
        <v>48</v>
      </c>
      <c r="Q85" s="6" t="s">
        <v>49</v>
      </c>
      <c r="R85" s="14" t="s">
        <v>538</v>
      </c>
    </row>
    <row r="86" spans="1:18">
      <c r="A86" s="5" t="s">
        <v>539</v>
      </c>
      <c r="B86" s="4" t="s">
        <v>540</v>
      </c>
      <c r="C86" s="4" t="s">
        <v>541</v>
      </c>
      <c r="D86" s="4">
        <v>50</v>
      </c>
      <c r="E86" s="4" t="s">
        <v>189</v>
      </c>
      <c r="F86" s="4">
        <v>60</v>
      </c>
      <c r="G86" s="4">
        <f>+D86*F86</f>
        <v>3000</v>
      </c>
      <c r="H86" s="7">
        <v>198000</v>
      </c>
      <c r="I86" s="4" t="s">
        <v>542</v>
      </c>
      <c r="J86" s="4" t="s">
        <v>543</v>
      </c>
      <c r="K86" s="4" t="s">
        <v>544</v>
      </c>
      <c r="L86" s="4">
        <v>2021</v>
      </c>
      <c r="M86" s="4"/>
      <c r="N86" s="4" t="s">
        <v>427</v>
      </c>
      <c r="O86" s="4" t="s">
        <v>545</v>
      </c>
      <c r="P86" s="4" t="s">
        <v>48</v>
      </c>
      <c r="Q86" s="4" t="s">
        <v>163</v>
      </c>
      <c r="R86" s="15" t="s">
        <v>546</v>
      </c>
    </row>
    <row r="87" spans="1:18">
      <c r="A87" s="5" t="s">
        <v>547</v>
      </c>
      <c r="B87" s="5" t="s">
        <v>548</v>
      </c>
      <c r="C87" s="5" t="s">
        <v>549</v>
      </c>
      <c r="D87" s="5">
        <v>10</v>
      </c>
      <c r="E87" s="5" t="s">
        <v>42</v>
      </c>
      <c r="F87" s="5">
        <v>50</v>
      </c>
      <c r="G87" s="5">
        <f>+D87*F87</f>
        <v>500</v>
      </c>
      <c r="H87" s="8">
        <v>29900</v>
      </c>
      <c r="I87" s="5" t="s">
        <v>168</v>
      </c>
      <c r="J87" s="5" t="s">
        <v>550</v>
      </c>
      <c r="K87" s="5" t="s">
        <v>551</v>
      </c>
      <c r="L87" s="5">
        <v>2021</v>
      </c>
      <c r="M87" s="5"/>
      <c r="N87" s="5" t="s">
        <v>95</v>
      </c>
      <c r="O87" s="5" t="s">
        <v>47</v>
      </c>
      <c r="P87" s="5" t="s">
        <v>48</v>
      </c>
      <c r="Q87" s="5" t="s">
        <v>49</v>
      </c>
      <c r="R87" s="9" t="s">
        <v>552</v>
      </c>
    </row>
    <row r="88" spans="1:18">
      <c r="A88" s="5" t="s">
        <v>553</v>
      </c>
      <c r="B88" s="4" t="s">
        <v>554</v>
      </c>
      <c r="C88" s="4" t="s">
        <v>93</v>
      </c>
      <c r="D88" s="8">
        <v>1</v>
      </c>
      <c r="E88" s="8" t="s">
        <v>42</v>
      </c>
      <c r="F88" s="8">
        <v>60</v>
      </c>
      <c r="G88" s="8">
        <f>D88*F88</f>
        <v>60</v>
      </c>
      <c r="H88" s="8">
        <v>149000</v>
      </c>
      <c r="I88" s="8" t="s">
        <v>94</v>
      </c>
      <c r="J88" s="8" t="s">
        <v>555</v>
      </c>
      <c r="K88" s="5" t="s">
        <v>556</v>
      </c>
      <c r="L88" s="8">
        <v>2019</v>
      </c>
      <c r="M88" s="8"/>
      <c r="N88" s="5" t="s">
        <v>95</v>
      </c>
      <c r="O88" s="5" t="s">
        <v>47</v>
      </c>
      <c r="P88" s="5" t="s">
        <v>48</v>
      </c>
      <c r="Q88" s="5" t="s">
        <v>49</v>
      </c>
      <c r="R88" s="9" t="s">
        <v>557</v>
      </c>
    </row>
    <row r="89" spans="1:18">
      <c r="A89" s="5" t="s">
        <v>558</v>
      </c>
      <c r="B89" s="4" t="s">
        <v>559</v>
      </c>
      <c r="C89" s="4" t="s">
        <v>560</v>
      </c>
      <c r="D89" s="4">
        <v>3</v>
      </c>
      <c r="E89" s="4" t="s">
        <v>42</v>
      </c>
      <c r="F89" s="4">
        <v>30</v>
      </c>
      <c r="G89" s="4">
        <f>+D89*F89</f>
        <v>90</v>
      </c>
      <c r="H89" s="7">
        <v>29800</v>
      </c>
      <c r="I89" s="4" t="s">
        <v>561</v>
      </c>
      <c r="J89" s="4" t="s">
        <v>562</v>
      </c>
      <c r="K89" s="4" t="s">
        <v>563</v>
      </c>
      <c r="L89" s="4">
        <v>2021</v>
      </c>
      <c r="M89" s="4"/>
      <c r="N89" s="4" t="s">
        <v>564</v>
      </c>
      <c r="O89" s="4" t="s">
        <v>428</v>
      </c>
      <c r="P89" s="4" t="s">
        <v>48</v>
      </c>
      <c r="Q89" s="4" t="s">
        <v>194</v>
      </c>
      <c r="R89" s="15" t="s">
        <v>565</v>
      </c>
    </row>
    <row r="90" spans="1:18">
      <c r="A90" s="5" t="s">
        <v>566</v>
      </c>
      <c r="B90" s="5" t="s">
        <v>567</v>
      </c>
      <c r="C90" s="5" t="s">
        <v>568</v>
      </c>
      <c r="D90" s="5">
        <v>10</v>
      </c>
      <c r="E90" s="5" t="s">
        <v>42</v>
      </c>
      <c r="F90" s="5">
        <v>30</v>
      </c>
      <c r="G90" s="5">
        <f>+D90*F90</f>
        <v>300</v>
      </c>
      <c r="H90" s="5">
        <v>120000</v>
      </c>
      <c r="I90" s="5" t="s">
        <v>168</v>
      </c>
      <c r="J90" s="5" t="s">
        <v>569</v>
      </c>
      <c r="K90" s="5" t="s">
        <v>570</v>
      </c>
      <c r="L90" s="5">
        <v>2022</v>
      </c>
      <c r="M90" s="5"/>
      <c r="N90" s="5" t="s">
        <v>95</v>
      </c>
      <c r="O90" s="5" t="s">
        <v>47</v>
      </c>
      <c r="P90" s="5" t="s">
        <v>48</v>
      </c>
      <c r="Q90" s="5" t="s">
        <v>49</v>
      </c>
      <c r="R90" s="9" t="s">
        <v>571</v>
      </c>
    </row>
    <row r="91" spans="1:18">
      <c r="A91" s="5" t="s">
        <v>572</v>
      </c>
      <c r="B91" s="5" t="s">
        <v>573</v>
      </c>
      <c r="C91" s="5" t="s">
        <v>574</v>
      </c>
      <c r="D91" s="8">
        <v>180</v>
      </c>
      <c r="E91" s="8" t="s">
        <v>77</v>
      </c>
      <c r="F91" s="8">
        <v>12</v>
      </c>
      <c r="G91" s="8">
        <f>D91*F91</f>
        <v>2160</v>
      </c>
      <c r="H91" s="8">
        <v>10800</v>
      </c>
      <c r="I91" s="8"/>
      <c r="J91" s="8" t="s">
        <v>575</v>
      </c>
      <c r="K91" s="5" t="s">
        <v>576</v>
      </c>
      <c r="L91" s="8">
        <v>2019</v>
      </c>
      <c r="M91" s="8"/>
      <c r="N91" s="5" t="s">
        <v>178</v>
      </c>
      <c r="O91" s="5" t="s">
        <v>47</v>
      </c>
      <c r="P91" s="5"/>
      <c r="Q91" s="5" t="s">
        <v>49</v>
      </c>
      <c r="R91" s="9" t="s">
        <v>577</v>
      </c>
    </row>
    <row r="92" spans="1:18">
      <c r="A92" s="5" t="s">
        <v>578</v>
      </c>
      <c r="B92" s="5" t="s">
        <v>579</v>
      </c>
      <c r="C92" s="5" t="s">
        <v>580</v>
      </c>
      <c r="D92" s="5">
        <v>4.2</v>
      </c>
      <c r="E92" s="5" t="s">
        <v>42</v>
      </c>
      <c r="F92" s="5">
        <v>30</v>
      </c>
      <c r="G92" s="5">
        <f>+D92*F92</f>
        <v>126</v>
      </c>
      <c r="H92" s="5"/>
      <c r="I92" s="5" t="s">
        <v>581</v>
      </c>
      <c r="J92" s="5" t="s">
        <v>582</v>
      </c>
      <c r="K92" s="5" t="s">
        <v>583</v>
      </c>
      <c r="L92" s="5">
        <v>2022</v>
      </c>
      <c r="M92" s="5"/>
      <c r="N92" s="5" t="s">
        <v>46</v>
      </c>
      <c r="O92" s="5" t="s">
        <v>72</v>
      </c>
      <c r="P92" s="5" t="s">
        <v>48</v>
      </c>
      <c r="Q92" s="5" t="s">
        <v>49</v>
      </c>
      <c r="R92" s="9" t="s">
        <v>584</v>
      </c>
    </row>
    <row r="93" spans="1:18">
      <c r="A93" s="5" t="s">
        <v>585</v>
      </c>
      <c r="B93" s="4" t="s">
        <v>586</v>
      </c>
      <c r="C93" s="4" t="s">
        <v>587</v>
      </c>
      <c r="D93" s="8">
        <v>10</v>
      </c>
      <c r="E93" s="8" t="s">
        <v>121</v>
      </c>
      <c r="F93" s="8">
        <v>10</v>
      </c>
      <c r="G93" s="8">
        <f>D93*F93</f>
        <v>100</v>
      </c>
      <c r="H93" s="8">
        <v>6900</v>
      </c>
      <c r="I93" s="8" t="s">
        <v>168</v>
      </c>
      <c r="J93" s="8" t="s">
        <v>88</v>
      </c>
      <c r="K93" s="5" t="s">
        <v>89</v>
      </c>
      <c r="L93" s="8">
        <v>2019</v>
      </c>
      <c r="M93" s="8"/>
      <c r="N93" s="5" t="s">
        <v>95</v>
      </c>
      <c r="O93" s="5" t="s">
        <v>47</v>
      </c>
      <c r="P93" s="5" t="s">
        <v>48</v>
      </c>
      <c r="Q93" s="5" t="s">
        <v>218</v>
      </c>
      <c r="R93" s="9" t="s">
        <v>588</v>
      </c>
    </row>
    <row r="94" spans="1:18" s="5" customFormat="1">
      <c r="A94" s="5" t="s">
        <v>589</v>
      </c>
      <c r="B94" s="4" t="s">
        <v>590</v>
      </c>
      <c r="C94" s="4" t="s">
        <v>591</v>
      </c>
      <c r="D94" s="8">
        <v>60</v>
      </c>
      <c r="E94" s="8" t="s">
        <v>132</v>
      </c>
      <c r="F94" s="8">
        <v>10</v>
      </c>
      <c r="G94" s="8">
        <f>D94*F94</f>
        <v>600</v>
      </c>
      <c r="H94" s="8">
        <v>55000</v>
      </c>
      <c r="I94" s="8" t="s">
        <v>592</v>
      </c>
      <c r="J94" s="8" t="s">
        <v>593</v>
      </c>
      <c r="K94" s="5" t="s">
        <v>594</v>
      </c>
      <c r="L94" s="8" t="s">
        <v>595</v>
      </c>
      <c r="M94" s="8"/>
      <c r="N94" s="5" t="s">
        <v>136</v>
      </c>
      <c r="O94" s="5" t="s">
        <v>338</v>
      </c>
      <c r="P94" s="5" t="s">
        <v>48</v>
      </c>
      <c r="Q94" s="5" t="s">
        <v>138</v>
      </c>
      <c r="R94" s="9" t="s">
        <v>596</v>
      </c>
    </row>
    <row r="95" spans="1:18" s="5" customFormat="1">
      <c r="A95" s="5" t="s">
        <v>589</v>
      </c>
      <c r="B95" s="5" t="s">
        <v>597</v>
      </c>
      <c r="C95" s="5" t="s">
        <v>598</v>
      </c>
      <c r="D95" s="8">
        <v>10</v>
      </c>
      <c r="E95" s="8" t="s">
        <v>42</v>
      </c>
      <c r="F95" s="8">
        <v>30</v>
      </c>
      <c r="G95" s="8">
        <f>D95*F95</f>
        <v>300</v>
      </c>
      <c r="H95" s="8">
        <v>59800</v>
      </c>
      <c r="I95" s="8" t="s">
        <v>397</v>
      </c>
      <c r="J95" s="8" t="s">
        <v>599</v>
      </c>
      <c r="K95" s="5" t="s">
        <v>600</v>
      </c>
      <c r="L95" s="8">
        <v>2017</v>
      </c>
      <c r="M95" s="8"/>
      <c r="N95" s="5" t="s">
        <v>400</v>
      </c>
      <c r="O95" s="5" t="s">
        <v>149</v>
      </c>
      <c r="P95" s="5" t="s">
        <v>48</v>
      </c>
      <c r="Q95" s="5" t="s">
        <v>138</v>
      </c>
      <c r="R95" s="9" t="s">
        <v>601</v>
      </c>
    </row>
    <row r="96" spans="1:18" s="5" customFormat="1">
      <c r="A96" s="5" t="s">
        <v>589</v>
      </c>
      <c r="B96" s="4" t="s">
        <v>602</v>
      </c>
      <c r="C96" s="4" t="s">
        <v>603</v>
      </c>
      <c r="D96" s="8">
        <v>10</v>
      </c>
      <c r="E96" s="8" t="s">
        <v>42</v>
      </c>
      <c r="F96" s="8">
        <v>30</v>
      </c>
      <c r="G96" s="8">
        <f>D96*F96</f>
        <v>300</v>
      </c>
      <c r="H96" s="8">
        <v>65000</v>
      </c>
      <c r="I96" s="8" t="s">
        <v>168</v>
      </c>
      <c r="J96" s="8" t="s">
        <v>604</v>
      </c>
      <c r="K96" s="5" t="s">
        <v>605</v>
      </c>
      <c r="L96" s="8">
        <v>2022</v>
      </c>
      <c r="M96" s="8"/>
      <c r="N96" s="5" t="s">
        <v>95</v>
      </c>
      <c r="O96" s="5" t="s">
        <v>338</v>
      </c>
      <c r="P96" s="5" t="s">
        <v>48</v>
      </c>
      <c r="Q96" s="5" t="s">
        <v>49</v>
      </c>
      <c r="R96" s="9" t="s">
        <v>606</v>
      </c>
    </row>
    <row r="97" spans="1:18" s="5" customFormat="1">
      <c r="A97" s="5" t="s">
        <v>607</v>
      </c>
      <c r="B97" s="6" t="s">
        <v>608</v>
      </c>
      <c r="C97" s="6" t="s">
        <v>609</v>
      </c>
      <c r="D97" s="6">
        <v>10</v>
      </c>
      <c r="E97" s="6" t="s">
        <v>42</v>
      </c>
      <c r="F97" s="6">
        <v>30</v>
      </c>
      <c r="G97" s="6">
        <f t="shared" ref="G97:G104" si="5">+D97*F97</f>
        <v>300</v>
      </c>
      <c r="H97" s="10">
        <v>105000</v>
      </c>
      <c r="I97" s="6" t="s">
        <v>610</v>
      </c>
      <c r="J97" s="6" t="s">
        <v>88</v>
      </c>
      <c r="K97" s="6" t="s">
        <v>89</v>
      </c>
      <c r="L97" s="6">
        <v>2021</v>
      </c>
      <c r="M97" s="6"/>
      <c r="N97" s="6" t="s">
        <v>81</v>
      </c>
      <c r="O97" s="6" t="s">
        <v>47</v>
      </c>
      <c r="P97" s="6" t="s">
        <v>48</v>
      </c>
      <c r="Q97" s="6" t="s">
        <v>49</v>
      </c>
      <c r="R97" s="14" t="s">
        <v>611</v>
      </c>
    </row>
    <row r="98" spans="1:18" s="5" customFormat="1">
      <c r="A98" s="5" t="s">
        <v>612</v>
      </c>
      <c r="B98" s="5" t="s">
        <v>613</v>
      </c>
      <c r="C98" s="5" t="s">
        <v>614</v>
      </c>
      <c r="D98" s="5">
        <v>70</v>
      </c>
      <c r="E98" s="5" t="s">
        <v>77</v>
      </c>
      <c r="F98" s="5">
        <v>30</v>
      </c>
      <c r="G98" s="5">
        <f t="shared" si="5"/>
        <v>2100</v>
      </c>
      <c r="H98" s="13">
        <v>38000</v>
      </c>
      <c r="I98" s="5" t="s">
        <v>321</v>
      </c>
      <c r="J98" s="5" t="s">
        <v>615</v>
      </c>
      <c r="K98" s="5" t="s">
        <v>616</v>
      </c>
      <c r="L98" s="5">
        <v>2022</v>
      </c>
      <c r="N98" s="6" t="s">
        <v>81</v>
      </c>
      <c r="O98" s="5" t="s">
        <v>47</v>
      </c>
      <c r="P98" s="5" t="s">
        <v>48</v>
      </c>
      <c r="Q98" s="5" t="s">
        <v>49</v>
      </c>
      <c r="R98" s="9" t="s">
        <v>617</v>
      </c>
    </row>
    <row r="99" spans="1:18">
      <c r="A99" s="5" t="s">
        <v>618</v>
      </c>
      <c r="B99" s="5" t="s">
        <v>619</v>
      </c>
      <c r="C99" s="5" t="s">
        <v>620</v>
      </c>
      <c r="D99" s="5">
        <v>10</v>
      </c>
      <c r="E99" s="5" t="s">
        <v>42</v>
      </c>
      <c r="F99" s="5">
        <v>15</v>
      </c>
      <c r="G99" s="5">
        <f t="shared" si="5"/>
        <v>150</v>
      </c>
      <c r="H99" s="5">
        <v>35800</v>
      </c>
      <c r="I99" s="5" t="s">
        <v>168</v>
      </c>
      <c r="J99" s="5" t="s">
        <v>621</v>
      </c>
      <c r="K99" s="5" t="s">
        <v>622</v>
      </c>
      <c r="L99" s="5">
        <v>2022</v>
      </c>
      <c r="M99" s="5"/>
      <c r="N99" s="5" t="s">
        <v>95</v>
      </c>
      <c r="O99" s="5" t="s">
        <v>47</v>
      </c>
      <c r="P99" s="5" t="s">
        <v>623</v>
      </c>
      <c r="Q99" s="5" t="s">
        <v>83</v>
      </c>
      <c r="R99" s="9" t="s">
        <v>624</v>
      </c>
    </row>
    <row r="100" spans="1:18">
      <c r="A100" s="5" t="s">
        <v>625</v>
      </c>
      <c r="B100" s="5" t="s">
        <v>626</v>
      </c>
      <c r="C100" s="5" t="s">
        <v>627</v>
      </c>
      <c r="D100" s="5">
        <v>4</v>
      </c>
      <c r="E100" s="5" t="s">
        <v>42</v>
      </c>
      <c r="F100" s="5">
        <v>30</v>
      </c>
      <c r="G100" s="5">
        <f t="shared" si="5"/>
        <v>120</v>
      </c>
      <c r="H100" s="5">
        <v>250000</v>
      </c>
      <c r="I100" s="5" t="s">
        <v>628</v>
      </c>
      <c r="J100" s="5" t="s">
        <v>88</v>
      </c>
      <c r="K100" s="5" t="s">
        <v>89</v>
      </c>
      <c r="L100" s="5">
        <v>2022</v>
      </c>
      <c r="M100" s="5"/>
      <c r="N100" s="5" t="s">
        <v>46</v>
      </c>
      <c r="O100" s="5" t="s">
        <v>47</v>
      </c>
      <c r="P100" s="5" t="s">
        <v>48</v>
      </c>
      <c r="Q100" s="5" t="s">
        <v>49</v>
      </c>
      <c r="R100" s="9" t="s">
        <v>629</v>
      </c>
    </row>
    <row r="101" spans="1:18">
      <c r="A101" s="5" t="s">
        <v>630</v>
      </c>
      <c r="B101" s="5" t="s">
        <v>631</v>
      </c>
      <c r="C101" s="5" t="s">
        <v>632</v>
      </c>
      <c r="D101" s="5">
        <v>60</v>
      </c>
      <c r="E101" s="5" t="s">
        <v>77</v>
      </c>
      <c r="F101" s="5">
        <v>30</v>
      </c>
      <c r="G101" s="8">
        <f t="shared" si="5"/>
        <v>1800</v>
      </c>
      <c r="H101" s="5">
        <v>34900</v>
      </c>
      <c r="I101" s="5" t="s">
        <v>633</v>
      </c>
      <c r="J101" s="5" t="s">
        <v>634</v>
      </c>
      <c r="K101" s="5" t="s">
        <v>635</v>
      </c>
      <c r="L101" s="5">
        <v>2021</v>
      </c>
      <c r="M101" s="5"/>
      <c r="N101" s="5" t="s">
        <v>81</v>
      </c>
      <c r="O101" s="5" t="s">
        <v>72</v>
      </c>
      <c r="P101" s="5" t="s">
        <v>48</v>
      </c>
      <c r="Q101" s="5" t="s">
        <v>49</v>
      </c>
      <c r="R101" s="9" t="s">
        <v>636</v>
      </c>
    </row>
    <row r="102" spans="1:18" s="5" customFormat="1">
      <c r="A102" s="5" t="s">
        <v>637</v>
      </c>
      <c r="B102" s="5" t="s">
        <v>638</v>
      </c>
      <c r="C102" s="5" t="s">
        <v>639</v>
      </c>
      <c r="D102" s="5">
        <v>70</v>
      </c>
      <c r="E102" s="5" t="s">
        <v>77</v>
      </c>
      <c r="F102" s="5">
        <v>30</v>
      </c>
      <c r="G102" s="13">
        <f t="shared" si="5"/>
        <v>2100</v>
      </c>
      <c r="H102" s="13">
        <v>279000</v>
      </c>
      <c r="I102" s="5" t="s">
        <v>640</v>
      </c>
      <c r="J102" s="5" t="s">
        <v>641</v>
      </c>
      <c r="K102" s="5" t="s">
        <v>642</v>
      </c>
      <c r="L102" s="5">
        <v>2021</v>
      </c>
      <c r="N102" s="5" t="s">
        <v>81</v>
      </c>
      <c r="O102" s="5" t="s">
        <v>72</v>
      </c>
      <c r="P102" s="5" t="s">
        <v>48</v>
      </c>
      <c r="Q102" s="5" t="s">
        <v>49</v>
      </c>
      <c r="R102" s="9" t="s">
        <v>643</v>
      </c>
    </row>
    <row r="103" spans="1:18" s="5" customFormat="1">
      <c r="A103" s="5" t="s">
        <v>637</v>
      </c>
      <c r="B103" s="5" t="s">
        <v>644</v>
      </c>
      <c r="C103" s="5" t="s">
        <v>645</v>
      </c>
      <c r="D103" s="5">
        <v>70</v>
      </c>
      <c r="E103" s="5" t="s">
        <v>77</v>
      </c>
      <c r="F103" s="5">
        <v>30</v>
      </c>
      <c r="G103" s="13">
        <f t="shared" si="5"/>
        <v>2100</v>
      </c>
      <c r="H103" s="13">
        <v>145000</v>
      </c>
      <c r="I103" s="5" t="s">
        <v>640</v>
      </c>
      <c r="L103" s="5">
        <v>2021</v>
      </c>
      <c r="N103" s="5" t="s">
        <v>81</v>
      </c>
      <c r="O103" s="5" t="s">
        <v>72</v>
      </c>
      <c r="P103" s="5" t="s">
        <v>48</v>
      </c>
      <c r="Q103" s="5" t="s">
        <v>83</v>
      </c>
      <c r="R103" s="9"/>
    </row>
    <row r="104" spans="1:18">
      <c r="A104" s="5" t="s">
        <v>637</v>
      </c>
      <c r="B104" s="5" t="s">
        <v>646</v>
      </c>
      <c r="C104" s="5" t="s">
        <v>647</v>
      </c>
      <c r="D104" s="5">
        <v>10</v>
      </c>
      <c r="E104" s="5" t="s">
        <v>42</v>
      </c>
      <c r="F104" s="5">
        <v>30</v>
      </c>
      <c r="G104" s="13">
        <f t="shared" si="5"/>
        <v>300</v>
      </c>
      <c r="H104" s="13">
        <v>153000</v>
      </c>
      <c r="I104" s="5" t="s">
        <v>168</v>
      </c>
      <c r="J104" s="5"/>
      <c r="K104" s="5"/>
      <c r="L104" s="5">
        <v>2021</v>
      </c>
      <c r="M104" s="5"/>
      <c r="N104" s="5" t="s">
        <v>95</v>
      </c>
      <c r="O104" s="5" t="s">
        <v>72</v>
      </c>
      <c r="P104" s="5" t="s">
        <v>48</v>
      </c>
      <c r="Q104" s="5" t="s">
        <v>49</v>
      </c>
      <c r="R104" s="9"/>
    </row>
    <row r="105" spans="1:18">
      <c r="A105" s="5" t="s">
        <v>648</v>
      </c>
      <c r="B105" s="5" t="s">
        <v>649</v>
      </c>
      <c r="C105" s="5" t="s">
        <v>650</v>
      </c>
      <c r="D105" s="8">
        <v>240</v>
      </c>
      <c r="E105" s="8" t="s">
        <v>42</v>
      </c>
      <c r="F105" s="8">
        <v>1</v>
      </c>
      <c r="G105" s="8">
        <f>D105*F105</f>
        <v>240</v>
      </c>
      <c r="H105" s="8">
        <v>89700</v>
      </c>
      <c r="I105" s="8" t="s">
        <v>651</v>
      </c>
      <c r="J105" s="8" t="s">
        <v>652</v>
      </c>
      <c r="K105" s="5" t="s">
        <v>653</v>
      </c>
      <c r="L105" s="8">
        <v>2018</v>
      </c>
      <c r="M105" s="8"/>
      <c r="N105" s="5" t="s">
        <v>419</v>
      </c>
      <c r="O105" s="5" t="s">
        <v>149</v>
      </c>
      <c r="P105" s="5" t="s">
        <v>48</v>
      </c>
      <c r="Q105" s="5" t="s">
        <v>138</v>
      </c>
      <c r="R105" s="9" t="s">
        <v>654</v>
      </c>
    </row>
    <row r="106" spans="1:18">
      <c r="A106" s="5" t="s">
        <v>655</v>
      </c>
      <c r="B106" s="5" t="s">
        <v>656</v>
      </c>
      <c r="C106" s="5" t="s">
        <v>657</v>
      </c>
      <c r="D106" s="5">
        <v>3.75</v>
      </c>
      <c r="E106" s="5" t="s">
        <v>42</v>
      </c>
      <c r="F106" s="5">
        <v>60</v>
      </c>
      <c r="G106" s="5">
        <f>+D106*F106</f>
        <v>225</v>
      </c>
      <c r="H106" s="5">
        <v>97900</v>
      </c>
      <c r="I106" s="5" t="s">
        <v>43</v>
      </c>
      <c r="J106" s="5" t="s">
        <v>63</v>
      </c>
      <c r="K106" s="5" t="s">
        <v>64</v>
      </c>
      <c r="L106" s="5">
        <v>2022</v>
      </c>
      <c r="M106" s="5"/>
      <c r="N106" s="5" t="s">
        <v>46</v>
      </c>
      <c r="O106" s="5" t="s">
        <v>47</v>
      </c>
      <c r="P106" s="5" t="s">
        <v>48</v>
      </c>
      <c r="Q106" s="5" t="s">
        <v>49</v>
      </c>
      <c r="R106" s="9" t="s">
        <v>658</v>
      </c>
    </row>
    <row r="107" spans="1:18">
      <c r="A107" s="5" t="s">
        <v>659</v>
      </c>
      <c r="B107" s="5" t="s">
        <v>660</v>
      </c>
      <c r="C107" s="5" t="s">
        <v>661</v>
      </c>
      <c r="D107" s="5">
        <v>50</v>
      </c>
      <c r="E107" s="5" t="s">
        <v>77</v>
      </c>
      <c r="F107" s="5">
        <v>30</v>
      </c>
      <c r="G107" s="13">
        <f>+D107*F107</f>
        <v>1500</v>
      </c>
      <c r="H107" s="5">
        <v>105900</v>
      </c>
      <c r="I107" s="5" t="s">
        <v>78</v>
      </c>
      <c r="J107" s="5" t="s">
        <v>662</v>
      </c>
      <c r="K107" s="5" t="s">
        <v>663</v>
      </c>
      <c r="L107" s="5">
        <v>2022</v>
      </c>
      <c r="M107" s="5"/>
      <c r="N107" s="5" t="s">
        <v>81</v>
      </c>
      <c r="O107" s="5" t="s">
        <v>82</v>
      </c>
      <c r="P107" s="5" t="s">
        <v>48</v>
      </c>
      <c r="Q107" s="5" t="s">
        <v>49</v>
      </c>
      <c r="R107" s="9" t="s">
        <v>664</v>
      </c>
    </row>
    <row r="108" spans="1:18">
      <c r="A108" s="5" t="s">
        <v>665</v>
      </c>
      <c r="B108" s="5" t="s">
        <v>666</v>
      </c>
      <c r="C108" s="5" t="s">
        <v>667</v>
      </c>
      <c r="D108" s="5">
        <v>10</v>
      </c>
      <c r="E108" s="5" t="s">
        <v>42</v>
      </c>
      <c r="F108" s="5">
        <v>30</v>
      </c>
      <c r="G108" s="5">
        <f>+D108*F108</f>
        <v>300</v>
      </c>
      <c r="H108" s="5">
        <v>175000</v>
      </c>
      <c r="I108" s="5" t="s">
        <v>168</v>
      </c>
      <c r="J108" s="5" t="s">
        <v>668</v>
      </c>
      <c r="K108" s="5" t="s">
        <v>669</v>
      </c>
      <c r="L108" s="5">
        <v>2020</v>
      </c>
      <c r="M108" s="5"/>
      <c r="N108" s="5" t="s">
        <v>81</v>
      </c>
      <c r="O108" s="5" t="s">
        <v>72</v>
      </c>
      <c r="P108" s="5" t="s">
        <v>48</v>
      </c>
      <c r="Q108" s="5" t="s">
        <v>49</v>
      </c>
      <c r="R108" s="5" t="s">
        <v>670</v>
      </c>
    </row>
    <row r="109" spans="1:18">
      <c r="A109" s="5" t="s">
        <v>671</v>
      </c>
      <c r="B109" s="5" t="s">
        <v>672</v>
      </c>
      <c r="C109" s="5" t="s">
        <v>673</v>
      </c>
      <c r="D109" s="5">
        <v>20</v>
      </c>
      <c r="E109" s="5" t="s">
        <v>42</v>
      </c>
      <c r="F109" s="5">
        <v>30</v>
      </c>
      <c r="G109" s="5">
        <f>+D109*F109</f>
        <v>600</v>
      </c>
      <c r="H109" s="5">
        <v>145000</v>
      </c>
      <c r="I109" s="5" t="s">
        <v>315</v>
      </c>
      <c r="J109" s="5" t="s">
        <v>88</v>
      </c>
      <c r="K109" s="5" t="s">
        <v>89</v>
      </c>
      <c r="L109" s="5">
        <v>2021</v>
      </c>
      <c r="M109" s="5"/>
      <c r="N109" s="5" t="s">
        <v>95</v>
      </c>
      <c r="O109" s="5" t="s">
        <v>47</v>
      </c>
      <c r="P109" s="5" t="s">
        <v>48</v>
      </c>
      <c r="Q109" s="5" t="s">
        <v>49</v>
      </c>
      <c r="R109" s="9" t="s">
        <v>674</v>
      </c>
    </row>
    <row r="110" spans="1:18">
      <c r="A110" s="5" t="s">
        <v>675</v>
      </c>
      <c r="B110" s="5" t="s">
        <v>676</v>
      </c>
      <c r="C110" s="5" t="s">
        <v>677</v>
      </c>
      <c r="D110" s="8">
        <v>3.75</v>
      </c>
      <c r="E110" s="8" t="s">
        <v>42</v>
      </c>
      <c r="F110" s="8">
        <v>30</v>
      </c>
      <c r="G110" s="8">
        <f>D110*F110</f>
        <v>112.5</v>
      </c>
      <c r="H110" s="8">
        <v>198000</v>
      </c>
      <c r="I110" s="8" t="s">
        <v>43</v>
      </c>
      <c r="J110" s="8" t="s">
        <v>678</v>
      </c>
      <c r="K110" s="5" t="s">
        <v>679</v>
      </c>
      <c r="L110" s="8">
        <v>2019</v>
      </c>
      <c r="M110" s="8"/>
      <c r="N110" s="5" t="s">
        <v>46</v>
      </c>
      <c r="O110" s="5" t="s">
        <v>47</v>
      </c>
      <c r="P110" s="5" t="s">
        <v>48</v>
      </c>
      <c r="Q110" s="5" t="s">
        <v>49</v>
      </c>
      <c r="R110" s="9" t="s">
        <v>680</v>
      </c>
    </row>
    <row r="111" spans="1:18">
      <c r="A111" s="5" t="s">
        <v>681</v>
      </c>
      <c r="B111" s="5" t="s">
        <v>682</v>
      </c>
      <c r="C111" s="5" t="s">
        <v>683</v>
      </c>
      <c r="D111" s="5">
        <v>20</v>
      </c>
      <c r="E111" s="5" t="s">
        <v>77</v>
      </c>
      <c r="F111" s="5">
        <v>30</v>
      </c>
      <c r="G111" s="5">
        <f>+D111*F111</f>
        <v>600</v>
      </c>
      <c r="H111" s="5">
        <v>149000</v>
      </c>
      <c r="I111" s="5" t="s">
        <v>315</v>
      </c>
      <c r="J111" s="5" t="s">
        <v>684</v>
      </c>
      <c r="K111" s="5" t="s">
        <v>685</v>
      </c>
      <c r="L111" s="5">
        <v>2020</v>
      </c>
      <c r="M111" s="5"/>
      <c r="N111" s="5" t="s">
        <v>95</v>
      </c>
      <c r="O111" s="5" t="s">
        <v>47</v>
      </c>
      <c r="P111" s="5" t="s">
        <v>48</v>
      </c>
      <c r="Q111" s="5" t="s">
        <v>49</v>
      </c>
      <c r="R111" s="5" t="s">
        <v>686</v>
      </c>
    </row>
    <row r="112" spans="1:18" ht="14.45">
      <c r="A112" s="5" t="s">
        <v>687</v>
      </c>
      <c r="B112" s="5" t="s">
        <v>688</v>
      </c>
      <c r="C112" s="5" t="s">
        <v>689</v>
      </c>
      <c r="D112" s="5">
        <v>4</v>
      </c>
      <c r="E112" s="5" t="s">
        <v>42</v>
      </c>
      <c r="F112" s="5">
        <v>30</v>
      </c>
      <c r="G112" s="5">
        <f>+D112*F112</f>
        <v>120</v>
      </c>
      <c r="H112" s="5">
        <v>169000</v>
      </c>
      <c r="I112" s="8" t="s">
        <v>407</v>
      </c>
      <c r="J112" s="5" t="s">
        <v>690</v>
      </c>
      <c r="K112" s="5" t="s">
        <v>691</v>
      </c>
      <c r="L112" s="5">
        <v>2023</v>
      </c>
      <c r="M112" s="5" t="s">
        <v>3</v>
      </c>
      <c r="N112" s="5" t="s">
        <v>46</v>
      </c>
      <c r="O112" s="5" t="s">
        <v>692</v>
      </c>
      <c r="P112" s="5" t="s">
        <v>48</v>
      </c>
      <c r="Q112" s="5" t="s">
        <v>49</v>
      </c>
      <c r="R112" s="19" t="s">
        <v>693</v>
      </c>
    </row>
    <row r="113" spans="1:18" ht="14.45">
      <c r="A113" s="5" t="s">
        <v>694</v>
      </c>
      <c r="B113" s="5" t="s">
        <v>695</v>
      </c>
      <c r="C113" s="5" t="s">
        <v>696</v>
      </c>
      <c r="D113" s="5">
        <v>3.75</v>
      </c>
      <c r="E113" s="5" t="s">
        <v>42</v>
      </c>
      <c r="F113" s="5">
        <v>60</v>
      </c>
      <c r="G113" s="5">
        <f>+D113*F113</f>
        <v>225</v>
      </c>
      <c r="H113" s="5">
        <v>398000</v>
      </c>
      <c r="I113" s="8" t="s">
        <v>94</v>
      </c>
      <c r="J113" s="7" t="s">
        <v>697</v>
      </c>
      <c r="K113" s="5" t="s">
        <v>452</v>
      </c>
      <c r="L113" s="5">
        <v>2024</v>
      </c>
      <c r="M113" s="5" t="s">
        <v>10</v>
      </c>
      <c r="N113" s="5" t="s">
        <v>46</v>
      </c>
      <c r="O113" s="5" t="s">
        <v>47</v>
      </c>
      <c r="P113" s="5" t="s">
        <v>48</v>
      </c>
      <c r="Q113" s="5" t="s">
        <v>49</v>
      </c>
      <c r="R113" s="19" t="s">
        <v>698</v>
      </c>
    </row>
    <row r="114" spans="1:18">
      <c r="A114" s="5" t="s">
        <v>11</v>
      </c>
      <c r="B114" s="5" t="s">
        <v>699</v>
      </c>
      <c r="C114" s="5" t="s">
        <v>700</v>
      </c>
      <c r="D114" s="7">
        <v>180</v>
      </c>
      <c r="E114" s="7" t="s">
        <v>121</v>
      </c>
      <c r="F114" s="7">
        <v>2</v>
      </c>
      <c r="G114" s="7">
        <f t="shared" ref="G114:G133" si="6">D114*F114</f>
        <v>360</v>
      </c>
      <c r="H114" s="7">
        <v>450000</v>
      </c>
      <c r="I114" s="8" t="s">
        <v>701</v>
      </c>
      <c r="J114" s="8" t="s">
        <v>702</v>
      </c>
      <c r="K114" s="8" t="s">
        <v>703</v>
      </c>
      <c r="L114" s="8">
        <v>2014</v>
      </c>
      <c r="M114" s="8"/>
      <c r="N114" s="5" t="s">
        <v>704</v>
      </c>
      <c r="O114" s="4" t="s">
        <v>47</v>
      </c>
      <c r="P114" s="5" t="s">
        <v>705</v>
      </c>
      <c r="Q114" s="4" t="s">
        <v>138</v>
      </c>
      <c r="R114" s="9" t="s">
        <v>706</v>
      </c>
    </row>
    <row r="115" spans="1:18" s="5" customFormat="1">
      <c r="A115" s="5" t="s">
        <v>11</v>
      </c>
      <c r="B115" s="5" t="s">
        <v>707</v>
      </c>
      <c r="C115" s="5" t="s">
        <v>708</v>
      </c>
      <c r="D115" s="7">
        <v>4</v>
      </c>
      <c r="E115" s="7" t="s">
        <v>42</v>
      </c>
      <c r="F115" s="7">
        <v>20</v>
      </c>
      <c r="G115" s="7">
        <f t="shared" si="6"/>
        <v>80</v>
      </c>
      <c r="H115" s="7">
        <v>1000000</v>
      </c>
      <c r="I115" s="8" t="s">
        <v>268</v>
      </c>
      <c r="J115" s="8" t="s">
        <v>709</v>
      </c>
      <c r="K115" s="5" t="s">
        <v>710</v>
      </c>
      <c r="L115" s="8">
        <v>2016</v>
      </c>
      <c r="M115" s="8"/>
      <c r="N115" s="5" t="s">
        <v>46</v>
      </c>
      <c r="O115" s="5" t="s">
        <v>149</v>
      </c>
      <c r="P115" s="5" t="s">
        <v>711</v>
      </c>
      <c r="Q115" s="5" t="s">
        <v>138</v>
      </c>
      <c r="R115" s="9" t="s">
        <v>712</v>
      </c>
    </row>
    <row r="116" spans="1:18">
      <c r="A116" s="5" t="s">
        <v>11</v>
      </c>
      <c r="B116" s="5" t="s">
        <v>707</v>
      </c>
      <c r="C116" s="5" t="s">
        <v>708</v>
      </c>
      <c r="D116" s="7">
        <v>4</v>
      </c>
      <c r="E116" s="7" t="s">
        <v>42</v>
      </c>
      <c r="F116" s="7">
        <v>3</v>
      </c>
      <c r="G116" s="7">
        <f t="shared" si="6"/>
        <v>12</v>
      </c>
      <c r="H116" s="7">
        <v>150000</v>
      </c>
      <c r="I116" s="8" t="s">
        <v>268</v>
      </c>
      <c r="J116" s="8" t="s">
        <v>709</v>
      </c>
      <c r="K116" s="5" t="s">
        <v>710</v>
      </c>
      <c r="L116" s="8">
        <v>2016</v>
      </c>
      <c r="M116" s="8"/>
      <c r="N116" s="5" t="s">
        <v>46</v>
      </c>
      <c r="O116" s="5" t="s">
        <v>149</v>
      </c>
      <c r="P116" s="5" t="s">
        <v>711</v>
      </c>
      <c r="Q116" s="5" t="s">
        <v>138</v>
      </c>
      <c r="R116" s="9" t="s">
        <v>712</v>
      </c>
    </row>
    <row r="117" spans="1:18">
      <c r="A117" s="5" t="s">
        <v>11</v>
      </c>
      <c r="B117" s="5" t="s">
        <v>707</v>
      </c>
      <c r="C117" s="5" t="s">
        <v>708</v>
      </c>
      <c r="D117" s="7">
        <v>4</v>
      </c>
      <c r="E117" s="7" t="s">
        <v>42</v>
      </c>
      <c r="F117" s="7">
        <v>30</v>
      </c>
      <c r="G117" s="7">
        <f t="shared" si="6"/>
        <v>120</v>
      </c>
      <c r="H117" s="7">
        <v>600000</v>
      </c>
      <c r="I117" s="8" t="s">
        <v>268</v>
      </c>
      <c r="J117" s="8" t="s">
        <v>709</v>
      </c>
      <c r="K117" s="5" t="s">
        <v>710</v>
      </c>
      <c r="L117" s="8">
        <v>2016</v>
      </c>
      <c r="M117" s="8"/>
      <c r="N117" s="5" t="s">
        <v>46</v>
      </c>
      <c r="O117" s="5" t="s">
        <v>149</v>
      </c>
      <c r="P117" s="5" t="s">
        <v>711</v>
      </c>
      <c r="Q117" s="5" t="s">
        <v>138</v>
      </c>
      <c r="R117" s="9" t="s">
        <v>712</v>
      </c>
    </row>
    <row r="118" spans="1:18">
      <c r="A118" s="5" t="s">
        <v>11</v>
      </c>
      <c r="B118" s="5" t="s">
        <v>707</v>
      </c>
      <c r="C118" s="5" t="s">
        <v>708</v>
      </c>
      <c r="D118" s="7">
        <v>4</v>
      </c>
      <c r="E118" s="7" t="s">
        <v>42</v>
      </c>
      <c r="F118" s="7">
        <v>12</v>
      </c>
      <c r="G118" s="7">
        <f t="shared" si="6"/>
        <v>48</v>
      </c>
      <c r="H118" s="7">
        <v>240000</v>
      </c>
      <c r="I118" s="8" t="s">
        <v>268</v>
      </c>
      <c r="J118" s="8" t="s">
        <v>709</v>
      </c>
      <c r="K118" s="5" t="s">
        <v>710</v>
      </c>
      <c r="L118" s="8">
        <v>2016</v>
      </c>
      <c r="M118" s="8"/>
      <c r="N118" s="5" t="s">
        <v>46</v>
      </c>
      <c r="O118" s="5" t="s">
        <v>149</v>
      </c>
      <c r="P118" s="5" t="s">
        <v>711</v>
      </c>
      <c r="Q118" s="5" t="s">
        <v>138</v>
      </c>
      <c r="R118" s="9" t="s">
        <v>712</v>
      </c>
    </row>
    <row r="119" spans="1:18" s="5" customFormat="1">
      <c r="A119" s="5" t="s">
        <v>11</v>
      </c>
      <c r="B119" s="5" t="s">
        <v>707</v>
      </c>
      <c r="C119" s="5" t="s">
        <v>708</v>
      </c>
      <c r="D119" s="7">
        <v>4</v>
      </c>
      <c r="E119" s="7" t="s">
        <v>42</v>
      </c>
      <c r="F119" s="7">
        <v>3</v>
      </c>
      <c r="G119" s="7">
        <f t="shared" si="6"/>
        <v>12</v>
      </c>
      <c r="H119" s="7">
        <v>60000</v>
      </c>
      <c r="I119" s="8" t="s">
        <v>268</v>
      </c>
      <c r="J119" s="8" t="s">
        <v>709</v>
      </c>
      <c r="K119" s="5" t="s">
        <v>710</v>
      </c>
      <c r="L119" s="8">
        <v>2016</v>
      </c>
      <c r="M119" s="8"/>
      <c r="N119" s="5" t="s">
        <v>46</v>
      </c>
      <c r="O119" s="5" t="s">
        <v>149</v>
      </c>
      <c r="P119" s="5" t="s">
        <v>711</v>
      </c>
      <c r="Q119" s="5" t="s">
        <v>138</v>
      </c>
      <c r="R119" s="9" t="s">
        <v>712</v>
      </c>
    </row>
    <row r="120" spans="1:18" s="5" customFormat="1" ht="14.45">
      <c r="A120" s="5" t="s">
        <v>11</v>
      </c>
      <c r="B120" s="5" t="s">
        <v>713</v>
      </c>
      <c r="C120" s="5" t="s">
        <v>714</v>
      </c>
      <c r="D120" s="7">
        <v>4</v>
      </c>
      <c r="E120" s="7" t="s">
        <v>42</v>
      </c>
      <c r="F120" s="7">
        <v>20</v>
      </c>
      <c r="G120" s="7">
        <f t="shared" si="6"/>
        <v>80</v>
      </c>
      <c r="H120" s="7">
        <v>1500000</v>
      </c>
      <c r="I120" s="8" t="s">
        <v>268</v>
      </c>
      <c r="J120" s="8" t="s">
        <v>715</v>
      </c>
      <c r="K120" s="5" t="s">
        <v>710</v>
      </c>
      <c r="L120" s="8">
        <v>2023</v>
      </c>
      <c r="M120" s="8" t="s">
        <v>10</v>
      </c>
      <c r="N120" s="5" t="s">
        <v>46</v>
      </c>
      <c r="O120" s="5" t="s">
        <v>149</v>
      </c>
      <c r="P120" s="5" t="s">
        <v>711</v>
      </c>
      <c r="Q120" s="5" t="s">
        <v>138</v>
      </c>
      <c r="R120" s="18" t="s">
        <v>716</v>
      </c>
    </row>
    <row r="121" spans="1:18" s="5" customFormat="1">
      <c r="A121" s="5" t="s">
        <v>11</v>
      </c>
      <c r="B121" s="5" t="s">
        <v>717</v>
      </c>
      <c r="C121" s="5" t="s">
        <v>718</v>
      </c>
      <c r="D121" s="7">
        <v>4</v>
      </c>
      <c r="E121" s="7" t="s">
        <v>42</v>
      </c>
      <c r="F121" s="7">
        <v>10</v>
      </c>
      <c r="G121" s="7">
        <f t="shared" si="6"/>
        <v>40</v>
      </c>
      <c r="H121" s="7">
        <v>300000</v>
      </c>
      <c r="I121" s="8" t="s">
        <v>407</v>
      </c>
      <c r="J121" s="8" t="s">
        <v>719</v>
      </c>
      <c r="K121" s="5" t="s">
        <v>720</v>
      </c>
      <c r="L121" s="8">
        <v>2018</v>
      </c>
      <c r="M121" s="8"/>
      <c r="N121" s="5" t="s">
        <v>46</v>
      </c>
      <c r="O121" s="4" t="s">
        <v>149</v>
      </c>
      <c r="P121" s="5" t="s">
        <v>711</v>
      </c>
      <c r="Q121" s="4" t="s">
        <v>138</v>
      </c>
      <c r="R121" s="9" t="s">
        <v>721</v>
      </c>
    </row>
    <row r="122" spans="1:18" s="5" customFormat="1">
      <c r="A122" s="5" t="s">
        <v>11</v>
      </c>
      <c r="B122" s="5" t="s">
        <v>717</v>
      </c>
      <c r="C122" s="5" t="s">
        <v>718</v>
      </c>
      <c r="D122" s="7">
        <v>4</v>
      </c>
      <c r="E122" s="7" t="s">
        <v>42</v>
      </c>
      <c r="F122" s="7">
        <v>3</v>
      </c>
      <c r="G122" s="7">
        <f t="shared" si="6"/>
        <v>12</v>
      </c>
      <c r="H122" s="7">
        <v>90000</v>
      </c>
      <c r="I122" s="8" t="s">
        <v>407</v>
      </c>
      <c r="J122" s="8" t="s">
        <v>722</v>
      </c>
      <c r="K122" s="5" t="s">
        <v>720</v>
      </c>
      <c r="L122" s="8">
        <v>2018</v>
      </c>
      <c r="M122" s="8"/>
      <c r="N122" s="5" t="s">
        <v>46</v>
      </c>
      <c r="O122" s="4" t="s">
        <v>149</v>
      </c>
      <c r="P122" s="5" t="s">
        <v>711</v>
      </c>
      <c r="Q122" s="4" t="s">
        <v>138</v>
      </c>
      <c r="R122" s="9" t="s">
        <v>721</v>
      </c>
    </row>
    <row r="123" spans="1:18">
      <c r="A123" s="5" t="s">
        <v>11</v>
      </c>
      <c r="B123" s="4" t="s">
        <v>723</v>
      </c>
      <c r="C123" s="4" t="s">
        <v>724</v>
      </c>
      <c r="D123" s="7">
        <v>50</v>
      </c>
      <c r="E123" s="7" t="s">
        <v>132</v>
      </c>
      <c r="F123" s="7">
        <v>7</v>
      </c>
      <c r="G123" s="7">
        <f t="shared" si="6"/>
        <v>350</v>
      </c>
      <c r="H123" s="7">
        <v>70000</v>
      </c>
      <c r="I123" s="7" t="s">
        <v>725</v>
      </c>
      <c r="J123" s="7" t="s">
        <v>697</v>
      </c>
      <c r="K123" s="6" t="s">
        <v>726</v>
      </c>
      <c r="L123" s="7">
        <v>2012</v>
      </c>
      <c r="M123" s="7"/>
      <c r="N123" s="4" t="s">
        <v>727</v>
      </c>
      <c r="O123" s="4" t="s">
        <v>149</v>
      </c>
      <c r="P123" s="5" t="s">
        <v>711</v>
      </c>
      <c r="Q123" s="4" t="s">
        <v>138</v>
      </c>
      <c r="R123" s="9" t="s">
        <v>728</v>
      </c>
    </row>
    <row r="124" spans="1:18" s="5" customFormat="1">
      <c r="A124" s="5" t="s">
        <v>11</v>
      </c>
      <c r="B124" s="4" t="s">
        <v>729</v>
      </c>
      <c r="C124" s="4" t="s">
        <v>730</v>
      </c>
      <c r="D124" s="8">
        <v>50</v>
      </c>
      <c r="E124" s="7" t="s">
        <v>132</v>
      </c>
      <c r="F124" s="8">
        <v>14</v>
      </c>
      <c r="G124" s="8">
        <f t="shared" si="6"/>
        <v>700</v>
      </c>
      <c r="H124" s="8">
        <v>95000</v>
      </c>
      <c r="I124" s="7" t="s">
        <v>148</v>
      </c>
      <c r="J124" s="7" t="s">
        <v>697</v>
      </c>
      <c r="K124" s="6" t="s">
        <v>726</v>
      </c>
      <c r="L124" s="8">
        <v>2015</v>
      </c>
      <c r="M124" s="8"/>
      <c r="N124" s="4" t="s">
        <v>727</v>
      </c>
      <c r="O124" s="4" t="s">
        <v>149</v>
      </c>
      <c r="P124" s="5" t="s">
        <v>711</v>
      </c>
      <c r="Q124" s="4" t="s">
        <v>311</v>
      </c>
      <c r="R124" s="9" t="s">
        <v>731</v>
      </c>
    </row>
    <row r="125" spans="1:18" s="5" customFormat="1" ht="14.45">
      <c r="A125" s="5" t="s">
        <v>11</v>
      </c>
      <c r="B125" s="4" t="s">
        <v>732</v>
      </c>
      <c r="C125" s="4" t="s">
        <v>733</v>
      </c>
      <c r="D125" s="8">
        <v>30</v>
      </c>
      <c r="E125" s="7" t="s">
        <v>132</v>
      </c>
      <c r="F125" s="8">
        <v>28</v>
      </c>
      <c r="G125" s="8">
        <f t="shared" si="6"/>
        <v>840</v>
      </c>
      <c r="H125" s="8">
        <v>174000</v>
      </c>
      <c r="I125" s="7" t="s">
        <v>241</v>
      </c>
      <c r="J125" s="8" t="s">
        <v>734</v>
      </c>
      <c r="K125" s="5" t="s">
        <v>505</v>
      </c>
      <c r="L125" s="8">
        <v>2024</v>
      </c>
      <c r="M125" s="8" t="s">
        <v>735</v>
      </c>
      <c r="N125" s="4" t="s">
        <v>727</v>
      </c>
      <c r="O125" s="4" t="s">
        <v>149</v>
      </c>
      <c r="P125" s="5" t="s">
        <v>711</v>
      </c>
      <c r="Q125" s="4" t="s">
        <v>311</v>
      </c>
      <c r="R125" s="18" t="s">
        <v>736</v>
      </c>
    </row>
    <row r="126" spans="1:18">
      <c r="A126" s="5" t="s">
        <v>11</v>
      </c>
      <c r="B126" s="4" t="s">
        <v>737</v>
      </c>
      <c r="C126" s="4" t="s">
        <v>738</v>
      </c>
      <c r="D126" s="8">
        <v>100</v>
      </c>
      <c r="E126" s="8" t="s">
        <v>132</v>
      </c>
      <c r="F126" s="8">
        <v>1</v>
      </c>
      <c r="G126" s="8">
        <f t="shared" si="6"/>
        <v>100</v>
      </c>
      <c r="H126" s="8">
        <v>1200</v>
      </c>
      <c r="I126" s="8" t="s">
        <v>739</v>
      </c>
      <c r="J126" s="8" t="s">
        <v>734</v>
      </c>
      <c r="K126" s="5" t="s">
        <v>505</v>
      </c>
      <c r="L126" s="8">
        <v>2011</v>
      </c>
      <c r="M126" s="8"/>
      <c r="N126" s="5" t="s">
        <v>136</v>
      </c>
      <c r="O126" s="5" t="s">
        <v>149</v>
      </c>
      <c r="P126" s="5" t="s">
        <v>711</v>
      </c>
      <c r="Q126" s="4" t="s">
        <v>740</v>
      </c>
      <c r="R126" s="9" t="s">
        <v>741</v>
      </c>
    </row>
    <row r="127" spans="1:18">
      <c r="A127" s="5" t="s">
        <v>11</v>
      </c>
      <c r="B127" s="4" t="s">
        <v>742</v>
      </c>
      <c r="C127" s="4" t="s">
        <v>743</v>
      </c>
      <c r="D127" s="8">
        <v>100</v>
      </c>
      <c r="E127" s="8" t="s">
        <v>132</v>
      </c>
      <c r="F127" s="8">
        <v>1</v>
      </c>
      <c r="G127" s="8">
        <f t="shared" si="6"/>
        <v>100</v>
      </c>
      <c r="H127" s="8">
        <v>1300</v>
      </c>
      <c r="I127" s="8" t="s">
        <v>739</v>
      </c>
      <c r="J127" s="8" t="s">
        <v>734</v>
      </c>
      <c r="K127" s="5" t="s">
        <v>505</v>
      </c>
      <c r="L127" s="8">
        <v>2011</v>
      </c>
      <c r="M127" s="8"/>
      <c r="N127" s="5" t="s">
        <v>136</v>
      </c>
      <c r="O127" s="5" t="s">
        <v>149</v>
      </c>
      <c r="P127" s="5" t="s">
        <v>711</v>
      </c>
      <c r="Q127" s="4" t="s">
        <v>740</v>
      </c>
      <c r="R127" s="9" t="s">
        <v>744</v>
      </c>
    </row>
    <row r="128" spans="1:18" s="5" customFormat="1">
      <c r="A128" s="5" t="s">
        <v>11</v>
      </c>
      <c r="B128" s="4" t="s">
        <v>745</v>
      </c>
      <c r="C128" s="4" t="s">
        <v>746</v>
      </c>
      <c r="D128" s="8">
        <v>100</v>
      </c>
      <c r="E128" s="8" t="s">
        <v>132</v>
      </c>
      <c r="F128" s="8">
        <v>1</v>
      </c>
      <c r="G128" s="8">
        <f t="shared" si="6"/>
        <v>100</v>
      </c>
      <c r="H128" s="8">
        <v>1300</v>
      </c>
      <c r="I128" s="8" t="s">
        <v>739</v>
      </c>
      <c r="J128" s="8" t="s">
        <v>734</v>
      </c>
      <c r="K128" s="5" t="s">
        <v>505</v>
      </c>
      <c r="L128" s="8">
        <v>2011</v>
      </c>
      <c r="M128" s="8"/>
      <c r="N128" s="5" t="s">
        <v>136</v>
      </c>
      <c r="O128" s="5" t="s">
        <v>149</v>
      </c>
      <c r="P128" s="5" t="s">
        <v>711</v>
      </c>
      <c r="Q128" s="4" t="s">
        <v>740</v>
      </c>
      <c r="R128" s="9" t="s">
        <v>747</v>
      </c>
    </row>
    <row r="129" spans="1:18" s="5" customFormat="1">
      <c r="A129" s="5" t="s">
        <v>11</v>
      </c>
      <c r="B129" s="4" t="s">
        <v>748</v>
      </c>
      <c r="C129" s="4" t="s">
        <v>749</v>
      </c>
      <c r="D129" s="7">
        <v>20</v>
      </c>
      <c r="E129" s="7" t="s">
        <v>132</v>
      </c>
      <c r="F129" s="7">
        <v>30</v>
      </c>
      <c r="G129" s="7">
        <f t="shared" si="6"/>
        <v>600</v>
      </c>
      <c r="H129" s="7">
        <v>100000</v>
      </c>
      <c r="I129" s="7" t="s">
        <v>750</v>
      </c>
      <c r="J129" s="7" t="s">
        <v>378</v>
      </c>
      <c r="K129" s="6" t="s">
        <v>379</v>
      </c>
      <c r="L129" s="7">
        <v>2012</v>
      </c>
      <c r="M129" s="7"/>
      <c r="N129" s="4" t="s">
        <v>136</v>
      </c>
      <c r="O129" s="4" t="s">
        <v>149</v>
      </c>
      <c r="P129" s="5" t="s">
        <v>711</v>
      </c>
      <c r="Q129" s="4" t="s">
        <v>751</v>
      </c>
      <c r="R129" s="9" t="s">
        <v>752</v>
      </c>
    </row>
    <row r="130" spans="1:18" s="5" customFormat="1">
      <c r="A130" s="5" t="s">
        <v>11</v>
      </c>
      <c r="B130" s="4" t="s">
        <v>753</v>
      </c>
      <c r="C130" s="4" t="s">
        <v>754</v>
      </c>
      <c r="D130" s="7">
        <v>20</v>
      </c>
      <c r="E130" s="7" t="s">
        <v>132</v>
      </c>
      <c r="F130" s="7">
        <v>30</v>
      </c>
      <c r="G130" s="7">
        <f t="shared" si="6"/>
        <v>600</v>
      </c>
      <c r="H130" s="7">
        <v>120000</v>
      </c>
      <c r="I130" s="7" t="s">
        <v>750</v>
      </c>
      <c r="J130" s="7" t="s">
        <v>378</v>
      </c>
      <c r="K130" s="6" t="s">
        <v>379</v>
      </c>
      <c r="L130" s="7">
        <v>2012</v>
      </c>
      <c r="M130" s="7"/>
      <c r="N130" s="4" t="s">
        <v>136</v>
      </c>
      <c r="O130" s="4" t="s">
        <v>149</v>
      </c>
      <c r="P130" s="5" t="s">
        <v>711</v>
      </c>
      <c r="Q130" s="4" t="s">
        <v>755</v>
      </c>
      <c r="R130" s="9" t="s">
        <v>756</v>
      </c>
    </row>
    <row r="131" spans="1:18" s="5" customFormat="1">
      <c r="A131" s="5" t="s">
        <v>11</v>
      </c>
      <c r="B131" s="4" t="s">
        <v>757</v>
      </c>
      <c r="C131" s="4" t="s">
        <v>758</v>
      </c>
      <c r="D131" s="7">
        <v>15</v>
      </c>
      <c r="E131" s="7" t="s">
        <v>132</v>
      </c>
      <c r="F131" s="7">
        <v>30</v>
      </c>
      <c r="G131" s="7">
        <f t="shared" si="6"/>
        <v>450</v>
      </c>
      <c r="H131" s="7">
        <v>98000</v>
      </c>
      <c r="I131" s="7" t="s">
        <v>759</v>
      </c>
      <c r="J131" s="7" t="s">
        <v>378</v>
      </c>
      <c r="K131" s="6" t="s">
        <v>379</v>
      </c>
      <c r="L131" s="7">
        <v>2019</v>
      </c>
      <c r="M131" s="7"/>
      <c r="N131" s="4" t="s">
        <v>136</v>
      </c>
      <c r="O131" s="4" t="s">
        <v>149</v>
      </c>
      <c r="P131" s="5" t="s">
        <v>711</v>
      </c>
      <c r="Q131" s="4" t="s">
        <v>760</v>
      </c>
      <c r="R131" s="9" t="s">
        <v>761</v>
      </c>
    </row>
    <row r="132" spans="1:18" s="5" customFormat="1">
      <c r="A132" s="5" t="s">
        <v>11</v>
      </c>
      <c r="B132" s="4" t="s">
        <v>762</v>
      </c>
      <c r="C132" s="4" t="s">
        <v>763</v>
      </c>
      <c r="D132" s="8">
        <v>20</v>
      </c>
      <c r="E132" s="7" t="s">
        <v>132</v>
      </c>
      <c r="F132" s="8">
        <v>30</v>
      </c>
      <c r="G132" s="8">
        <f t="shared" si="6"/>
        <v>600</v>
      </c>
      <c r="H132" s="8">
        <v>120000</v>
      </c>
      <c r="I132" s="7" t="s">
        <v>750</v>
      </c>
      <c r="J132" s="7" t="s">
        <v>378</v>
      </c>
      <c r="K132" s="6" t="s">
        <v>379</v>
      </c>
      <c r="L132" s="7">
        <v>2019</v>
      </c>
      <c r="M132" s="7"/>
      <c r="N132" s="4" t="s">
        <v>136</v>
      </c>
      <c r="O132" s="4" t="s">
        <v>149</v>
      </c>
      <c r="P132" s="5" t="s">
        <v>711</v>
      </c>
      <c r="Q132" s="4" t="s">
        <v>751</v>
      </c>
      <c r="R132" s="9" t="s">
        <v>764</v>
      </c>
    </row>
    <row r="133" spans="1:18">
      <c r="A133" s="5" t="s">
        <v>11</v>
      </c>
      <c r="B133" s="4" t="s">
        <v>765</v>
      </c>
      <c r="C133" s="4" t="s">
        <v>766</v>
      </c>
      <c r="D133" s="7">
        <v>20</v>
      </c>
      <c r="E133" s="7" t="s">
        <v>132</v>
      </c>
      <c r="F133" s="7">
        <v>30</v>
      </c>
      <c r="G133" s="7">
        <f t="shared" si="6"/>
        <v>600</v>
      </c>
      <c r="H133" s="7">
        <v>145000</v>
      </c>
      <c r="I133" s="7" t="s">
        <v>750</v>
      </c>
      <c r="J133" s="7" t="s">
        <v>378</v>
      </c>
      <c r="K133" s="6" t="s">
        <v>379</v>
      </c>
      <c r="L133" s="7">
        <v>2019</v>
      </c>
      <c r="M133" s="7"/>
      <c r="N133" s="4" t="s">
        <v>136</v>
      </c>
      <c r="O133" s="4" t="s">
        <v>149</v>
      </c>
      <c r="P133" s="5" t="s">
        <v>711</v>
      </c>
      <c r="Q133" s="4" t="s">
        <v>755</v>
      </c>
      <c r="R133" s="9" t="s">
        <v>767</v>
      </c>
    </row>
    <row r="134" spans="1:18">
      <c r="A134" s="5" t="s">
        <v>11</v>
      </c>
      <c r="B134" s="5" t="s">
        <v>768</v>
      </c>
      <c r="C134" s="5" t="s">
        <v>769</v>
      </c>
      <c r="D134" s="5">
        <v>70</v>
      </c>
      <c r="E134" s="5" t="s">
        <v>77</v>
      </c>
      <c r="F134" s="5">
        <v>30</v>
      </c>
      <c r="G134" s="8">
        <f>+D134*F134</f>
        <v>2100</v>
      </c>
      <c r="H134" s="5">
        <v>260000</v>
      </c>
      <c r="I134" s="5" t="s">
        <v>640</v>
      </c>
      <c r="J134" s="5" t="s">
        <v>770</v>
      </c>
      <c r="K134" s="5" t="s">
        <v>771</v>
      </c>
      <c r="L134" s="5">
        <v>2020</v>
      </c>
      <c r="M134" s="5"/>
      <c r="N134" s="5" t="s">
        <v>81</v>
      </c>
      <c r="O134" s="5" t="s">
        <v>47</v>
      </c>
      <c r="P134" s="5" t="s">
        <v>772</v>
      </c>
      <c r="Q134" s="5" t="s">
        <v>773</v>
      </c>
      <c r="R134" s="9" t="s">
        <v>774</v>
      </c>
    </row>
    <row r="135" spans="1:18">
      <c r="A135" s="5" t="s">
        <v>11</v>
      </c>
      <c r="B135" s="5" t="s">
        <v>775</v>
      </c>
      <c r="C135" s="5" t="s">
        <v>776</v>
      </c>
      <c r="D135" s="5">
        <v>70</v>
      </c>
      <c r="E135" s="5" t="s">
        <v>77</v>
      </c>
      <c r="F135" s="5">
        <v>30</v>
      </c>
      <c r="G135" s="8">
        <f>+D135*F135</f>
        <v>2100</v>
      </c>
      <c r="H135" s="5">
        <v>260000</v>
      </c>
      <c r="I135" s="5" t="s">
        <v>640</v>
      </c>
      <c r="J135" s="5" t="s">
        <v>777</v>
      </c>
      <c r="K135" s="5" t="s">
        <v>778</v>
      </c>
      <c r="L135" s="5">
        <v>2021</v>
      </c>
      <c r="M135" s="5"/>
      <c r="N135" s="5" t="s">
        <v>81</v>
      </c>
      <c r="O135" s="5" t="s">
        <v>47</v>
      </c>
      <c r="P135" s="5" t="s">
        <v>772</v>
      </c>
      <c r="Q135" s="5" t="s">
        <v>779</v>
      </c>
      <c r="R135" s="9" t="s">
        <v>780</v>
      </c>
    </row>
    <row r="136" spans="1:18" s="5" customFormat="1">
      <c r="A136" s="5" t="s">
        <v>11</v>
      </c>
      <c r="B136" s="4" t="s">
        <v>781</v>
      </c>
      <c r="C136" s="4" t="s">
        <v>782</v>
      </c>
      <c r="D136" s="7">
        <v>15</v>
      </c>
      <c r="E136" s="7" t="s">
        <v>132</v>
      </c>
      <c r="F136" s="7">
        <v>90</v>
      </c>
      <c r="G136" s="7">
        <f t="shared" ref="G136:G152" si="7">D136*F136</f>
        <v>1350</v>
      </c>
      <c r="H136" s="7">
        <v>215000</v>
      </c>
      <c r="I136" s="7" t="s">
        <v>759</v>
      </c>
      <c r="J136" s="7" t="s">
        <v>378</v>
      </c>
      <c r="K136" s="6" t="s">
        <v>379</v>
      </c>
      <c r="L136" s="7">
        <v>2021</v>
      </c>
      <c r="M136" s="7"/>
      <c r="N136" s="4" t="s">
        <v>136</v>
      </c>
      <c r="O136" s="4" t="s">
        <v>149</v>
      </c>
      <c r="P136" s="5" t="s">
        <v>711</v>
      </c>
      <c r="Q136" s="4" t="s">
        <v>760</v>
      </c>
      <c r="R136" s="9" t="s">
        <v>783</v>
      </c>
    </row>
    <row r="137" spans="1:18" s="5" customFormat="1">
      <c r="A137" s="5" t="s">
        <v>11</v>
      </c>
      <c r="B137" s="4" t="s">
        <v>784</v>
      </c>
      <c r="C137" s="4" t="s">
        <v>785</v>
      </c>
      <c r="D137" s="7">
        <v>20</v>
      </c>
      <c r="E137" s="7" t="s">
        <v>132</v>
      </c>
      <c r="F137" s="7">
        <v>90</v>
      </c>
      <c r="G137" s="7">
        <f t="shared" si="7"/>
        <v>1800</v>
      </c>
      <c r="H137" s="7">
        <v>270000</v>
      </c>
      <c r="I137" s="7" t="s">
        <v>750</v>
      </c>
      <c r="J137" s="7" t="s">
        <v>378</v>
      </c>
      <c r="K137" s="6" t="s">
        <v>379</v>
      </c>
      <c r="L137" s="7">
        <v>2021</v>
      </c>
      <c r="M137" s="7"/>
      <c r="N137" s="4" t="s">
        <v>136</v>
      </c>
      <c r="O137" s="4" t="s">
        <v>149</v>
      </c>
      <c r="P137" s="5" t="s">
        <v>711</v>
      </c>
      <c r="Q137" s="4" t="s">
        <v>751</v>
      </c>
      <c r="R137" s="9" t="s">
        <v>786</v>
      </c>
    </row>
    <row r="138" spans="1:18" s="5" customFormat="1">
      <c r="A138" s="5" t="s">
        <v>11</v>
      </c>
      <c r="B138" s="4" t="s">
        <v>787</v>
      </c>
      <c r="C138" s="4" t="s">
        <v>788</v>
      </c>
      <c r="D138" s="7">
        <v>20</v>
      </c>
      <c r="E138" s="7" t="s">
        <v>132</v>
      </c>
      <c r="F138" s="7">
        <v>90</v>
      </c>
      <c r="G138" s="7">
        <f t="shared" si="7"/>
        <v>1800</v>
      </c>
      <c r="H138" s="7">
        <v>305000</v>
      </c>
      <c r="I138" s="7" t="s">
        <v>750</v>
      </c>
      <c r="J138" s="7" t="s">
        <v>378</v>
      </c>
      <c r="K138" s="6" t="s">
        <v>379</v>
      </c>
      <c r="L138" s="7">
        <v>2021</v>
      </c>
      <c r="M138" s="7"/>
      <c r="N138" s="4" t="s">
        <v>136</v>
      </c>
      <c r="O138" s="4" t="s">
        <v>149</v>
      </c>
      <c r="P138" s="5" t="s">
        <v>711</v>
      </c>
      <c r="Q138" s="4" t="s">
        <v>755</v>
      </c>
      <c r="R138" s="9" t="s">
        <v>789</v>
      </c>
    </row>
    <row r="139" spans="1:18">
      <c r="A139" s="5" t="s">
        <v>11</v>
      </c>
      <c r="B139" s="5" t="s">
        <v>790</v>
      </c>
      <c r="C139" s="5" t="s">
        <v>791</v>
      </c>
      <c r="D139" s="7">
        <v>70</v>
      </c>
      <c r="E139" s="7" t="s">
        <v>77</v>
      </c>
      <c r="F139" s="7">
        <v>60</v>
      </c>
      <c r="G139" s="7">
        <f t="shared" si="7"/>
        <v>4200</v>
      </c>
      <c r="H139" s="7">
        <v>480000</v>
      </c>
      <c r="I139" s="8" t="s">
        <v>792</v>
      </c>
      <c r="J139" s="8" t="s">
        <v>793</v>
      </c>
      <c r="K139" s="8" t="s">
        <v>794</v>
      </c>
      <c r="L139" s="8">
        <v>2017</v>
      </c>
      <c r="M139" s="8"/>
      <c r="N139" s="5" t="s">
        <v>136</v>
      </c>
      <c r="O139" s="4" t="s">
        <v>149</v>
      </c>
      <c r="P139" s="5" t="s">
        <v>711</v>
      </c>
      <c r="Q139" s="4" t="s">
        <v>49</v>
      </c>
      <c r="R139" s="9" t="s">
        <v>795</v>
      </c>
    </row>
    <row r="140" spans="1:18">
      <c r="A140" s="5" t="s">
        <v>11</v>
      </c>
      <c r="B140" s="5" t="s">
        <v>790</v>
      </c>
      <c r="C140" s="5" t="s">
        <v>791</v>
      </c>
      <c r="D140" s="7">
        <v>70</v>
      </c>
      <c r="E140" s="7" t="s">
        <v>132</v>
      </c>
      <c r="F140" s="7">
        <v>30</v>
      </c>
      <c r="G140" s="7">
        <f t="shared" si="7"/>
        <v>2100</v>
      </c>
      <c r="H140" s="7">
        <v>260000</v>
      </c>
      <c r="I140" s="8" t="s">
        <v>792</v>
      </c>
      <c r="J140" s="8" t="s">
        <v>793</v>
      </c>
      <c r="K140" s="8" t="s">
        <v>794</v>
      </c>
      <c r="L140" s="8">
        <v>2017</v>
      </c>
      <c r="M140" s="8"/>
      <c r="N140" s="5" t="s">
        <v>136</v>
      </c>
      <c r="O140" s="4" t="s">
        <v>149</v>
      </c>
      <c r="P140" s="5" t="s">
        <v>711</v>
      </c>
      <c r="Q140" s="4" t="s">
        <v>49</v>
      </c>
      <c r="R140" s="9" t="s">
        <v>795</v>
      </c>
    </row>
    <row r="141" spans="1:18">
      <c r="A141" s="5" t="s">
        <v>11</v>
      </c>
      <c r="B141" s="5" t="s">
        <v>796</v>
      </c>
      <c r="C141" s="5" t="s">
        <v>797</v>
      </c>
      <c r="D141" s="7">
        <v>50</v>
      </c>
      <c r="E141" s="7" t="s">
        <v>77</v>
      </c>
      <c r="F141" s="7">
        <v>30</v>
      </c>
      <c r="G141" s="7">
        <f t="shared" si="7"/>
        <v>1500</v>
      </c>
      <c r="H141" s="7">
        <v>160000</v>
      </c>
      <c r="I141" s="8" t="s">
        <v>798</v>
      </c>
      <c r="J141" s="8" t="s">
        <v>799</v>
      </c>
      <c r="K141" s="5" t="s">
        <v>800</v>
      </c>
      <c r="L141" s="8">
        <v>2017</v>
      </c>
      <c r="M141" s="8"/>
      <c r="N141" s="5" t="s">
        <v>81</v>
      </c>
      <c r="O141" s="4" t="s">
        <v>149</v>
      </c>
      <c r="P141" s="5" t="s">
        <v>711</v>
      </c>
      <c r="Q141" s="4" t="s">
        <v>138</v>
      </c>
      <c r="R141" s="9" t="s">
        <v>801</v>
      </c>
    </row>
    <row r="142" spans="1:18">
      <c r="A142" s="5" t="s">
        <v>11</v>
      </c>
      <c r="B142" s="4" t="s">
        <v>802</v>
      </c>
      <c r="C142" s="4" t="s">
        <v>803</v>
      </c>
      <c r="D142" s="7">
        <v>70</v>
      </c>
      <c r="E142" s="7" t="s">
        <v>132</v>
      </c>
      <c r="F142" s="7">
        <v>30</v>
      </c>
      <c r="G142" s="7">
        <f t="shared" si="7"/>
        <v>2100</v>
      </c>
      <c r="H142" s="7">
        <v>200000</v>
      </c>
      <c r="I142" s="8" t="s">
        <v>725</v>
      </c>
      <c r="J142" s="8" t="s">
        <v>804</v>
      </c>
      <c r="K142" s="5" t="s">
        <v>805</v>
      </c>
      <c r="L142" s="8">
        <v>2018</v>
      </c>
      <c r="M142" s="8"/>
      <c r="N142" s="5" t="s">
        <v>136</v>
      </c>
      <c r="O142" s="4" t="s">
        <v>149</v>
      </c>
      <c r="P142" s="5" t="s">
        <v>711</v>
      </c>
      <c r="Q142" s="4" t="s">
        <v>806</v>
      </c>
      <c r="R142" s="9" t="s">
        <v>807</v>
      </c>
    </row>
    <row r="143" spans="1:18">
      <c r="A143" s="5" t="s">
        <v>11</v>
      </c>
      <c r="B143" s="5" t="s">
        <v>808</v>
      </c>
      <c r="C143" s="5" t="s">
        <v>809</v>
      </c>
      <c r="D143" s="7">
        <v>10</v>
      </c>
      <c r="E143" s="7" t="s">
        <v>42</v>
      </c>
      <c r="F143" s="7">
        <v>30</v>
      </c>
      <c r="G143" s="7">
        <f t="shared" si="7"/>
        <v>300</v>
      </c>
      <c r="H143" s="7">
        <v>240000</v>
      </c>
      <c r="I143" s="8" t="s">
        <v>810</v>
      </c>
      <c r="J143" s="8" t="s">
        <v>811</v>
      </c>
      <c r="K143" s="5" t="s">
        <v>812</v>
      </c>
      <c r="L143" s="8">
        <v>2017</v>
      </c>
      <c r="M143" s="8"/>
      <c r="N143" s="5" t="s">
        <v>400</v>
      </c>
      <c r="O143" s="4" t="s">
        <v>149</v>
      </c>
      <c r="P143" s="5" t="s">
        <v>711</v>
      </c>
      <c r="Q143" s="4" t="s">
        <v>138</v>
      </c>
      <c r="R143" s="9" t="s">
        <v>813</v>
      </c>
    </row>
    <row r="144" spans="1:18" ht="14.45">
      <c r="A144" s="5" t="s">
        <v>11</v>
      </c>
      <c r="B144" s="5" t="s">
        <v>814</v>
      </c>
      <c r="C144" s="5" t="s">
        <v>815</v>
      </c>
      <c r="D144" s="7">
        <v>4</v>
      </c>
      <c r="E144" s="7" t="s">
        <v>42</v>
      </c>
      <c r="F144" s="7">
        <v>12</v>
      </c>
      <c r="G144" s="7">
        <f t="shared" si="7"/>
        <v>48</v>
      </c>
      <c r="H144" s="7">
        <v>360000</v>
      </c>
      <c r="I144" s="8" t="s">
        <v>816</v>
      </c>
      <c r="J144" s="8" t="s">
        <v>817</v>
      </c>
      <c r="K144" s="5" t="s">
        <v>818</v>
      </c>
      <c r="L144" s="8">
        <v>2022</v>
      </c>
      <c r="M144" s="8" t="s">
        <v>71</v>
      </c>
      <c r="N144" s="5" t="s">
        <v>46</v>
      </c>
      <c r="O144" s="4" t="s">
        <v>149</v>
      </c>
      <c r="P144" s="5" t="s">
        <v>711</v>
      </c>
      <c r="Q144" s="4" t="s">
        <v>819</v>
      </c>
      <c r="R144" s="18" t="s">
        <v>820</v>
      </c>
    </row>
    <row r="145" spans="1:18" ht="14.45">
      <c r="A145" s="5" t="s">
        <v>11</v>
      </c>
      <c r="B145" s="5" t="s">
        <v>821</v>
      </c>
      <c r="C145" s="5" t="s">
        <v>822</v>
      </c>
      <c r="D145" s="7">
        <v>50</v>
      </c>
      <c r="E145" s="7" t="s">
        <v>77</v>
      </c>
      <c r="F145" s="7">
        <v>20</v>
      </c>
      <c r="G145" s="7">
        <f t="shared" si="7"/>
        <v>1000</v>
      </c>
      <c r="H145" s="7">
        <v>120000</v>
      </c>
      <c r="I145" s="8" t="s">
        <v>823</v>
      </c>
      <c r="J145" s="8" t="s">
        <v>793</v>
      </c>
      <c r="K145" s="8" t="s">
        <v>794</v>
      </c>
      <c r="L145" s="8">
        <v>2022</v>
      </c>
      <c r="M145" s="8" t="s">
        <v>71</v>
      </c>
      <c r="N145" s="5" t="s">
        <v>136</v>
      </c>
      <c r="O145" s="4" t="s">
        <v>149</v>
      </c>
      <c r="P145" s="5" t="s">
        <v>711</v>
      </c>
      <c r="Q145" s="4" t="s">
        <v>49</v>
      </c>
      <c r="R145" s="18" t="s">
        <v>824</v>
      </c>
    </row>
    <row r="146" spans="1:18" ht="14.45">
      <c r="A146" s="5" t="s">
        <v>11</v>
      </c>
      <c r="B146" s="4" t="s">
        <v>825</v>
      </c>
      <c r="C146" s="5" t="s">
        <v>826</v>
      </c>
      <c r="D146" s="7">
        <v>20</v>
      </c>
      <c r="E146" s="7" t="s">
        <v>77</v>
      </c>
      <c r="F146" s="7">
        <v>14</v>
      </c>
      <c r="G146" s="7">
        <f t="shared" si="7"/>
        <v>280</v>
      </c>
      <c r="H146" s="7">
        <v>80000</v>
      </c>
      <c r="I146" s="8" t="s">
        <v>315</v>
      </c>
      <c r="J146" s="8" t="s">
        <v>451</v>
      </c>
      <c r="K146" s="5" t="s">
        <v>827</v>
      </c>
      <c r="L146" s="8">
        <v>2022</v>
      </c>
      <c r="M146" s="8" t="s">
        <v>735</v>
      </c>
      <c r="N146" s="5" t="s">
        <v>400</v>
      </c>
      <c r="O146" s="4" t="s">
        <v>149</v>
      </c>
      <c r="P146" s="5" t="s">
        <v>711</v>
      </c>
      <c r="Q146" s="4" t="s">
        <v>311</v>
      </c>
      <c r="R146" s="18" t="s">
        <v>828</v>
      </c>
    </row>
    <row r="147" spans="1:18" ht="14.45">
      <c r="A147" s="5" t="s">
        <v>11</v>
      </c>
      <c r="B147" s="4" t="s">
        <v>829</v>
      </c>
      <c r="C147" s="5" t="s">
        <v>830</v>
      </c>
      <c r="D147" s="7">
        <v>70</v>
      </c>
      <c r="E147" s="7" t="s">
        <v>77</v>
      </c>
      <c r="F147" s="7">
        <v>10</v>
      </c>
      <c r="G147" s="7">
        <f t="shared" si="7"/>
        <v>700</v>
      </c>
      <c r="H147" s="7">
        <v>100000</v>
      </c>
      <c r="I147" s="8" t="s">
        <v>831</v>
      </c>
      <c r="J147" s="8" t="s">
        <v>777</v>
      </c>
      <c r="K147" s="8" t="s">
        <v>832</v>
      </c>
      <c r="L147" s="8">
        <v>2023</v>
      </c>
      <c r="M147" s="8" t="s">
        <v>5</v>
      </c>
      <c r="N147" s="5" t="s">
        <v>81</v>
      </c>
      <c r="O147" s="4" t="s">
        <v>47</v>
      </c>
      <c r="P147" s="5" t="s">
        <v>711</v>
      </c>
      <c r="Q147" s="4" t="s">
        <v>773</v>
      </c>
      <c r="R147" s="18" t="s">
        <v>833</v>
      </c>
    </row>
    <row r="148" spans="1:18" ht="14.45">
      <c r="A148" s="5" t="s">
        <v>11</v>
      </c>
      <c r="B148" s="4" t="s">
        <v>834</v>
      </c>
      <c r="C148" s="5" t="s">
        <v>835</v>
      </c>
      <c r="D148" s="7">
        <v>50</v>
      </c>
      <c r="E148" s="7" t="s">
        <v>77</v>
      </c>
      <c r="F148" s="7">
        <v>30</v>
      </c>
      <c r="G148" s="7">
        <f t="shared" si="7"/>
        <v>1500</v>
      </c>
      <c r="H148" s="7">
        <v>220000</v>
      </c>
      <c r="I148" s="8" t="s">
        <v>836</v>
      </c>
      <c r="J148" s="8" t="s">
        <v>837</v>
      </c>
      <c r="K148" s="8" t="s">
        <v>838</v>
      </c>
      <c r="L148" s="8">
        <v>2023</v>
      </c>
      <c r="M148" s="8" t="s">
        <v>5</v>
      </c>
      <c r="N148" s="5" t="s">
        <v>81</v>
      </c>
      <c r="O148" s="4" t="s">
        <v>47</v>
      </c>
      <c r="P148" s="5" t="s">
        <v>711</v>
      </c>
      <c r="Q148" s="4" t="s">
        <v>311</v>
      </c>
      <c r="R148" s="18" t="s">
        <v>839</v>
      </c>
    </row>
    <row r="149" spans="1:18" ht="14.45">
      <c r="A149" s="5" t="s">
        <v>11</v>
      </c>
      <c r="B149" s="4" t="s">
        <v>840</v>
      </c>
      <c r="C149" s="5" t="s">
        <v>841</v>
      </c>
      <c r="D149" s="7">
        <v>40</v>
      </c>
      <c r="E149" s="7" t="s">
        <v>77</v>
      </c>
      <c r="F149" s="7">
        <v>30</v>
      </c>
      <c r="G149" s="7">
        <f t="shared" si="7"/>
        <v>1200</v>
      </c>
      <c r="H149" s="7">
        <v>200000</v>
      </c>
      <c r="I149" s="8" t="s">
        <v>842</v>
      </c>
      <c r="J149" s="8" t="s">
        <v>843</v>
      </c>
      <c r="K149" s="8" t="s">
        <v>844</v>
      </c>
      <c r="L149" s="8">
        <v>2023</v>
      </c>
      <c r="M149" s="8" t="s">
        <v>10</v>
      </c>
      <c r="N149" s="5" t="s">
        <v>81</v>
      </c>
      <c r="O149" s="4" t="s">
        <v>47</v>
      </c>
      <c r="P149" s="5" t="s">
        <v>711</v>
      </c>
      <c r="Q149" s="4" t="s">
        <v>83</v>
      </c>
      <c r="R149" s="18" t="s">
        <v>845</v>
      </c>
    </row>
    <row r="150" spans="1:18" ht="14.45">
      <c r="A150" s="5" t="s">
        <v>11</v>
      </c>
      <c r="B150" s="4" t="s">
        <v>846</v>
      </c>
      <c r="C150" s="5" t="s">
        <v>847</v>
      </c>
      <c r="D150" s="7">
        <v>20</v>
      </c>
      <c r="E150" s="7" t="s">
        <v>77</v>
      </c>
      <c r="F150" s="7">
        <v>20</v>
      </c>
      <c r="G150" s="7">
        <f t="shared" si="7"/>
        <v>400</v>
      </c>
      <c r="H150" s="7">
        <v>105000</v>
      </c>
      <c r="I150" s="8" t="s">
        <v>315</v>
      </c>
      <c r="J150" s="8" t="s">
        <v>848</v>
      </c>
      <c r="K150" s="8" t="s">
        <v>849</v>
      </c>
      <c r="L150" s="8">
        <v>2025</v>
      </c>
      <c r="M150" s="8" t="s">
        <v>10</v>
      </c>
      <c r="N150" s="5" t="s">
        <v>81</v>
      </c>
      <c r="O150" s="4" t="s">
        <v>47</v>
      </c>
      <c r="P150" s="5" t="s">
        <v>711</v>
      </c>
      <c r="Q150" s="4" t="s">
        <v>83</v>
      </c>
      <c r="R150" s="18" t="s">
        <v>850</v>
      </c>
    </row>
    <row r="151" spans="1:18" ht="14.45">
      <c r="A151" s="5" t="s">
        <v>11</v>
      </c>
      <c r="B151" s="4" t="s">
        <v>851</v>
      </c>
      <c r="C151" s="5" t="s">
        <v>852</v>
      </c>
      <c r="D151" s="7">
        <v>10</v>
      </c>
      <c r="E151" s="7" t="s">
        <v>77</v>
      </c>
      <c r="F151" s="7">
        <v>30</v>
      </c>
      <c r="G151" s="7">
        <f t="shared" si="7"/>
        <v>300</v>
      </c>
      <c r="H151" s="7">
        <v>59000</v>
      </c>
      <c r="I151" s="8" t="s">
        <v>385</v>
      </c>
      <c r="J151" s="8" t="s">
        <v>853</v>
      </c>
      <c r="K151" s="5" t="s">
        <v>854</v>
      </c>
      <c r="L151" s="8">
        <v>2023</v>
      </c>
      <c r="M151" s="8" t="s">
        <v>8</v>
      </c>
      <c r="N151" s="5" t="s">
        <v>400</v>
      </c>
      <c r="O151" s="4" t="s">
        <v>149</v>
      </c>
      <c r="P151" s="5" t="s">
        <v>711</v>
      </c>
      <c r="Q151" s="4" t="s">
        <v>49</v>
      </c>
      <c r="R151" s="18" t="s">
        <v>855</v>
      </c>
    </row>
    <row r="152" spans="1:18" ht="14.45">
      <c r="A152" s="5" t="s">
        <v>11</v>
      </c>
      <c r="B152" s="4" t="s">
        <v>856</v>
      </c>
      <c r="C152" s="5" t="s">
        <v>857</v>
      </c>
      <c r="D152" s="7">
        <v>50</v>
      </c>
      <c r="E152" s="7" t="s">
        <v>77</v>
      </c>
      <c r="F152" s="7">
        <v>30</v>
      </c>
      <c r="G152" s="7">
        <f t="shared" si="7"/>
        <v>1500</v>
      </c>
      <c r="H152" s="7">
        <v>210000</v>
      </c>
      <c r="I152" s="8" t="s">
        <v>78</v>
      </c>
      <c r="J152" s="8" t="s">
        <v>153</v>
      </c>
      <c r="K152" s="5" t="s">
        <v>858</v>
      </c>
      <c r="L152" s="8">
        <v>2024</v>
      </c>
      <c r="M152" s="8" t="s">
        <v>15</v>
      </c>
      <c r="N152" s="5" t="s">
        <v>81</v>
      </c>
      <c r="O152" s="4" t="s">
        <v>149</v>
      </c>
      <c r="P152" s="5" t="s">
        <v>711</v>
      </c>
      <c r="Q152" s="4" t="s">
        <v>49</v>
      </c>
      <c r="R152" s="18" t="s">
        <v>859</v>
      </c>
    </row>
    <row r="153" spans="1:18">
      <c r="A153" s="5" t="s">
        <v>860</v>
      </c>
      <c r="B153" s="5" t="s">
        <v>861</v>
      </c>
      <c r="C153" s="5" t="s">
        <v>862</v>
      </c>
      <c r="D153" s="5">
        <v>80</v>
      </c>
      <c r="E153" s="5" t="s">
        <v>77</v>
      </c>
      <c r="F153" s="5">
        <v>30</v>
      </c>
      <c r="G153" s="8">
        <f>+D153*F153</f>
        <v>2400</v>
      </c>
      <c r="H153" s="5">
        <v>150000</v>
      </c>
      <c r="I153" s="5" t="s">
        <v>863</v>
      </c>
      <c r="J153" s="5" t="s">
        <v>864</v>
      </c>
      <c r="K153" s="5" t="s">
        <v>865</v>
      </c>
      <c r="L153" s="5">
        <v>2020</v>
      </c>
      <c r="M153" s="5"/>
      <c r="N153" s="5" t="s">
        <v>81</v>
      </c>
      <c r="O153" s="5" t="s">
        <v>47</v>
      </c>
      <c r="P153" s="5" t="s">
        <v>48</v>
      </c>
      <c r="Q153" s="5" t="s">
        <v>49</v>
      </c>
      <c r="R153" s="9" t="s">
        <v>866</v>
      </c>
    </row>
    <row r="154" spans="1:18">
      <c r="A154" s="5" t="s">
        <v>4</v>
      </c>
      <c r="B154" s="5" t="s">
        <v>867</v>
      </c>
      <c r="C154" s="5" t="s">
        <v>868</v>
      </c>
      <c r="D154" s="8">
        <v>4</v>
      </c>
      <c r="E154" s="8" t="s">
        <v>42</v>
      </c>
      <c r="F154" s="8">
        <v>20</v>
      </c>
      <c r="G154" s="8">
        <f>D154*F154</f>
        <v>80</v>
      </c>
      <c r="H154" s="8">
        <v>275500</v>
      </c>
      <c r="I154" s="8" t="s">
        <v>407</v>
      </c>
      <c r="J154" s="8" t="s">
        <v>869</v>
      </c>
      <c r="K154" s="5" t="s">
        <v>870</v>
      </c>
      <c r="L154" s="8">
        <v>2018</v>
      </c>
      <c r="M154" s="8"/>
      <c r="N154" s="5" t="s">
        <v>46</v>
      </c>
      <c r="O154" s="5" t="s">
        <v>149</v>
      </c>
      <c r="P154" s="5" t="s">
        <v>48</v>
      </c>
      <c r="Q154" s="5" t="s">
        <v>138</v>
      </c>
      <c r="R154" s="9" t="s">
        <v>871</v>
      </c>
    </row>
    <row r="155" spans="1:18">
      <c r="A155" s="5" t="s">
        <v>4</v>
      </c>
      <c r="B155" s="5" t="s">
        <v>872</v>
      </c>
      <c r="C155" s="5" t="s">
        <v>873</v>
      </c>
      <c r="D155" s="5">
        <v>4</v>
      </c>
      <c r="E155" s="8" t="s">
        <v>42</v>
      </c>
      <c r="F155" s="8">
        <v>20</v>
      </c>
      <c r="G155" s="8">
        <f>D155*F155</f>
        <v>80</v>
      </c>
      <c r="H155" s="8">
        <v>250000</v>
      </c>
      <c r="I155" s="8" t="s">
        <v>816</v>
      </c>
      <c r="J155" s="8" t="s">
        <v>874</v>
      </c>
      <c r="K155" s="5" t="s">
        <v>875</v>
      </c>
      <c r="L155" s="8">
        <v>2019</v>
      </c>
      <c r="M155" s="8"/>
      <c r="N155" s="5" t="s">
        <v>46</v>
      </c>
      <c r="O155" s="5" t="s">
        <v>149</v>
      </c>
      <c r="P155" s="5" t="s">
        <v>876</v>
      </c>
      <c r="Q155" s="5" t="s">
        <v>138</v>
      </c>
      <c r="R155" s="9" t="s">
        <v>877</v>
      </c>
    </row>
    <row r="156" spans="1:18">
      <c r="A156" s="5" t="s">
        <v>4</v>
      </c>
      <c r="B156" s="5" t="s">
        <v>878</v>
      </c>
      <c r="C156" s="5" t="s">
        <v>879</v>
      </c>
      <c r="D156" s="8">
        <v>80</v>
      </c>
      <c r="E156" s="8" t="s">
        <v>77</v>
      </c>
      <c r="F156" s="8"/>
      <c r="G156" s="8"/>
      <c r="H156" s="8">
        <v>5000</v>
      </c>
      <c r="I156" s="8" t="s">
        <v>863</v>
      </c>
      <c r="J156" s="16" t="s">
        <v>880</v>
      </c>
      <c r="K156" s="5" t="s">
        <v>881</v>
      </c>
      <c r="L156" s="8">
        <v>2018</v>
      </c>
      <c r="M156" s="8"/>
      <c r="N156" s="5" t="s">
        <v>882</v>
      </c>
      <c r="O156" s="5" t="s">
        <v>149</v>
      </c>
      <c r="P156" s="5" t="s">
        <v>876</v>
      </c>
      <c r="Q156" s="5" t="s">
        <v>138</v>
      </c>
      <c r="R156" s="9" t="s">
        <v>883</v>
      </c>
    </row>
    <row r="157" spans="1:18" s="5" customFormat="1">
      <c r="A157" s="5" t="s">
        <v>4</v>
      </c>
      <c r="B157" s="5" t="s">
        <v>884</v>
      </c>
      <c r="C157" s="5" t="s">
        <v>885</v>
      </c>
      <c r="D157" s="5">
        <v>80</v>
      </c>
      <c r="E157" s="5" t="s">
        <v>77</v>
      </c>
      <c r="F157" s="5">
        <v>12</v>
      </c>
      <c r="G157" s="5">
        <f t="shared" ref="G157:G165" si="8">+D157*F157</f>
        <v>960</v>
      </c>
      <c r="H157" s="5">
        <v>60000</v>
      </c>
      <c r="I157" s="5" t="s">
        <v>863</v>
      </c>
      <c r="J157" s="5" t="s">
        <v>886</v>
      </c>
      <c r="K157" s="5" t="s">
        <v>887</v>
      </c>
      <c r="L157" s="5">
        <v>2020</v>
      </c>
      <c r="N157" s="5" t="s">
        <v>178</v>
      </c>
      <c r="O157" s="5" t="s">
        <v>47</v>
      </c>
      <c r="P157" s="5" t="s">
        <v>888</v>
      </c>
      <c r="Q157" s="5" t="s">
        <v>49</v>
      </c>
      <c r="R157" s="5" t="s">
        <v>889</v>
      </c>
    </row>
    <row r="158" spans="1:18">
      <c r="A158" s="5" t="s">
        <v>4</v>
      </c>
      <c r="B158" s="5" t="s">
        <v>890</v>
      </c>
      <c r="C158" s="5" t="s">
        <v>891</v>
      </c>
      <c r="D158" s="5">
        <v>80</v>
      </c>
      <c r="E158" s="5" t="s">
        <v>77</v>
      </c>
      <c r="F158" s="5">
        <v>1</v>
      </c>
      <c r="G158" s="5">
        <f t="shared" si="8"/>
        <v>80</v>
      </c>
      <c r="H158" s="5">
        <v>5000</v>
      </c>
      <c r="I158" s="17" t="s">
        <v>892</v>
      </c>
      <c r="J158" s="5" t="s">
        <v>893</v>
      </c>
      <c r="K158" s="5" t="s">
        <v>894</v>
      </c>
      <c r="L158" s="5">
        <v>2022</v>
      </c>
      <c r="M158" s="5"/>
      <c r="N158" s="5" t="s">
        <v>178</v>
      </c>
      <c r="O158" s="5" t="s">
        <v>47</v>
      </c>
      <c r="P158" s="5" t="s">
        <v>895</v>
      </c>
      <c r="Q158" s="5" t="s">
        <v>49</v>
      </c>
      <c r="R158" s="9" t="s">
        <v>896</v>
      </c>
    </row>
    <row r="159" spans="1:18" ht="14.45">
      <c r="A159" s="5" t="s">
        <v>4</v>
      </c>
      <c r="B159" s="5" t="s">
        <v>897</v>
      </c>
      <c r="C159" s="5" t="s">
        <v>898</v>
      </c>
      <c r="D159" s="5">
        <v>80</v>
      </c>
      <c r="E159" s="5" t="s">
        <v>77</v>
      </c>
      <c r="F159" s="5">
        <v>1</v>
      </c>
      <c r="G159" s="5">
        <f t="shared" si="8"/>
        <v>80</v>
      </c>
      <c r="H159" s="5">
        <v>5000</v>
      </c>
      <c r="I159" s="5"/>
      <c r="J159" s="5" t="s">
        <v>899</v>
      </c>
      <c r="K159" s="5" t="s">
        <v>900</v>
      </c>
      <c r="L159" s="5">
        <v>2023</v>
      </c>
      <c r="M159" s="5" t="s">
        <v>13</v>
      </c>
      <c r="N159" s="5" t="s">
        <v>178</v>
      </c>
      <c r="O159" s="5" t="s">
        <v>47</v>
      </c>
      <c r="P159" s="5" t="s">
        <v>895</v>
      </c>
      <c r="Q159" s="5" t="s">
        <v>49</v>
      </c>
      <c r="R159" s="18" t="s">
        <v>901</v>
      </c>
    </row>
    <row r="160" spans="1:18" ht="14.45">
      <c r="A160" s="5" t="s">
        <v>4</v>
      </c>
      <c r="B160" s="5" t="s">
        <v>902</v>
      </c>
      <c r="C160" s="5" t="s">
        <v>903</v>
      </c>
      <c r="D160" s="5">
        <v>150</v>
      </c>
      <c r="E160" s="5" t="s">
        <v>42</v>
      </c>
      <c r="F160" s="5">
        <v>1</v>
      </c>
      <c r="G160" s="5">
        <f t="shared" ref="G160" si="9">+D160*F160</f>
        <v>150</v>
      </c>
      <c r="H160" s="5">
        <v>350000</v>
      </c>
      <c r="I160" s="5" t="s">
        <v>904</v>
      </c>
      <c r="J160" s="5" t="s">
        <v>905</v>
      </c>
      <c r="K160" s="5" t="s">
        <v>906</v>
      </c>
      <c r="L160" s="5">
        <v>2025</v>
      </c>
      <c r="M160" s="5" t="s">
        <v>3</v>
      </c>
      <c r="N160" s="5" t="s">
        <v>178</v>
      </c>
      <c r="O160" s="5" t="s">
        <v>47</v>
      </c>
      <c r="P160" s="5" t="s">
        <v>895</v>
      </c>
      <c r="Q160" s="5" t="s">
        <v>49</v>
      </c>
      <c r="R160" s="18" t="s">
        <v>907</v>
      </c>
    </row>
    <row r="161" spans="1:18">
      <c r="A161" s="5" t="s">
        <v>4</v>
      </c>
      <c r="B161" s="5" t="s">
        <v>908</v>
      </c>
      <c r="C161" s="5" t="s">
        <v>909</v>
      </c>
      <c r="D161" s="5">
        <v>12</v>
      </c>
      <c r="E161" s="5" t="s">
        <v>42</v>
      </c>
      <c r="F161" s="5">
        <v>60</v>
      </c>
      <c r="G161" s="5">
        <f t="shared" si="8"/>
        <v>720</v>
      </c>
      <c r="H161" s="5">
        <v>400000</v>
      </c>
      <c r="I161" s="5" t="s">
        <v>910</v>
      </c>
      <c r="J161" s="5" t="s">
        <v>911</v>
      </c>
      <c r="K161" s="5" t="s">
        <v>912</v>
      </c>
      <c r="L161" s="5">
        <v>2022</v>
      </c>
      <c r="M161" s="5"/>
      <c r="N161" s="5" t="s">
        <v>81</v>
      </c>
      <c r="O161" s="5" t="s">
        <v>47</v>
      </c>
      <c r="P161" s="5" t="s">
        <v>895</v>
      </c>
      <c r="Q161" s="5" t="s">
        <v>49</v>
      </c>
      <c r="R161" s="9" t="s">
        <v>913</v>
      </c>
    </row>
    <row r="162" spans="1:18" ht="14.45">
      <c r="A162" s="5" t="s">
        <v>4</v>
      </c>
      <c r="B162" s="5" t="s">
        <v>914</v>
      </c>
      <c r="C162" s="5" t="s">
        <v>915</v>
      </c>
      <c r="D162" s="5">
        <v>17</v>
      </c>
      <c r="E162" s="5" t="s">
        <v>42</v>
      </c>
      <c r="F162" s="5">
        <v>14</v>
      </c>
      <c r="G162" s="5">
        <f t="shared" si="8"/>
        <v>238</v>
      </c>
      <c r="H162" s="5">
        <v>49500</v>
      </c>
      <c r="I162" s="5" t="s">
        <v>916</v>
      </c>
      <c r="J162" s="5" t="s">
        <v>917</v>
      </c>
      <c r="K162" s="8" t="s">
        <v>918</v>
      </c>
      <c r="L162" s="5">
        <v>2023</v>
      </c>
      <c r="M162" s="5" t="s">
        <v>5</v>
      </c>
      <c r="N162" s="5" t="s">
        <v>95</v>
      </c>
      <c r="O162" s="5" t="s">
        <v>47</v>
      </c>
      <c r="P162" s="5" t="s">
        <v>895</v>
      </c>
      <c r="Q162" s="5" t="s">
        <v>83</v>
      </c>
      <c r="R162" s="18" t="s">
        <v>919</v>
      </c>
    </row>
    <row r="163" spans="1:18" ht="14.45">
      <c r="A163" s="5" t="s">
        <v>4</v>
      </c>
      <c r="B163" s="5" t="s">
        <v>920</v>
      </c>
      <c r="C163" s="5" t="s">
        <v>921</v>
      </c>
      <c r="D163" s="5">
        <v>80</v>
      </c>
      <c r="E163" s="5" t="s">
        <v>77</v>
      </c>
      <c r="F163" s="5">
        <v>30</v>
      </c>
      <c r="G163" s="5">
        <f t="shared" si="8"/>
        <v>2400</v>
      </c>
      <c r="H163" s="5">
        <v>450000</v>
      </c>
      <c r="I163" s="7" t="s">
        <v>863</v>
      </c>
      <c r="J163" s="5" t="s">
        <v>922</v>
      </c>
      <c r="K163" s="5" t="s">
        <v>923</v>
      </c>
      <c r="L163" s="5">
        <v>2025</v>
      </c>
      <c r="M163" s="5" t="s">
        <v>12</v>
      </c>
      <c r="N163" s="5" t="s">
        <v>81</v>
      </c>
      <c r="O163" s="5" t="s">
        <v>47</v>
      </c>
      <c r="P163" s="5" t="s">
        <v>895</v>
      </c>
      <c r="Q163" s="5" t="s">
        <v>49</v>
      </c>
      <c r="R163" s="18" t="s">
        <v>924</v>
      </c>
    </row>
    <row r="164" spans="1:18" ht="13.5">
      <c r="A164" s="5" t="s">
        <v>18</v>
      </c>
      <c r="B164" s="5" t="s">
        <v>925</v>
      </c>
      <c r="C164" s="5" t="s">
        <v>926</v>
      </c>
      <c r="D164" s="5">
        <v>90</v>
      </c>
      <c r="E164" s="5" t="s">
        <v>77</v>
      </c>
      <c r="F164" s="5">
        <v>30</v>
      </c>
      <c r="G164" s="5">
        <f t="shared" ref="G164" si="10">+D164*F164</f>
        <v>2700</v>
      </c>
      <c r="H164" s="5">
        <v>270000</v>
      </c>
      <c r="I164" s="7" t="s">
        <v>927</v>
      </c>
      <c r="J164" s="5" t="s">
        <v>928</v>
      </c>
      <c r="K164" s="5" t="s">
        <v>929</v>
      </c>
      <c r="L164" s="5">
        <v>2026</v>
      </c>
      <c r="M164" s="5" t="s">
        <v>17</v>
      </c>
      <c r="N164" s="5" t="s">
        <v>81</v>
      </c>
      <c r="O164" s="5" t="s">
        <v>116</v>
      </c>
      <c r="P164" s="5" t="s">
        <v>48</v>
      </c>
      <c r="Q164" s="5" t="s">
        <v>49</v>
      </c>
      <c r="R164" s="18" t="s">
        <v>930</v>
      </c>
    </row>
    <row r="165" spans="1:18" ht="14.45">
      <c r="A165" s="5" t="s">
        <v>931</v>
      </c>
      <c r="B165" s="5" t="s">
        <v>932</v>
      </c>
      <c r="C165" s="5" t="s">
        <v>933</v>
      </c>
      <c r="D165" s="5">
        <v>4</v>
      </c>
      <c r="E165" s="5" t="s">
        <v>42</v>
      </c>
      <c r="F165" s="5">
        <v>1</v>
      </c>
      <c r="G165" s="5">
        <f t="shared" si="8"/>
        <v>4</v>
      </c>
      <c r="H165" s="5">
        <v>40000</v>
      </c>
      <c r="I165" s="5" t="s">
        <v>816</v>
      </c>
      <c r="J165" s="5" t="s">
        <v>88</v>
      </c>
      <c r="K165" s="5" t="s">
        <v>89</v>
      </c>
      <c r="L165" s="5">
        <v>2020</v>
      </c>
      <c r="M165" s="5"/>
      <c r="N165" s="5" t="s">
        <v>46</v>
      </c>
      <c r="O165" s="5" t="s">
        <v>72</v>
      </c>
      <c r="P165" s="5" t="s">
        <v>934</v>
      </c>
      <c r="Q165" s="5" t="s">
        <v>49</v>
      </c>
      <c r="R165" s="19" t="s">
        <v>935</v>
      </c>
    </row>
    <row r="166" spans="1:18">
      <c r="A166" s="5" t="s">
        <v>936</v>
      </c>
      <c r="B166" s="5" t="s">
        <v>937</v>
      </c>
      <c r="C166" s="5" t="s">
        <v>938</v>
      </c>
      <c r="D166" s="8">
        <v>3.75</v>
      </c>
      <c r="E166" s="8" t="s">
        <v>42</v>
      </c>
      <c r="F166" s="8">
        <v>30</v>
      </c>
      <c r="G166" s="8">
        <f>D166*F166</f>
        <v>112.5</v>
      </c>
      <c r="H166" s="8">
        <v>150000</v>
      </c>
      <c r="I166" s="8" t="s">
        <v>412</v>
      </c>
      <c r="J166" s="8" t="s">
        <v>939</v>
      </c>
      <c r="K166" s="5" t="s">
        <v>940</v>
      </c>
      <c r="L166" s="8">
        <v>2019</v>
      </c>
      <c r="M166" s="8"/>
      <c r="N166" s="5" t="s">
        <v>46</v>
      </c>
      <c r="O166" s="5" t="s">
        <v>420</v>
      </c>
      <c r="P166" s="5" t="s">
        <v>941</v>
      </c>
      <c r="Q166" s="5" t="s">
        <v>138</v>
      </c>
      <c r="R166" s="9" t="s">
        <v>942</v>
      </c>
    </row>
    <row r="167" spans="1:18" ht="14.45">
      <c r="A167" s="5" t="s">
        <v>936</v>
      </c>
      <c r="B167" s="5" t="s">
        <v>943</v>
      </c>
      <c r="C167" s="5" t="s">
        <v>207</v>
      </c>
      <c r="D167" s="8">
        <v>4</v>
      </c>
      <c r="E167" s="8" t="s">
        <v>42</v>
      </c>
      <c r="F167" s="8">
        <v>30</v>
      </c>
      <c r="G167" s="8">
        <f>D167*F167</f>
        <v>120</v>
      </c>
      <c r="H167" s="8">
        <v>550000</v>
      </c>
      <c r="I167" s="8" t="s">
        <v>816</v>
      </c>
      <c r="J167" s="8" t="s">
        <v>939</v>
      </c>
      <c r="K167" s="5" t="s">
        <v>940</v>
      </c>
      <c r="L167" s="8">
        <v>2023</v>
      </c>
      <c r="M167" s="8" t="s">
        <v>735</v>
      </c>
      <c r="N167" s="5" t="s">
        <v>46</v>
      </c>
      <c r="O167" s="5" t="s">
        <v>420</v>
      </c>
      <c r="P167" s="5" t="s">
        <v>944</v>
      </c>
      <c r="Q167" s="5" t="s">
        <v>138</v>
      </c>
      <c r="R167" s="18" t="s">
        <v>945</v>
      </c>
    </row>
    <row r="168" spans="1:18">
      <c r="A168" s="5" t="s">
        <v>936</v>
      </c>
      <c r="B168" s="5" t="s">
        <v>946</v>
      </c>
      <c r="C168" s="5" t="s">
        <v>947</v>
      </c>
      <c r="D168" s="5">
        <v>3.8</v>
      </c>
      <c r="E168" s="5" t="s">
        <v>42</v>
      </c>
      <c r="F168" s="5">
        <v>90</v>
      </c>
      <c r="G168" s="5">
        <f>+D168*F168</f>
        <v>342</v>
      </c>
      <c r="H168" s="5">
        <v>34800</v>
      </c>
      <c r="I168" s="12" t="s">
        <v>948</v>
      </c>
      <c r="J168" s="5" t="s">
        <v>208</v>
      </c>
      <c r="K168" s="5" t="s">
        <v>209</v>
      </c>
      <c r="L168" s="5">
        <v>2020</v>
      </c>
      <c r="M168" s="5"/>
      <c r="N168" s="5" t="s">
        <v>949</v>
      </c>
      <c r="O168" s="5" t="s">
        <v>47</v>
      </c>
      <c r="P168" s="5" t="s">
        <v>48</v>
      </c>
      <c r="Q168" s="5" t="s">
        <v>49</v>
      </c>
      <c r="R168" s="5" t="s">
        <v>950</v>
      </c>
    </row>
    <row r="169" spans="1:18" ht="14.45">
      <c r="A169" s="5" t="s">
        <v>936</v>
      </c>
      <c r="B169" s="5" t="s">
        <v>951</v>
      </c>
      <c r="C169" s="5" t="s">
        <v>952</v>
      </c>
      <c r="D169" s="5">
        <v>4</v>
      </c>
      <c r="E169" s="5" t="s">
        <v>42</v>
      </c>
      <c r="F169" s="5">
        <v>90</v>
      </c>
      <c r="G169" s="5">
        <f>+D169*F169</f>
        <v>360</v>
      </c>
      <c r="H169" s="5">
        <v>4000000</v>
      </c>
      <c r="I169" s="12" t="s">
        <v>953</v>
      </c>
      <c r="J169" s="5" t="s">
        <v>88</v>
      </c>
      <c r="K169" s="5" t="s">
        <v>89</v>
      </c>
      <c r="L169" s="5" t="s">
        <v>595</v>
      </c>
      <c r="M169" s="5"/>
      <c r="N169" s="5" t="s">
        <v>46</v>
      </c>
      <c r="O169" s="12" t="s">
        <v>338</v>
      </c>
      <c r="P169" s="5" t="s">
        <v>459</v>
      </c>
      <c r="Q169" s="5" t="s">
        <v>49</v>
      </c>
      <c r="R169" s="29" t="s">
        <v>954</v>
      </c>
    </row>
    <row r="170" spans="1:18">
      <c r="A170" s="5" t="s">
        <v>936</v>
      </c>
      <c r="B170" s="5" t="s">
        <v>955</v>
      </c>
      <c r="C170" s="5" t="s">
        <v>956</v>
      </c>
      <c r="D170" s="8">
        <v>20</v>
      </c>
      <c r="E170" s="8" t="s">
        <v>77</v>
      </c>
      <c r="F170" s="8">
        <v>30</v>
      </c>
      <c r="G170" s="8">
        <f>D170*F170</f>
        <v>600</v>
      </c>
      <c r="H170" s="8"/>
      <c r="I170" s="8" t="s">
        <v>315</v>
      </c>
      <c r="J170" s="8"/>
      <c r="K170" s="5"/>
      <c r="L170" s="8">
        <v>2019</v>
      </c>
      <c r="M170" s="8"/>
      <c r="N170" s="5" t="s">
        <v>178</v>
      </c>
      <c r="O170" s="5" t="s">
        <v>116</v>
      </c>
      <c r="P170" s="5" t="s">
        <v>941</v>
      </c>
      <c r="Q170" s="5" t="s">
        <v>49</v>
      </c>
      <c r="R170" s="9" t="s">
        <v>957</v>
      </c>
    </row>
    <row r="171" spans="1:18">
      <c r="A171" s="5" t="s">
        <v>936</v>
      </c>
      <c r="B171" s="5" t="s">
        <v>958</v>
      </c>
      <c r="C171" s="5" t="s">
        <v>959</v>
      </c>
      <c r="D171" s="5">
        <v>50</v>
      </c>
      <c r="E171" s="5" t="s">
        <v>77</v>
      </c>
      <c r="F171" s="5">
        <v>30</v>
      </c>
      <c r="G171" s="8">
        <f>+D171*F171</f>
        <v>1500</v>
      </c>
      <c r="H171" s="5">
        <v>148000</v>
      </c>
      <c r="I171" s="12" t="s">
        <v>78</v>
      </c>
      <c r="J171" s="5" t="s">
        <v>960</v>
      </c>
      <c r="K171" s="5" t="s">
        <v>961</v>
      </c>
      <c r="L171" s="5">
        <v>2021</v>
      </c>
      <c r="M171" s="5"/>
      <c r="N171" s="5" t="s">
        <v>81</v>
      </c>
      <c r="O171" s="5" t="s">
        <v>72</v>
      </c>
      <c r="P171" s="5" t="s">
        <v>48</v>
      </c>
      <c r="Q171" s="5" t="s">
        <v>49</v>
      </c>
      <c r="R171" s="14" t="s">
        <v>962</v>
      </c>
    </row>
    <row r="172" spans="1:18">
      <c r="A172" s="5" t="s">
        <v>936</v>
      </c>
      <c r="B172" s="5" t="s">
        <v>963</v>
      </c>
      <c r="C172" s="5" t="s">
        <v>964</v>
      </c>
      <c r="D172" s="8">
        <v>50</v>
      </c>
      <c r="E172" s="8" t="s">
        <v>132</v>
      </c>
      <c r="F172" s="8">
        <v>30</v>
      </c>
      <c r="G172" s="8">
        <f t="shared" ref="G172:G179" si="11">D172*F172</f>
        <v>1500</v>
      </c>
      <c r="H172" s="8">
        <v>25000</v>
      </c>
      <c r="I172" s="8" t="s">
        <v>798</v>
      </c>
      <c r="J172" s="8" t="s">
        <v>965</v>
      </c>
      <c r="K172" s="5" t="s">
        <v>966</v>
      </c>
      <c r="L172" s="8" t="s">
        <v>595</v>
      </c>
      <c r="M172" s="8"/>
      <c r="N172" s="5" t="s">
        <v>136</v>
      </c>
      <c r="O172" s="5" t="s">
        <v>420</v>
      </c>
      <c r="P172" s="5" t="s">
        <v>941</v>
      </c>
      <c r="Q172" s="5" t="s">
        <v>138</v>
      </c>
      <c r="R172" s="9" t="s">
        <v>967</v>
      </c>
    </row>
    <row r="173" spans="1:18">
      <c r="A173" s="5" t="s">
        <v>936</v>
      </c>
      <c r="B173" s="5" t="s">
        <v>968</v>
      </c>
      <c r="C173" s="5" t="s">
        <v>969</v>
      </c>
      <c r="D173" s="8">
        <v>10</v>
      </c>
      <c r="E173" s="8" t="s">
        <v>42</v>
      </c>
      <c r="F173" s="8">
        <v>30</v>
      </c>
      <c r="G173" s="8">
        <f t="shared" si="11"/>
        <v>300</v>
      </c>
      <c r="H173" s="8">
        <v>99000</v>
      </c>
      <c r="I173" s="8" t="s">
        <v>970</v>
      </c>
      <c r="J173" s="8" t="s">
        <v>971</v>
      </c>
      <c r="K173" s="5" t="s">
        <v>972</v>
      </c>
      <c r="L173" s="8">
        <v>2018</v>
      </c>
      <c r="M173" s="8"/>
      <c r="N173" s="5" t="s">
        <v>400</v>
      </c>
      <c r="O173" s="5" t="s">
        <v>420</v>
      </c>
      <c r="P173" s="5" t="s">
        <v>941</v>
      </c>
      <c r="Q173" s="5" t="s">
        <v>138</v>
      </c>
      <c r="R173" s="9" t="s">
        <v>973</v>
      </c>
    </row>
    <row r="174" spans="1:18">
      <c r="A174" s="5" t="s">
        <v>936</v>
      </c>
      <c r="B174" s="5" t="s">
        <v>974</v>
      </c>
      <c r="C174" s="5" t="s">
        <v>975</v>
      </c>
      <c r="D174" s="8">
        <v>48</v>
      </c>
      <c r="E174" s="8" t="s">
        <v>42</v>
      </c>
      <c r="F174" s="8">
        <v>5</v>
      </c>
      <c r="G174" s="8">
        <f t="shared" si="11"/>
        <v>240</v>
      </c>
      <c r="H174" s="8">
        <v>110000</v>
      </c>
      <c r="I174" s="17" t="s">
        <v>976</v>
      </c>
      <c r="J174" s="8" t="s">
        <v>977</v>
      </c>
      <c r="K174" s="5" t="s">
        <v>978</v>
      </c>
      <c r="L174" s="8">
        <v>2016</v>
      </c>
      <c r="M174" s="8"/>
      <c r="N174" s="5"/>
      <c r="O174" s="5" t="s">
        <v>420</v>
      </c>
      <c r="P174" s="5" t="s">
        <v>941</v>
      </c>
      <c r="Q174" s="5" t="s">
        <v>138</v>
      </c>
      <c r="R174" s="9" t="s">
        <v>979</v>
      </c>
    </row>
    <row r="175" spans="1:18" ht="14.45">
      <c r="A175" s="5" t="s">
        <v>936</v>
      </c>
      <c r="B175" s="5" t="s">
        <v>980</v>
      </c>
      <c r="C175" s="5" t="s">
        <v>981</v>
      </c>
      <c r="D175" s="8">
        <v>0.7</v>
      </c>
      <c r="E175" s="8" t="s">
        <v>42</v>
      </c>
      <c r="F175" s="8">
        <v>56</v>
      </c>
      <c r="G175" s="8">
        <f t="shared" si="11"/>
        <v>39.199999999999996</v>
      </c>
      <c r="H175" s="8">
        <v>198000</v>
      </c>
      <c r="I175" s="17" t="s">
        <v>982</v>
      </c>
      <c r="J175" s="8" t="s">
        <v>983</v>
      </c>
      <c r="K175" s="5" t="s">
        <v>984</v>
      </c>
      <c r="L175" s="8">
        <v>2024</v>
      </c>
      <c r="M175" s="8" t="s">
        <v>71</v>
      </c>
      <c r="N175" s="5" t="s">
        <v>985</v>
      </c>
      <c r="O175" s="5" t="s">
        <v>420</v>
      </c>
      <c r="P175" s="5" t="s">
        <v>986</v>
      </c>
      <c r="Q175" s="5" t="s">
        <v>138</v>
      </c>
      <c r="R175" s="18" t="s">
        <v>987</v>
      </c>
    </row>
    <row r="176" spans="1:18" ht="14.45">
      <c r="A176" s="5" t="s">
        <v>936</v>
      </c>
      <c r="B176" s="5" t="s">
        <v>988</v>
      </c>
      <c r="C176" s="5" t="s">
        <v>989</v>
      </c>
      <c r="D176" s="8">
        <v>4</v>
      </c>
      <c r="E176" s="8" t="s">
        <v>42</v>
      </c>
      <c r="F176" s="8">
        <v>30</v>
      </c>
      <c r="G176" s="8">
        <f t="shared" si="11"/>
        <v>120</v>
      </c>
      <c r="H176" s="8">
        <v>250000</v>
      </c>
      <c r="I176" s="17" t="s">
        <v>816</v>
      </c>
      <c r="J176" s="5" t="s">
        <v>990</v>
      </c>
      <c r="K176" s="5" t="s">
        <v>991</v>
      </c>
      <c r="L176" s="8">
        <v>2025</v>
      </c>
      <c r="M176" s="8" t="s">
        <v>8</v>
      </c>
      <c r="N176" s="5" t="s">
        <v>46</v>
      </c>
      <c r="O176" s="5" t="s">
        <v>420</v>
      </c>
      <c r="P176" s="5" t="s">
        <v>986</v>
      </c>
      <c r="Q176" s="5" t="s">
        <v>138</v>
      </c>
      <c r="R176" s="18" t="s">
        <v>992</v>
      </c>
    </row>
    <row r="177" spans="1:18" ht="14.45">
      <c r="A177" s="5" t="s">
        <v>936</v>
      </c>
      <c r="B177" s="5" t="s">
        <v>993</v>
      </c>
      <c r="C177" s="5" t="s">
        <v>994</v>
      </c>
      <c r="D177" s="8">
        <v>4.25</v>
      </c>
      <c r="E177" s="8" t="s">
        <v>42</v>
      </c>
      <c r="F177" s="8">
        <v>10</v>
      </c>
      <c r="G177" s="8">
        <f t="shared" si="11"/>
        <v>42.5</v>
      </c>
      <c r="H177" s="8">
        <v>380000</v>
      </c>
      <c r="I177" s="17" t="s">
        <v>995</v>
      </c>
      <c r="J177" s="5" t="s">
        <v>990</v>
      </c>
      <c r="K177" s="5" t="s">
        <v>991</v>
      </c>
      <c r="L177" s="8">
        <v>2025</v>
      </c>
      <c r="M177" s="8" t="s">
        <v>8</v>
      </c>
      <c r="N177" s="5" t="s">
        <v>46</v>
      </c>
      <c r="O177" s="5" t="s">
        <v>420</v>
      </c>
      <c r="P177" s="5" t="s">
        <v>986</v>
      </c>
      <c r="Q177" s="5" t="s">
        <v>138</v>
      </c>
      <c r="R177" s="18" t="s">
        <v>996</v>
      </c>
    </row>
    <row r="178" spans="1:18" ht="14.45">
      <c r="A178" s="5" t="s">
        <v>936</v>
      </c>
      <c r="B178" s="5" t="s">
        <v>997</v>
      </c>
      <c r="C178" s="5" t="s">
        <v>998</v>
      </c>
      <c r="D178" s="8">
        <v>20</v>
      </c>
      <c r="E178" s="8" t="s">
        <v>42</v>
      </c>
      <c r="F178" s="8">
        <v>30</v>
      </c>
      <c r="G178" s="8">
        <f t="shared" si="11"/>
        <v>600</v>
      </c>
      <c r="H178" s="8">
        <v>250000</v>
      </c>
      <c r="I178" s="8" t="s">
        <v>537</v>
      </c>
      <c r="J178" s="5" t="s">
        <v>999</v>
      </c>
      <c r="K178" s="5" t="s">
        <v>1000</v>
      </c>
      <c r="L178" s="8">
        <v>2025</v>
      </c>
      <c r="M178" s="8" t="s">
        <v>8</v>
      </c>
      <c r="N178" s="5" t="s">
        <v>95</v>
      </c>
      <c r="O178" s="5" t="s">
        <v>420</v>
      </c>
      <c r="P178" s="5" t="s">
        <v>986</v>
      </c>
      <c r="Q178" s="5" t="s">
        <v>138</v>
      </c>
      <c r="R178" s="18" t="s">
        <v>1001</v>
      </c>
    </row>
    <row r="179" spans="1:18" ht="14.45">
      <c r="A179" s="5" t="s">
        <v>936</v>
      </c>
      <c r="B179" s="5" t="s">
        <v>1002</v>
      </c>
      <c r="C179" s="5" t="s">
        <v>1003</v>
      </c>
      <c r="D179" s="8">
        <v>80</v>
      </c>
      <c r="E179" s="8" t="s">
        <v>77</v>
      </c>
      <c r="F179" s="8">
        <v>30</v>
      </c>
      <c r="G179" s="8">
        <f t="shared" si="11"/>
        <v>2400</v>
      </c>
      <c r="H179" s="8">
        <v>190000</v>
      </c>
      <c r="I179" s="8" t="s">
        <v>1004</v>
      </c>
      <c r="J179" s="5" t="s">
        <v>1005</v>
      </c>
      <c r="K179" s="5" t="s">
        <v>1006</v>
      </c>
      <c r="L179" s="8">
        <v>2025</v>
      </c>
      <c r="M179" s="8" t="s">
        <v>8</v>
      </c>
      <c r="N179" s="5" t="s">
        <v>81</v>
      </c>
      <c r="O179" s="5" t="s">
        <v>420</v>
      </c>
      <c r="P179" s="5" t="s">
        <v>986</v>
      </c>
      <c r="Q179" s="5" t="s">
        <v>138</v>
      </c>
      <c r="R179" s="18" t="s">
        <v>1007</v>
      </c>
    </row>
    <row r="180" spans="1:18">
      <c r="A180" s="5" t="s">
        <v>1008</v>
      </c>
      <c r="B180" s="5" t="s">
        <v>1009</v>
      </c>
      <c r="C180" s="5" t="s">
        <v>1010</v>
      </c>
      <c r="D180" s="5">
        <v>75</v>
      </c>
      <c r="E180" s="5" t="s">
        <v>77</v>
      </c>
      <c r="F180" s="5">
        <v>60</v>
      </c>
      <c r="G180" s="5">
        <f>+D180*F180</f>
        <v>4500</v>
      </c>
      <c r="H180" s="5">
        <v>55000</v>
      </c>
      <c r="I180" s="5" t="s">
        <v>1011</v>
      </c>
      <c r="J180" s="5" t="s">
        <v>1012</v>
      </c>
      <c r="K180" s="5" t="s">
        <v>1013</v>
      </c>
      <c r="L180" s="5">
        <v>2022</v>
      </c>
      <c r="M180" s="5"/>
      <c r="N180" s="5" t="s">
        <v>81</v>
      </c>
      <c r="O180" s="5" t="s">
        <v>47</v>
      </c>
      <c r="P180" s="5" t="s">
        <v>48</v>
      </c>
      <c r="Q180" s="5" t="s">
        <v>49</v>
      </c>
      <c r="R180" s="9" t="s">
        <v>1014</v>
      </c>
    </row>
    <row r="181" spans="1:18">
      <c r="A181" s="5" t="s">
        <v>1015</v>
      </c>
      <c r="B181" s="5" t="s">
        <v>1016</v>
      </c>
      <c r="C181" s="5" t="s">
        <v>1017</v>
      </c>
      <c r="D181" s="8">
        <v>20</v>
      </c>
      <c r="E181" s="8" t="s">
        <v>77</v>
      </c>
      <c r="F181" s="8">
        <v>5</v>
      </c>
      <c r="G181" s="8">
        <f>D181*F181</f>
        <v>100</v>
      </c>
      <c r="H181" s="8">
        <v>58000</v>
      </c>
      <c r="I181" s="8" t="s">
        <v>315</v>
      </c>
      <c r="J181" s="8" t="s">
        <v>1018</v>
      </c>
      <c r="K181" s="5" t="s">
        <v>1019</v>
      </c>
      <c r="L181" s="8">
        <v>2018</v>
      </c>
      <c r="M181" s="8"/>
      <c r="N181" s="5" t="s">
        <v>57</v>
      </c>
      <c r="O181" s="5" t="s">
        <v>47</v>
      </c>
      <c r="P181" s="5" t="s">
        <v>48</v>
      </c>
      <c r="Q181" s="5" t="s">
        <v>49</v>
      </c>
      <c r="R181" s="9"/>
    </row>
    <row r="182" spans="1:18">
      <c r="A182" s="5" t="s">
        <v>1015</v>
      </c>
      <c r="B182" s="5" t="s">
        <v>1020</v>
      </c>
      <c r="C182" s="5" t="s">
        <v>1021</v>
      </c>
      <c r="D182" s="8">
        <v>3.75</v>
      </c>
      <c r="E182" s="8" t="s">
        <v>42</v>
      </c>
      <c r="F182" s="8">
        <v>30</v>
      </c>
      <c r="G182" s="8">
        <f>D182*F182</f>
        <v>112.5</v>
      </c>
      <c r="H182" s="8">
        <v>298000</v>
      </c>
      <c r="I182" s="8" t="s">
        <v>1022</v>
      </c>
      <c r="J182" s="8" t="s">
        <v>451</v>
      </c>
      <c r="K182" s="5" t="s">
        <v>1023</v>
      </c>
      <c r="L182" s="8">
        <v>2018</v>
      </c>
      <c r="M182" s="8"/>
      <c r="N182" s="5" t="s">
        <v>46</v>
      </c>
      <c r="O182" s="5" t="s">
        <v>47</v>
      </c>
      <c r="P182" s="5" t="s">
        <v>48</v>
      </c>
      <c r="Q182" s="5" t="s">
        <v>49</v>
      </c>
      <c r="R182" s="9" t="s">
        <v>1024</v>
      </c>
    </row>
    <row r="183" spans="1:18">
      <c r="A183" s="5" t="s">
        <v>1015</v>
      </c>
      <c r="B183" s="5" t="s">
        <v>1025</v>
      </c>
      <c r="C183" s="5" t="s">
        <v>1026</v>
      </c>
      <c r="D183" s="8">
        <v>4.17</v>
      </c>
      <c r="E183" s="8" t="s">
        <v>42</v>
      </c>
      <c r="F183" s="8">
        <v>5</v>
      </c>
      <c r="G183" s="8">
        <f>D183*F183</f>
        <v>20.85</v>
      </c>
      <c r="H183" s="8">
        <v>129000</v>
      </c>
      <c r="I183" s="8" t="s">
        <v>1027</v>
      </c>
      <c r="J183" s="8" t="s">
        <v>1028</v>
      </c>
      <c r="K183" s="5" t="s">
        <v>1029</v>
      </c>
      <c r="L183" s="8">
        <v>2018</v>
      </c>
      <c r="M183" s="8"/>
      <c r="N183" s="5" t="s">
        <v>46</v>
      </c>
      <c r="O183" s="5" t="s">
        <v>47</v>
      </c>
      <c r="P183" s="5" t="s">
        <v>48</v>
      </c>
      <c r="Q183" s="5" t="s">
        <v>49</v>
      </c>
      <c r="R183" s="9"/>
    </row>
    <row r="184" spans="1:18">
      <c r="A184" s="5" t="s">
        <v>1015</v>
      </c>
      <c r="B184" s="5" t="s">
        <v>1030</v>
      </c>
      <c r="C184" s="5" t="s">
        <v>1031</v>
      </c>
      <c r="D184" s="5">
        <v>3.75</v>
      </c>
      <c r="E184" s="5" t="s">
        <v>42</v>
      </c>
      <c r="F184" s="5">
        <v>60</v>
      </c>
      <c r="G184" s="5">
        <f>+D184*F184</f>
        <v>225</v>
      </c>
      <c r="H184" s="5">
        <v>198000</v>
      </c>
      <c r="I184" s="5" t="s">
        <v>43</v>
      </c>
      <c r="J184" s="5" t="s">
        <v>1032</v>
      </c>
      <c r="K184" s="5" t="s">
        <v>1033</v>
      </c>
      <c r="L184" s="5">
        <v>2020</v>
      </c>
      <c r="M184" s="5"/>
      <c r="N184" s="5" t="s">
        <v>46</v>
      </c>
      <c r="O184" s="5" t="s">
        <v>47</v>
      </c>
      <c r="P184" s="5" t="s">
        <v>1034</v>
      </c>
      <c r="Q184" s="5" t="s">
        <v>49</v>
      </c>
      <c r="R184" s="9" t="s">
        <v>1035</v>
      </c>
    </row>
    <row r="185" spans="1:18">
      <c r="A185" s="5" t="s">
        <v>1015</v>
      </c>
      <c r="B185" s="5" t="s">
        <v>1036</v>
      </c>
      <c r="C185" s="5" t="s">
        <v>1037</v>
      </c>
      <c r="D185" s="5">
        <v>3.5</v>
      </c>
      <c r="E185" s="5" t="s">
        <v>42</v>
      </c>
      <c r="F185" s="5">
        <v>100</v>
      </c>
      <c r="G185" s="5">
        <f>+D185*F185</f>
        <v>350</v>
      </c>
      <c r="H185" s="5">
        <v>699000</v>
      </c>
      <c r="I185" s="5" t="s">
        <v>1038</v>
      </c>
      <c r="J185" s="5" t="s">
        <v>1039</v>
      </c>
      <c r="K185" s="5" t="s">
        <v>1040</v>
      </c>
      <c r="L185" s="5">
        <v>2020</v>
      </c>
      <c r="M185" s="5"/>
      <c r="N185" s="5" t="s">
        <v>46</v>
      </c>
      <c r="O185" s="5" t="s">
        <v>47</v>
      </c>
      <c r="P185" s="5" t="s">
        <v>1041</v>
      </c>
      <c r="Q185" s="5" t="s">
        <v>49</v>
      </c>
      <c r="R185" s="9" t="s">
        <v>1042</v>
      </c>
    </row>
    <row r="186" spans="1:18">
      <c r="A186" s="5" t="s">
        <v>1015</v>
      </c>
      <c r="B186" s="5" t="s">
        <v>1043</v>
      </c>
      <c r="C186" s="5" t="s">
        <v>1044</v>
      </c>
      <c r="D186" s="5">
        <v>4</v>
      </c>
      <c r="E186" s="5" t="s">
        <v>42</v>
      </c>
      <c r="F186" s="5">
        <v>60</v>
      </c>
      <c r="G186" s="5">
        <f>+D186*F186</f>
        <v>240</v>
      </c>
      <c r="H186" s="5">
        <v>198000</v>
      </c>
      <c r="I186" s="5" t="s">
        <v>816</v>
      </c>
      <c r="J186" s="5" t="s">
        <v>1045</v>
      </c>
      <c r="K186" s="5" t="s">
        <v>1046</v>
      </c>
      <c r="L186" s="5">
        <v>2020</v>
      </c>
      <c r="M186" s="5"/>
      <c r="N186" s="5" t="s">
        <v>46</v>
      </c>
      <c r="O186" s="5" t="s">
        <v>47</v>
      </c>
      <c r="P186" s="5" t="s">
        <v>1041</v>
      </c>
      <c r="Q186" s="5" t="s">
        <v>49</v>
      </c>
      <c r="R186" s="9" t="s">
        <v>1047</v>
      </c>
    </row>
    <row r="187" spans="1:18">
      <c r="A187" s="5" t="s">
        <v>1015</v>
      </c>
      <c r="B187" s="5" t="s">
        <v>1048</v>
      </c>
      <c r="C187" s="5" t="s">
        <v>1049</v>
      </c>
      <c r="D187" s="8">
        <v>1</v>
      </c>
      <c r="E187" s="8" t="s">
        <v>1050</v>
      </c>
      <c r="F187" s="8">
        <v>1</v>
      </c>
      <c r="G187" s="8">
        <f t="shared" ref="G187:G192" si="12">D187*F187</f>
        <v>1</v>
      </c>
      <c r="H187" s="8">
        <v>298000</v>
      </c>
      <c r="I187" s="8" t="s">
        <v>610</v>
      </c>
      <c r="J187" s="8" t="s">
        <v>1051</v>
      </c>
      <c r="K187" s="5" t="s">
        <v>1052</v>
      </c>
      <c r="L187" s="8">
        <v>2018</v>
      </c>
      <c r="M187" s="8"/>
      <c r="N187" s="5" t="s">
        <v>1053</v>
      </c>
      <c r="O187" s="5" t="s">
        <v>47</v>
      </c>
      <c r="P187" s="5" t="s">
        <v>48</v>
      </c>
      <c r="Q187" s="5" t="s">
        <v>49</v>
      </c>
      <c r="R187" s="9"/>
    </row>
    <row r="188" spans="1:18">
      <c r="A188" s="5" t="s">
        <v>1015</v>
      </c>
      <c r="B188" s="5" t="s">
        <v>1054</v>
      </c>
      <c r="C188" s="5" t="s">
        <v>1055</v>
      </c>
      <c r="D188" s="8">
        <v>50</v>
      </c>
      <c r="E188" s="8" t="s">
        <v>42</v>
      </c>
      <c r="F188" s="8">
        <v>1</v>
      </c>
      <c r="G188" s="8">
        <f t="shared" si="12"/>
        <v>50</v>
      </c>
      <c r="H188" s="8">
        <v>90000</v>
      </c>
      <c r="I188" s="8" t="s">
        <v>1056</v>
      </c>
      <c r="J188" s="8" t="s">
        <v>451</v>
      </c>
      <c r="K188" s="5" t="s">
        <v>452</v>
      </c>
      <c r="L188" s="8">
        <v>2018</v>
      </c>
      <c r="M188" s="8"/>
      <c r="N188" s="5" t="s">
        <v>1053</v>
      </c>
      <c r="O188" s="5" t="s">
        <v>47</v>
      </c>
      <c r="P188" s="5" t="s">
        <v>48</v>
      </c>
      <c r="Q188" s="5" t="s">
        <v>49</v>
      </c>
      <c r="R188" s="9"/>
    </row>
    <row r="189" spans="1:18">
      <c r="A189" s="5" t="s">
        <v>1015</v>
      </c>
      <c r="B189" s="5" t="s">
        <v>1057</v>
      </c>
      <c r="C189" s="5" t="s">
        <v>1058</v>
      </c>
      <c r="D189" s="8">
        <v>100</v>
      </c>
      <c r="E189" s="8" t="s">
        <v>77</v>
      </c>
      <c r="F189" s="8">
        <v>3</v>
      </c>
      <c r="G189" s="8">
        <f t="shared" si="12"/>
        <v>300</v>
      </c>
      <c r="H189" s="8">
        <v>300000</v>
      </c>
      <c r="I189" s="8"/>
      <c r="J189" s="8"/>
      <c r="K189" s="5"/>
      <c r="L189" s="8">
        <v>2018</v>
      </c>
      <c r="M189" s="8"/>
      <c r="N189" s="5" t="s">
        <v>1053</v>
      </c>
      <c r="O189" s="5" t="s">
        <v>47</v>
      </c>
      <c r="P189" s="5" t="s">
        <v>48</v>
      </c>
      <c r="Q189" s="5" t="s">
        <v>49</v>
      </c>
      <c r="R189" s="9"/>
    </row>
    <row r="190" spans="1:18" s="5" customFormat="1">
      <c r="A190" s="5" t="s">
        <v>1015</v>
      </c>
      <c r="B190" s="5" t="s">
        <v>1059</v>
      </c>
      <c r="C190" s="5" t="s">
        <v>1060</v>
      </c>
      <c r="D190" s="8">
        <v>70</v>
      </c>
      <c r="E190" s="8" t="s">
        <v>77</v>
      </c>
      <c r="F190" s="8">
        <v>30</v>
      </c>
      <c r="G190" s="8">
        <f t="shared" si="12"/>
        <v>2100</v>
      </c>
      <c r="H190" s="8">
        <v>158000</v>
      </c>
      <c r="I190" s="8" t="s">
        <v>640</v>
      </c>
      <c r="J190" s="8" t="s">
        <v>1051</v>
      </c>
      <c r="K190" s="5" t="s">
        <v>1061</v>
      </c>
      <c r="L190" s="8">
        <v>2018</v>
      </c>
      <c r="M190" s="8"/>
      <c r="N190" s="5" t="s">
        <v>81</v>
      </c>
      <c r="O190" s="5" t="s">
        <v>47</v>
      </c>
      <c r="P190" s="5" t="s">
        <v>48</v>
      </c>
      <c r="Q190" s="5" t="s">
        <v>49</v>
      </c>
      <c r="R190" s="9"/>
    </row>
    <row r="191" spans="1:18">
      <c r="A191" s="5" t="s">
        <v>1015</v>
      </c>
      <c r="B191" s="5" t="s">
        <v>1062</v>
      </c>
      <c r="C191" s="5" t="s">
        <v>1063</v>
      </c>
      <c r="D191" s="8">
        <v>20</v>
      </c>
      <c r="E191" s="8" t="s">
        <v>77</v>
      </c>
      <c r="F191" s="8">
        <v>30</v>
      </c>
      <c r="G191" s="8">
        <f t="shared" si="12"/>
        <v>600</v>
      </c>
      <c r="H191" s="8">
        <v>99000</v>
      </c>
      <c r="I191" s="8" t="s">
        <v>315</v>
      </c>
      <c r="J191" s="8" t="s">
        <v>1064</v>
      </c>
      <c r="K191" s="5" t="s">
        <v>1065</v>
      </c>
      <c r="L191" s="8">
        <v>2018</v>
      </c>
      <c r="M191" s="8"/>
      <c r="N191" s="5" t="s">
        <v>81</v>
      </c>
      <c r="O191" s="5" t="s">
        <v>47</v>
      </c>
      <c r="P191" s="5" t="s">
        <v>48</v>
      </c>
      <c r="Q191" s="5" t="s">
        <v>218</v>
      </c>
      <c r="R191" s="9"/>
    </row>
    <row r="192" spans="1:18">
      <c r="A192" s="5" t="s">
        <v>1015</v>
      </c>
      <c r="B192" s="5" t="s">
        <v>1066</v>
      </c>
      <c r="C192" s="5" t="s">
        <v>1067</v>
      </c>
      <c r="D192" s="8">
        <v>60</v>
      </c>
      <c r="E192" s="8" t="s">
        <v>77</v>
      </c>
      <c r="F192" s="8">
        <v>30</v>
      </c>
      <c r="G192" s="8">
        <f t="shared" si="12"/>
        <v>1800</v>
      </c>
      <c r="H192" s="8">
        <v>85000</v>
      </c>
      <c r="I192" s="8" t="s">
        <v>292</v>
      </c>
      <c r="J192" s="8" t="s">
        <v>1068</v>
      </c>
      <c r="K192" s="5" t="s">
        <v>1069</v>
      </c>
      <c r="L192" s="8">
        <v>2018</v>
      </c>
      <c r="M192" s="8"/>
      <c r="N192" s="5" t="s">
        <v>81</v>
      </c>
      <c r="O192" s="5" t="s">
        <v>47</v>
      </c>
      <c r="P192" s="5" t="s">
        <v>48</v>
      </c>
      <c r="Q192" s="5" t="s">
        <v>49</v>
      </c>
      <c r="R192" s="9"/>
    </row>
    <row r="193" spans="1:18">
      <c r="A193" s="5" t="s">
        <v>1015</v>
      </c>
      <c r="B193" s="5" t="s">
        <v>1070</v>
      </c>
      <c r="C193" s="5" t="s">
        <v>1071</v>
      </c>
      <c r="D193" s="5">
        <v>50</v>
      </c>
      <c r="E193" s="5" t="s">
        <v>77</v>
      </c>
      <c r="F193" s="5">
        <v>30</v>
      </c>
      <c r="G193" s="8">
        <f>+D193*F193</f>
        <v>1500</v>
      </c>
      <c r="H193" s="5">
        <v>40000</v>
      </c>
      <c r="I193" s="5" t="s">
        <v>78</v>
      </c>
      <c r="J193" s="5" t="s">
        <v>1072</v>
      </c>
      <c r="K193" s="5" t="s">
        <v>1073</v>
      </c>
      <c r="L193" s="5">
        <v>2020</v>
      </c>
      <c r="M193" s="5"/>
      <c r="N193" s="5" t="s">
        <v>81</v>
      </c>
      <c r="O193" s="5" t="s">
        <v>47</v>
      </c>
      <c r="P193" s="5" t="s">
        <v>1041</v>
      </c>
      <c r="Q193" s="5" t="s">
        <v>49</v>
      </c>
      <c r="R193" s="9" t="s">
        <v>1074</v>
      </c>
    </row>
    <row r="194" spans="1:18">
      <c r="A194" s="5" t="s">
        <v>1015</v>
      </c>
      <c r="B194" s="5" t="s">
        <v>1075</v>
      </c>
      <c r="C194" s="5" t="s">
        <v>1076</v>
      </c>
      <c r="D194" s="8">
        <v>30</v>
      </c>
      <c r="E194" s="8" t="s">
        <v>42</v>
      </c>
      <c r="F194" s="8">
        <v>50</v>
      </c>
      <c r="G194" s="8">
        <f>D194*F194</f>
        <v>1500</v>
      </c>
      <c r="H194" s="8">
        <v>93100</v>
      </c>
      <c r="I194" s="8"/>
      <c r="J194" s="8" t="s">
        <v>1077</v>
      </c>
      <c r="K194" s="5" t="s">
        <v>1078</v>
      </c>
      <c r="L194" s="8">
        <v>2019</v>
      </c>
      <c r="M194" s="8"/>
      <c r="N194" s="5" t="s">
        <v>81</v>
      </c>
      <c r="O194" s="5" t="s">
        <v>47</v>
      </c>
      <c r="P194" s="5" t="s">
        <v>48</v>
      </c>
      <c r="Q194" s="5" t="s">
        <v>1079</v>
      </c>
      <c r="R194" s="9" t="s">
        <v>1080</v>
      </c>
    </row>
    <row r="195" spans="1:18">
      <c r="A195" s="5" t="s">
        <v>1015</v>
      </c>
      <c r="B195" s="5" t="s">
        <v>1081</v>
      </c>
      <c r="C195" s="5" t="s">
        <v>1082</v>
      </c>
      <c r="D195" s="5">
        <v>1.8</v>
      </c>
      <c r="E195" s="5" t="s">
        <v>42</v>
      </c>
      <c r="F195" s="5">
        <v>90</v>
      </c>
      <c r="G195" s="5">
        <f>+D195*F195</f>
        <v>162</v>
      </c>
      <c r="H195" s="5">
        <v>179000</v>
      </c>
      <c r="I195" s="5" t="s">
        <v>1083</v>
      </c>
      <c r="J195" s="5" t="s">
        <v>1084</v>
      </c>
      <c r="K195" s="5" t="s">
        <v>1085</v>
      </c>
      <c r="L195" s="5">
        <v>2020</v>
      </c>
      <c r="M195" s="5"/>
      <c r="N195" s="5" t="s">
        <v>1086</v>
      </c>
      <c r="O195" s="5" t="s">
        <v>47</v>
      </c>
      <c r="P195" s="5" t="s">
        <v>1041</v>
      </c>
      <c r="Q195" s="5" t="s">
        <v>83</v>
      </c>
      <c r="R195" s="9" t="s">
        <v>1087</v>
      </c>
    </row>
    <row r="196" spans="1:18">
      <c r="A196" s="5" t="s">
        <v>1015</v>
      </c>
      <c r="B196" s="5" t="s">
        <v>1088</v>
      </c>
      <c r="C196" s="5" t="s">
        <v>1089</v>
      </c>
      <c r="D196" s="8">
        <v>10</v>
      </c>
      <c r="E196" s="8" t="s">
        <v>42</v>
      </c>
      <c r="F196" s="8">
        <v>30</v>
      </c>
      <c r="G196" s="8">
        <f t="shared" ref="G196:G202" si="13">D196*F196</f>
        <v>300</v>
      </c>
      <c r="H196" s="8">
        <v>138000</v>
      </c>
      <c r="I196" s="8" t="s">
        <v>168</v>
      </c>
      <c r="J196" s="8" t="s">
        <v>1090</v>
      </c>
      <c r="K196" s="5" t="s">
        <v>1091</v>
      </c>
      <c r="L196" s="8">
        <v>2018</v>
      </c>
      <c r="M196" s="8"/>
      <c r="N196" s="5" t="s">
        <v>95</v>
      </c>
      <c r="O196" s="5" t="s">
        <v>47</v>
      </c>
      <c r="P196" s="5" t="s">
        <v>48</v>
      </c>
      <c r="Q196" s="5" t="s">
        <v>49</v>
      </c>
      <c r="R196" s="9"/>
    </row>
    <row r="197" spans="1:18">
      <c r="A197" s="5" t="s">
        <v>1015</v>
      </c>
      <c r="B197" s="5" t="s">
        <v>1092</v>
      </c>
      <c r="C197" s="5" t="s">
        <v>1093</v>
      </c>
      <c r="D197" s="8">
        <v>120</v>
      </c>
      <c r="E197" s="8" t="s">
        <v>121</v>
      </c>
      <c r="F197" s="8">
        <v>2</v>
      </c>
      <c r="G197" s="8">
        <f t="shared" si="13"/>
        <v>240</v>
      </c>
      <c r="H197" s="8">
        <v>74100</v>
      </c>
      <c r="I197" s="8"/>
      <c r="J197" s="8" t="s">
        <v>1094</v>
      </c>
      <c r="K197" s="5" t="s">
        <v>1095</v>
      </c>
      <c r="L197" s="8">
        <v>2019</v>
      </c>
      <c r="M197" s="8"/>
      <c r="N197" s="5"/>
      <c r="O197" s="5" t="s">
        <v>47</v>
      </c>
      <c r="P197" s="5" t="s">
        <v>48</v>
      </c>
      <c r="Q197" s="5" t="s">
        <v>49</v>
      </c>
      <c r="R197" s="9" t="s">
        <v>1096</v>
      </c>
    </row>
    <row r="198" spans="1:18">
      <c r="A198" s="5" t="s">
        <v>1097</v>
      </c>
      <c r="B198" s="4" t="s">
        <v>1098</v>
      </c>
      <c r="C198" s="4" t="s">
        <v>1099</v>
      </c>
      <c r="D198" s="7">
        <v>20</v>
      </c>
      <c r="E198" s="7" t="s">
        <v>132</v>
      </c>
      <c r="F198" s="7">
        <v>30</v>
      </c>
      <c r="G198" s="7">
        <f t="shared" si="13"/>
        <v>600</v>
      </c>
      <c r="H198" s="7">
        <v>100000</v>
      </c>
      <c r="I198" s="7" t="s">
        <v>750</v>
      </c>
      <c r="J198" s="7" t="s">
        <v>1100</v>
      </c>
      <c r="K198" s="5" t="s">
        <v>1101</v>
      </c>
      <c r="L198" s="7">
        <v>2012</v>
      </c>
      <c r="M198" s="7"/>
      <c r="N198" s="4" t="s">
        <v>136</v>
      </c>
      <c r="O198" s="4" t="s">
        <v>420</v>
      </c>
      <c r="P198" s="5" t="s">
        <v>1102</v>
      </c>
      <c r="Q198" s="4" t="s">
        <v>740</v>
      </c>
      <c r="R198" s="9" t="s">
        <v>1103</v>
      </c>
    </row>
    <row r="199" spans="1:18">
      <c r="A199" s="5" t="s">
        <v>1097</v>
      </c>
      <c r="B199" s="4" t="s">
        <v>1104</v>
      </c>
      <c r="C199" s="4" t="s">
        <v>1105</v>
      </c>
      <c r="D199" s="7">
        <v>70</v>
      </c>
      <c r="E199" s="7" t="s">
        <v>132</v>
      </c>
      <c r="F199" s="7">
        <v>30</v>
      </c>
      <c r="G199" s="7">
        <f t="shared" si="13"/>
        <v>2100</v>
      </c>
      <c r="H199" s="7">
        <v>180000</v>
      </c>
      <c r="I199" s="7" t="s">
        <v>725</v>
      </c>
      <c r="J199" s="7" t="s">
        <v>1106</v>
      </c>
      <c r="K199" s="5" t="s">
        <v>1107</v>
      </c>
      <c r="L199" s="7">
        <v>2017</v>
      </c>
      <c r="M199" s="7"/>
      <c r="N199" s="4" t="s">
        <v>136</v>
      </c>
      <c r="O199" s="4" t="s">
        <v>420</v>
      </c>
      <c r="P199" s="5" t="s">
        <v>1102</v>
      </c>
      <c r="Q199" s="4" t="s">
        <v>138</v>
      </c>
      <c r="R199" s="9" t="s">
        <v>1108</v>
      </c>
    </row>
    <row r="200" spans="1:18">
      <c r="A200" s="5" t="s">
        <v>1097</v>
      </c>
      <c r="B200" s="4" t="s">
        <v>1109</v>
      </c>
      <c r="C200" s="4" t="s">
        <v>1110</v>
      </c>
      <c r="D200" s="7">
        <v>100</v>
      </c>
      <c r="E200" s="7" t="s">
        <v>1111</v>
      </c>
      <c r="F200" s="7">
        <v>30</v>
      </c>
      <c r="G200" s="7">
        <f t="shared" si="13"/>
        <v>3000</v>
      </c>
      <c r="H200" s="7">
        <v>140000</v>
      </c>
      <c r="I200" s="7" t="s">
        <v>1112</v>
      </c>
      <c r="J200" s="7" t="s">
        <v>1113</v>
      </c>
      <c r="K200" s="5" t="s">
        <v>1114</v>
      </c>
      <c r="L200" s="7">
        <v>2018</v>
      </c>
      <c r="M200" s="7"/>
      <c r="N200" s="4" t="s">
        <v>400</v>
      </c>
      <c r="O200" s="4" t="s">
        <v>420</v>
      </c>
      <c r="P200" s="5" t="s">
        <v>1102</v>
      </c>
      <c r="Q200" s="4" t="s">
        <v>138</v>
      </c>
      <c r="R200" s="9" t="s">
        <v>1115</v>
      </c>
    </row>
    <row r="201" spans="1:18" ht="14.45">
      <c r="A201" s="5" t="s">
        <v>1097</v>
      </c>
      <c r="B201" s="4" t="s">
        <v>1116</v>
      </c>
      <c r="C201" s="4" t="s">
        <v>1117</v>
      </c>
      <c r="D201" s="7">
        <v>70</v>
      </c>
      <c r="E201" s="7" t="s">
        <v>77</v>
      </c>
      <c r="F201" s="7">
        <v>30</v>
      </c>
      <c r="G201" s="7">
        <f t="shared" si="13"/>
        <v>2100</v>
      </c>
      <c r="H201" s="7">
        <v>79800</v>
      </c>
      <c r="I201" s="7" t="s">
        <v>1118</v>
      </c>
      <c r="J201" s="7" t="s">
        <v>1119</v>
      </c>
      <c r="K201" s="5" t="s">
        <v>1120</v>
      </c>
      <c r="L201" s="7">
        <v>2023</v>
      </c>
      <c r="M201" s="7" t="s">
        <v>13</v>
      </c>
      <c r="N201" s="4" t="s">
        <v>81</v>
      </c>
      <c r="O201" s="4" t="s">
        <v>420</v>
      </c>
      <c r="P201" s="5" t="s">
        <v>1102</v>
      </c>
      <c r="Q201" s="4" t="s">
        <v>138</v>
      </c>
      <c r="R201" s="18" t="s">
        <v>1121</v>
      </c>
    </row>
    <row r="202" spans="1:18" ht="14.45">
      <c r="A202" s="5" t="s">
        <v>1097</v>
      </c>
      <c r="B202" s="4" t="s">
        <v>1122</v>
      </c>
      <c r="C202" s="4" t="s">
        <v>1123</v>
      </c>
      <c r="D202" s="7">
        <v>4.5</v>
      </c>
      <c r="E202" s="7" t="s">
        <v>42</v>
      </c>
      <c r="F202" s="7">
        <v>30</v>
      </c>
      <c r="G202" s="7">
        <f t="shared" si="13"/>
        <v>135</v>
      </c>
      <c r="H202" s="7">
        <v>58000</v>
      </c>
      <c r="I202" s="7" t="s">
        <v>1124</v>
      </c>
      <c r="J202" s="7" t="s">
        <v>1125</v>
      </c>
      <c r="K202" s="5" t="s">
        <v>1126</v>
      </c>
      <c r="L202" s="7">
        <v>2025</v>
      </c>
      <c r="M202" s="7" t="s">
        <v>5</v>
      </c>
      <c r="N202" s="4" t="s">
        <v>949</v>
      </c>
      <c r="O202" s="4" t="s">
        <v>338</v>
      </c>
      <c r="P202" s="5" t="s">
        <v>1102</v>
      </c>
      <c r="Q202" s="4" t="s">
        <v>138</v>
      </c>
      <c r="R202" s="18" t="s">
        <v>1127</v>
      </c>
    </row>
    <row r="203" spans="1:18">
      <c r="A203" s="5" t="s">
        <v>1128</v>
      </c>
      <c r="B203" s="5" t="s">
        <v>1129</v>
      </c>
      <c r="C203" s="5" t="s">
        <v>1130</v>
      </c>
      <c r="D203" s="5">
        <v>3.75</v>
      </c>
      <c r="E203" s="5" t="s">
        <v>42</v>
      </c>
      <c r="F203" s="5">
        <v>60</v>
      </c>
      <c r="G203" s="5">
        <f>+D203*F203</f>
        <v>225</v>
      </c>
      <c r="H203" s="5">
        <v>89000</v>
      </c>
      <c r="I203" s="5" t="s">
        <v>43</v>
      </c>
      <c r="J203" s="5" t="s">
        <v>88</v>
      </c>
      <c r="K203" s="5" t="s">
        <v>89</v>
      </c>
      <c r="L203" s="5">
        <v>2021</v>
      </c>
      <c r="M203" s="5"/>
      <c r="N203" s="5" t="s">
        <v>46</v>
      </c>
      <c r="O203" s="5" t="s">
        <v>72</v>
      </c>
      <c r="P203" s="5" t="s">
        <v>48</v>
      </c>
      <c r="Q203" s="5" t="s">
        <v>49</v>
      </c>
      <c r="R203" s="9" t="s">
        <v>1131</v>
      </c>
    </row>
    <row r="204" spans="1:18">
      <c r="A204" s="5" t="s">
        <v>1132</v>
      </c>
      <c r="B204" s="5" t="s">
        <v>1133</v>
      </c>
      <c r="C204" s="5" t="s">
        <v>1134</v>
      </c>
      <c r="D204" s="8">
        <v>50</v>
      </c>
      <c r="E204" s="8" t="s">
        <v>132</v>
      </c>
      <c r="F204" s="8">
        <v>30</v>
      </c>
      <c r="G204" s="8">
        <f>D204*F204</f>
        <v>1500</v>
      </c>
      <c r="H204" s="8">
        <v>34900</v>
      </c>
      <c r="I204" s="8" t="s">
        <v>148</v>
      </c>
      <c r="J204" s="8" t="s">
        <v>1135</v>
      </c>
      <c r="K204" s="5" t="s">
        <v>1136</v>
      </c>
      <c r="L204" s="8">
        <v>2018</v>
      </c>
      <c r="M204" s="8"/>
      <c r="N204" s="5" t="s">
        <v>136</v>
      </c>
      <c r="O204" s="5" t="s">
        <v>149</v>
      </c>
      <c r="P204" s="5" t="s">
        <v>48</v>
      </c>
      <c r="Q204" s="5" t="s">
        <v>138</v>
      </c>
      <c r="R204" s="9" t="s">
        <v>1137</v>
      </c>
    </row>
    <row r="205" spans="1:18">
      <c r="A205" s="5" t="s">
        <v>1138</v>
      </c>
      <c r="B205" s="6" t="s">
        <v>1139</v>
      </c>
      <c r="C205" s="6" t="s">
        <v>1140</v>
      </c>
      <c r="D205" s="6">
        <v>3.7</v>
      </c>
      <c r="E205" s="6" t="s">
        <v>158</v>
      </c>
      <c r="F205" s="6">
        <v>100</v>
      </c>
      <c r="G205" s="6">
        <f>+D205*F205</f>
        <v>370</v>
      </c>
      <c r="H205" s="10">
        <v>79800</v>
      </c>
      <c r="I205" s="6" t="s">
        <v>1141</v>
      </c>
      <c r="J205" s="6" t="s">
        <v>1142</v>
      </c>
      <c r="K205" s="6" t="s">
        <v>1143</v>
      </c>
      <c r="L205" s="6">
        <v>2020</v>
      </c>
      <c r="N205" s="5" t="s">
        <v>46</v>
      </c>
      <c r="O205" s="6" t="s">
        <v>1144</v>
      </c>
      <c r="P205" s="6" t="s">
        <v>1145</v>
      </c>
      <c r="Q205" s="6" t="s">
        <v>163</v>
      </c>
    </row>
    <row r="206" spans="1:18" s="5" customFormat="1">
      <c r="A206" s="5" t="s">
        <v>1146</v>
      </c>
      <c r="B206" s="5" t="s">
        <v>1147</v>
      </c>
      <c r="C206" s="5" t="s">
        <v>487</v>
      </c>
      <c r="D206" s="8">
        <v>4.5999999999999996</v>
      </c>
      <c r="E206" s="8" t="s">
        <v>42</v>
      </c>
      <c r="F206" s="8">
        <v>20</v>
      </c>
      <c r="G206" s="8">
        <f>D206*F206</f>
        <v>92</v>
      </c>
      <c r="H206" s="8">
        <v>199000</v>
      </c>
      <c r="I206" s="8" t="s">
        <v>1148</v>
      </c>
      <c r="J206" s="8" t="s">
        <v>472</v>
      </c>
      <c r="K206" s="5" t="s">
        <v>881</v>
      </c>
      <c r="L206" s="8">
        <v>2018</v>
      </c>
      <c r="M206" s="8"/>
      <c r="N206" s="5" t="s">
        <v>46</v>
      </c>
      <c r="O206" s="5" t="s">
        <v>149</v>
      </c>
      <c r="P206" s="5" t="s">
        <v>1149</v>
      </c>
      <c r="Q206" s="5" t="s">
        <v>138</v>
      </c>
      <c r="R206" s="9" t="s">
        <v>1150</v>
      </c>
    </row>
    <row r="207" spans="1:18">
      <c r="A207" s="5" t="s">
        <v>1146</v>
      </c>
      <c r="B207" s="5" t="s">
        <v>1151</v>
      </c>
      <c r="C207" s="5" t="s">
        <v>1152</v>
      </c>
      <c r="D207" s="5">
        <v>3.75</v>
      </c>
      <c r="E207" s="5" t="s">
        <v>42</v>
      </c>
      <c r="F207" s="5">
        <v>30</v>
      </c>
      <c r="G207" s="8">
        <f>+D207*F207</f>
        <v>112.5</v>
      </c>
      <c r="H207" s="5">
        <v>198000</v>
      </c>
      <c r="I207" s="5" t="s">
        <v>43</v>
      </c>
      <c r="J207" s="5" t="s">
        <v>1153</v>
      </c>
      <c r="K207" s="5" t="s">
        <v>1154</v>
      </c>
      <c r="L207" s="5">
        <v>2020</v>
      </c>
      <c r="M207" s="5"/>
      <c r="N207" s="5" t="s">
        <v>46</v>
      </c>
      <c r="O207" s="5" t="s">
        <v>47</v>
      </c>
      <c r="P207" s="5" t="s">
        <v>48</v>
      </c>
      <c r="Q207" s="5" t="s">
        <v>49</v>
      </c>
      <c r="R207" s="9" t="s">
        <v>1155</v>
      </c>
    </row>
    <row r="208" spans="1:18">
      <c r="A208" s="5" t="s">
        <v>1146</v>
      </c>
      <c r="B208" s="5" t="s">
        <v>1156</v>
      </c>
      <c r="C208" s="5" t="s">
        <v>1157</v>
      </c>
      <c r="D208" s="8">
        <v>60</v>
      </c>
      <c r="E208" s="8" t="s">
        <v>132</v>
      </c>
      <c r="F208" s="8">
        <v>30</v>
      </c>
      <c r="G208" s="8">
        <f>D208*F208</f>
        <v>1800</v>
      </c>
      <c r="H208" s="8">
        <v>29800</v>
      </c>
      <c r="I208" s="8" t="s">
        <v>1158</v>
      </c>
      <c r="J208" s="8" t="s">
        <v>1159</v>
      </c>
      <c r="K208" s="5" t="s">
        <v>1160</v>
      </c>
      <c r="L208" s="8">
        <v>2015</v>
      </c>
      <c r="M208" s="8"/>
      <c r="N208" s="5" t="s">
        <v>136</v>
      </c>
      <c r="O208" s="5" t="s">
        <v>149</v>
      </c>
      <c r="P208" s="5" t="s">
        <v>1149</v>
      </c>
      <c r="Q208" s="5" t="s">
        <v>138</v>
      </c>
      <c r="R208" s="9" t="s">
        <v>1161</v>
      </c>
    </row>
    <row r="209" spans="1:18" s="5" customFormat="1">
      <c r="A209" s="5" t="s">
        <v>1146</v>
      </c>
      <c r="B209" s="5" t="s">
        <v>1162</v>
      </c>
      <c r="C209" s="5" t="s">
        <v>1163</v>
      </c>
      <c r="D209" s="8">
        <v>50</v>
      </c>
      <c r="E209" s="8" t="s">
        <v>132</v>
      </c>
      <c r="F209" s="8">
        <v>30</v>
      </c>
      <c r="G209" s="8">
        <f>D209*F209</f>
        <v>1500</v>
      </c>
      <c r="H209" s="8">
        <v>49800</v>
      </c>
      <c r="I209" s="8" t="s">
        <v>1158</v>
      </c>
      <c r="J209" s="8" t="s">
        <v>1164</v>
      </c>
      <c r="K209" s="5" t="s">
        <v>1165</v>
      </c>
      <c r="L209" s="8">
        <v>2018</v>
      </c>
      <c r="M209" s="8"/>
      <c r="N209" s="5" t="s">
        <v>136</v>
      </c>
      <c r="O209" s="5" t="s">
        <v>149</v>
      </c>
      <c r="P209" s="5" t="s">
        <v>1149</v>
      </c>
      <c r="Q209" s="5" t="s">
        <v>138</v>
      </c>
      <c r="R209" s="9" t="s">
        <v>1166</v>
      </c>
    </row>
    <row r="210" spans="1:18">
      <c r="A210" s="5" t="s">
        <v>1146</v>
      </c>
      <c r="B210" s="5" t="s">
        <v>1167</v>
      </c>
      <c r="C210" s="5" t="s">
        <v>1168</v>
      </c>
      <c r="D210" s="5">
        <v>50</v>
      </c>
      <c r="E210" s="5" t="s">
        <v>77</v>
      </c>
      <c r="F210" s="5">
        <v>120</v>
      </c>
      <c r="G210" s="8">
        <f>+D210*F210</f>
        <v>6000</v>
      </c>
      <c r="H210" s="5">
        <v>138000</v>
      </c>
      <c r="I210" s="5" t="s">
        <v>182</v>
      </c>
      <c r="J210" s="5" t="s">
        <v>1169</v>
      </c>
      <c r="K210" s="5" t="s">
        <v>1170</v>
      </c>
      <c r="L210" s="5">
        <v>2020</v>
      </c>
      <c r="M210" s="5"/>
      <c r="N210" s="5" t="s">
        <v>81</v>
      </c>
      <c r="O210" s="5" t="s">
        <v>47</v>
      </c>
      <c r="P210" s="5" t="s">
        <v>1171</v>
      </c>
      <c r="Q210" s="5" t="s">
        <v>49</v>
      </c>
      <c r="R210" s="9" t="s">
        <v>1172</v>
      </c>
    </row>
    <row r="211" spans="1:18">
      <c r="A211" s="5" t="s">
        <v>1173</v>
      </c>
      <c r="B211" s="4" t="s">
        <v>1174</v>
      </c>
      <c r="C211" s="4" t="s">
        <v>1175</v>
      </c>
      <c r="D211" s="8">
        <v>10</v>
      </c>
      <c r="E211" s="8" t="s">
        <v>42</v>
      </c>
      <c r="F211" s="8">
        <v>30</v>
      </c>
      <c r="G211" s="8">
        <f>D211*F211</f>
        <v>300</v>
      </c>
      <c r="H211" s="8">
        <v>80000</v>
      </c>
      <c r="I211" s="8" t="s">
        <v>168</v>
      </c>
      <c r="J211" s="8" t="s">
        <v>451</v>
      </c>
      <c r="K211" s="5" t="s">
        <v>452</v>
      </c>
      <c r="L211" s="8">
        <v>2019</v>
      </c>
      <c r="M211" s="8"/>
      <c r="N211" s="5" t="s">
        <v>95</v>
      </c>
      <c r="O211" s="5" t="s">
        <v>47</v>
      </c>
      <c r="P211" s="5" t="s">
        <v>48</v>
      </c>
      <c r="Q211" s="5" t="s">
        <v>49</v>
      </c>
      <c r="R211" s="9" t="s">
        <v>1176</v>
      </c>
    </row>
    <row r="212" spans="1:18">
      <c r="A212" s="5" t="s">
        <v>1177</v>
      </c>
      <c r="B212" s="5" t="s">
        <v>1178</v>
      </c>
      <c r="C212" s="5" t="s">
        <v>1179</v>
      </c>
      <c r="D212" s="5">
        <v>30</v>
      </c>
      <c r="E212" s="5" t="s">
        <v>42</v>
      </c>
      <c r="F212" s="5">
        <v>1</v>
      </c>
      <c r="G212" s="5">
        <f>+D212*F212</f>
        <v>30</v>
      </c>
      <c r="H212" s="5">
        <v>49000</v>
      </c>
      <c r="I212" s="5" t="s">
        <v>1180</v>
      </c>
      <c r="J212" s="5" t="s">
        <v>1181</v>
      </c>
      <c r="K212" s="5" t="s">
        <v>1182</v>
      </c>
      <c r="L212" s="5">
        <v>2020</v>
      </c>
      <c r="M212" s="5"/>
      <c r="N212" s="5" t="s">
        <v>178</v>
      </c>
      <c r="O212" s="5" t="s">
        <v>47</v>
      </c>
      <c r="P212" s="5" t="s">
        <v>48</v>
      </c>
      <c r="Q212" s="5" t="s">
        <v>49</v>
      </c>
      <c r="R212" s="5" t="s">
        <v>1183</v>
      </c>
    </row>
    <row r="213" spans="1:18">
      <c r="A213" s="5" t="s">
        <v>1177</v>
      </c>
      <c r="B213" s="5" t="s">
        <v>1184</v>
      </c>
      <c r="C213" s="5" t="s">
        <v>1185</v>
      </c>
      <c r="D213" s="8">
        <v>30</v>
      </c>
      <c r="E213" s="8" t="s">
        <v>42</v>
      </c>
      <c r="F213" s="8">
        <v>3</v>
      </c>
      <c r="G213" s="8">
        <f>D213*F213</f>
        <v>90</v>
      </c>
      <c r="H213" s="8">
        <v>129000</v>
      </c>
      <c r="I213" s="8" t="s">
        <v>1186</v>
      </c>
      <c r="J213" s="8" t="s">
        <v>1187</v>
      </c>
      <c r="K213" s="5" t="s">
        <v>1188</v>
      </c>
      <c r="L213" s="8">
        <v>2019</v>
      </c>
      <c r="M213" s="8"/>
      <c r="N213" s="5" t="s">
        <v>178</v>
      </c>
      <c r="O213" s="5" t="s">
        <v>47</v>
      </c>
      <c r="P213" s="5" t="s">
        <v>1189</v>
      </c>
      <c r="Q213" s="5" t="s">
        <v>1079</v>
      </c>
      <c r="R213" s="9" t="s">
        <v>1190</v>
      </c>
    </row>
    <row r="214" spans="1:18">
      <c r="A214" s="5" t="s">
        <v>1191</v>
      </c>
      <c r="B214" s="5" t="s">
        <v>1192</v>
      </c>
      <c r="C214" s="5" t="s">
        <v>1193</v>
      </c>
      <c r="D214" s="8">
        <v>10</v>
      </c>
      <c r="E214" s="8" t="s">
        <v>42</v>
      </c>
      <c r="F214" s="8">
        <v>30</v>
      </c>
      <c r="G214" s="8">
        <f>D214*F214</f>
        <v>300</v>
      </c>
      <c r="H214" s="8">
        <v>298000</v>
      </c>
      <c r="I214" s="8" t="s">
        <v>970</v>
      </c>
      <c r="J214" s="8" t="s">
        <v>1194</v>
      </c>
      <c r="K214" s="5" t="s">
        <v>1195</v>
      </c>
      <c r="L214" s="8">
        <v>2018</v>
      </c>
      <c r="M214" s="8"/>
      <c r="N214" s="5" t="s">
        <v>400</v>
      </c>
      <c r="O214" s="5" t="s">
        <v>1196</v>
      </c>
      <c r="P214" s="5" t="s">
        <v>48</v>
      </c>
      <c r="Q214" s="5" t="s">
        <v>138</v>
      </c>
      <c r="R214" s="9" t="s">
        <v>1197</v>
      </c>
    </row>
    <row r="215" spans="1:18">
      <c r="A215" s="5" t="s">
        <v>1198</v>
      </c>
      <c r="B215" s="5" t="s">
        <v>1199</v>
      </c>
      <c r="C215" s="5" t="s">
        <v>1200</v>
      </c>
      <c r="D215" s="5">
        <v>60</v>
      </c>
      <c r="E215" s="5" t="s">
        <v>77</v>
      </c>
      <c r="F215" s="5">
        <v>30</v>
      </c>
      <c r="G215" s="5">
        <f>+D215*F215</f>
        <v>1800</v>
      </c>
      <c r="H215" s="5">
        <v>45000</v>
      </c>
      <c r="I215" s="5" t="s">
        <v>292</v>
      </c>
      <c r="J215" s="5" t="s">
        <v>1201</v>
      </c>
      <c r="K215" s="5" t="s">
        <v>1202</v>
      </c>
      <c r="L215" s="5">
        <v>2020</v>
      </c>
      <c r="M215" s="5"/>
      <c r="N215" s="5" t="s">
        <v>81</v>
      </c>
      <c r="O215" s="5" t="s">
        <v>82</v>
      </c>
      <c r="P215" s="5" t="s">
        <v>48</v>
      </c>
      <c r="Q215" s="5" t="s">
        <v>328</v>
      </c>
      <c r="R215" s="5" t="s">
        <v>1203</v>
      </c>
    </row>
    <row r="216" spans="1:18" s="5" customFormat="1">
      <c r="A216" s="5" t="s">
        <v>1198</v>
      </c>
      <c r="B216" s="5" t="s">
        <v>1204</v>
      </c>
      <c r="C216" s="5" t="s">
        <v>1205</v>
      </c>
      <c r="D216" s="8">
        <v>60</v>
      </c>
      <c r="E216" s="8" t="s">
        <v>77</v>
      </c>
      <c r="F216" s="8">
        <v>30</v>
      </c>
      <c r="G216" s="8">
        <f>D216*F216</f>
        <v>1800</v>
      </c>
      <c r="H216" s="8">
        <v>288000</v>
      </c>
      <c r="I216" s="8" t="s">
        <v>1206</v>
      </c>
      <c r="J216" s="8" t="s">
        <v>1207</v>
      </c>
      <c r="K216" s="5" t="s">
        <v>1208</v>
      </c>
      <c r="L216" s="8">
        <v>2019</v>
      </c>
      <c r="M216" s="8"/>
      <c r="N216" s="5" t="s">
        <v>81</v>
      </c>
      <c r="O216" s="5" t="s">
        <v>82</v>
      </c>
      <c r="P216" s="5" t="s">
        <v>48</v>
      </c>
      <c r="Q216" s="5" t="s">
        <v>819</v>
      </c>
      <c r="R216" s="9" t="s">
        <v>1209</v>
      </c>
    </row>
    <row r="217" spans="1:18" s="5" customFormat="1">
      <c r="A217" s="5" t="s">
        <v>1198</v>
      </c>
      <c r="B217" s="5" t="s">
        <v>1210</v>
      </c>
      <c r="C217" s="5" t="s">
        <v>1211</v>
      </c>
      <c r="D217" s="8">
        <v>50</v>
      </c>
      <c r="E217" s="8" t="s">
        <v>77</v>
      </c>
      <c r="F217" s="8">
        <v>30</v>
      </c>
      <c r="G217" s="8">
        <f>D217*F217</f>
        <v>1500</v>
      </c>
      <c r="H217" s="8">
        <v>158000</v>
      </c>
      <c r="I217" s="8" t="s">
        <v>1212</v>
      </c>
      <c r="J217" s="8" t="s">
        <v>1213</v>
      </c>
      <c r="K217" s="5" t="s">
        <v>1214</v>
      </c>
      <c r="L217" s="8">
        <v>2019</v>
      </c>
      <c r="M217" s="8"/>
      <c r="N217" s="5" t="s">
        <v>81</v>
      </c>
      <c r="O217" s="5" t="s">
        <v>82</v>
      </c>
      <c r="Q217" s="5" t="s">
        <v>311</v>
      </c>
      <c r="R217" s="9" t="s">
        <v>1215</v>
      </c>
    </row>
    <row r="218" spans="1:18" s="5" customFormat="1">
      <c r="A218" s="5" t="s">
        <v>1198</v>
      </c>
      <c r="B218" s="5" t="s">
        <v>1216</v>
      </c>
      <c r="C218" s="5" t="s">
        <v>1211</v>
      </c>
      <c r="D218" s="8">
        <v>80</v>
      </c>
      <c r="E218" s="8" t="s">
        <v>77</v>
      </c>
      <c r="F218" s="8">
        <v>10</v>
      </c>
      <c r="G218" s="8">
        <f>D218*F218</f>
        <v>800</v>
      </c>
      <c r="H218" s="8">
        <v>50000</v>
      </c>
      <c r="I218" s="8" t="s">
        <v>1004</v>
      </c>
      <c r="J218" s="8" t="s">
        <v>79</v>
      </c>
      <c r="K218" s="5" t="s">
        <v>1217</v>
      </c>
      <c r="L218" s="8">
        <v>2019</v>
      </c>
      <c r="M218" s="8"/>
      <c r="N218" s="5" t="s">
        <v>81</v>
      </c>
      <c r="O218" s="5" t="s">
        <v>82</v>
      </c>
      <c r="Q218" s="5" t="s">
        <v>218</v>
      </c>
      <c r="R218" s="9" t="s">
        <v>1218</v>
      </c>
    </row>
    <row r="219" spans="1:18" s="5" customFormat="1">
      <c r="A219" s="5" t="s">
        <v>1198</v>
      </c>
      <c r="B219" s="5" t="s">
        <v>1219</v>
      </c>
      <c r="C219" s="5" t="s">
        <v>1220</v>
      </c>
      <c r="D219" s="8">
        <v>80</v>
      </c>
      <c r="E219" s="8" t="s">
        <v>77</v>
      </c>
      <c r="F219" s="8">
        <v>10</v>
      </c>
      <c r="G219" s="8">
        <f>D219*F219</f>
        <v>800</v>
      </c>
      <c r="H219" s="8">
        <v>55000</v>
      </c>
      <c r="I219" s="8" t="s">
        <v>1004</v>
      </c>
      <c r="J219" s="8" t="s">
        <v>1221</v>
      </c>
      <c r="K219" s="5" t="s">
        <v>1222</v>
      </c>
      <c r="L219" s="8">
        <v>2019</v>
      </c>
      <c r="M219" s="8"/>
      <c r="N219" s="5" t="s">
        <v>81</v>
      </c>
      <c r="O219" s="5" t="s">
        <v>82</v>
      </c>
      <c r="Q219" s="5" t="s">
        <v>1223</v>
      </c>
      <c r="R219" s="9" t="s">
        <v>1224</v>
      </c>
    </row>
    <row r="220" spans="1:18" s="5" customFormat="1">
      <c r="A220" s="5" t="s">
        <v>1198</v>
      </c>
      <c r="B220" s="5" t="s">
        <v>1225</v>
      </c>
      <c r="C220" s="5" t="s">
        <v>1226</v>
      </c>
      <c r="D220" s="5">
        <v>10</v>
      </c>
      <c r="E220" s="5" t="s">
        <v>42</v>
      </c>
      <c r="F220" s="5">
        <v>28</v>
      </c>
      <c r="G220" s="5">
        <f>+D220*F220</f>
        <v>280</v>
      </c>
      <c r="H220" s="5">
        <v>29000</v>
      </c>
      <c r="I220" s="5" t="s">
        <v>168</v>
      </c>
      <c r="J220" s="5" t="s">
        <v>1221</v>
      </c>
      <c r="K220" s="5" t="s">
        <v>1227</v>
      </c>
      <c r="L220" s="5">
        <v>2021</v>
      </c>
      <c r="N220" s="5" t="s">
        <v>95</v>
      </c>
      <c r="O220" s="5" t="s">
        <v>82</v>
      </c>
      <c r="P220" s="5" t="s">
        <v>48</v>
      </c>
      <c r="Q220" s="5" t="s">
        <v>328</v>
      </c>
      <c r="R220" s="9" t="s">
        <v>1228</v>
      </c>
    </row>
    <row r="221" spans="1:18" s="5" customFormat="1">
      <c r="A221" s="5" t="s">
        <v>1198</v>
      </c>
      <c r="B221" s="5" t="s">
        <v>1229</v>
      </c>
      <c r="C221" s="5" t="s">
        <v>1230</v>
      </c>
      <c r="D221" s="8">
        <v>10</v>
      </c>
      <c r="E221" s="8" t="s">
        <v>77</v>
      </c>
      <c r="F221" s="8">
        <v>30</v>
      </c>
      <c r="G221" s="8">
        <f>D221*F221</f>
        <v>300</v>
      </c>
      <c r="H221" s="8">
        <v>238000</v>
      </c>
      <c r="I221" s="8" t="s">
        <v>1231</v>
      </c>
      <c r="J221" s="8" t="s">
        <v>1232</v>
      </c>
      <c r="K221" s="5" t="s">
        <v>1233</v>
      </c>
      <c r="L221" s="8">
        <v>2019</v>
      </c>
      <c r="M221" s="8"/>
      <c r="N221" s="5" t="s">
        <v>95</v>
      </c>
      <c r="O221" s="5" t="s">
        <v>82</v>
      </c>
      <c r="Q221" s="5" t="s">
        <v>773</v>
      </c>
      <c r="R221" s="9" t="s">
        <v>1234</v>
      </c>
    </row>
    <row r="222" spans="1:18" s="5" customFormat="1">
      <c r="A222" s="5" t="s">
        <v>1198</v>
      </c>
      <c r="B222" s="5" t="s">
        <v>1235</v>
      </c>
      <c r="C222" s="5" t="s">
        <v>1236</v>
      </c>
      <c r="D222" s="8">
        <v>10</v>
      </c>
      <c r="E222" s="8" t="s">
        <v>77</v>
      </c>
      <c r="F222" s="8">
        <v>10</v>
      </c>
      <c r="G222" s="8">
        <f>D222*F222</f>
        <v>100</v>
      </c>
      <c r="H222" s="8">
        <v>30000</v>
      </c>
      <c r="I222" s="8" t="s">
        <v>1231</v>
      </c>
      <c r="J222" s="8" t="s">
        <v>1237</v>
      </c>
      <c r="K222" s="5" t="s">
        <v>230</v>
      </c>
      <c r="L222" s="8">
        <v>2019</v>
      </c>
      <c r="M222" s="8"/>
      <c r="N222" s="5" t="s">
        <v>95</v>
      </c>
      <c r="O222" s="5" t="s">
        <v>82</v>
      </c>
      <c r="Q222" s="5" t="s">
        <v>49</v>
      </c>
      <c r="R222" s="9" t="s">
        <v>1238</v>
      </c>
    </row>
    <row r="223" spans="1:18" s="5" customFormat="1">
      <c r="A223" s="5" t="s">
        <v>1239</v>
      </c>
      <c r="B223" s="5" t="s">
        <v>1240</v>
      </c>
      <c r="C223" s="5" t="s">
        <v>1241</v>
      </c>
      <c r="D223" s="5">
        <v>10</v>
      </c>
      <c r="E223" s="5" t="s">
        <v>42</v>
      </c>
      <c r="F223" s="5">
        <v>10</v>
      </c>
      <c r="G223" s="5">
        <f>+D223*F223</f>
        <v>100</v>
      </c>
      <c r="H223" s="5">
        <v>35000</v>
      </c>
      <c r="I223" s="5" t="s">
        <v>168</v>
      </c>
      <c r="J223" s="5" t="s">
        <v>1242</v>
      </c>
      <c r="K223" s="5" t="s">
        <v>1243</v>
      </c>
      <c r="L223" s="5">
        <v>2020</v>
      </c>
      <c r="N223" s="5" t="s">
        <v>95</v>
      </c>
      <c r="O223" s="5" t="s">
        <v>47</v>
      </c>
      <c r="P223" s="5" t="s">
        <v>48</v>
      </c>
      <c r="Q223" s="5" t="s">
        <v>49</v>
      </c>
      <c r="R223" s="9" t="s">
        <v>1244</v>
      </c>
    </row>
    <row r="224" spans="1:18" s="5" customFormat="1">
      <c r="A224" s="5" t="s">
        <v>1245</v>
      </c>
      <c r="B224" s="5" t="s">
        <v>1246</v>
      </c>
      <c r="C224" s="5" t="s">
        <v>1247</v>
      </c>
      <c r="D224" s="5">
        <v>30</v>
      </c>
      <c r="E224" s="5" t="s">
        <v>42</v>
      </c>
      <c r="F224" s="5">
        <v>15</v>
      </c>
      <c r="G224" s="5">
        <f>+D224*F224</f>
        <v>450</v>
      </c>
      <c r="H224" s="5">
        <v>79000</v>
      </c>
      <c r="I224" s="5" t="s">
        <v>1248</v>
      </c>
      <c r="J224" s="5" t="s">
        <v>1249</v>
      </c>
      <c r="K224" s="5" t="s">
        <v>1250</v>
      </c>
      <c r="L224" s="5">
        <v>2020</v>
      </c>
      <c r="N224" s="5" t="s">
        <v>81</v>
      </c>
      <c r="O224" s="5" t="s">
        <v>72</v>
      </c>
      <c r="P224" s="5" t="s">
        <v>48</v>
      </c>
      <c r="Q224" s="5" t="s">
        <v>49</v>
      </c>
      <c r="R224" s="9" t="s">
        <v>1251</v>
      </c>
    </row>
    <row r="225" spans="1:18" s="5" customFormat="1">
      <c r="A225" s="5" t="s">
        <v>1252</v>
      </c>
      <c r="B225" s="5" t="s">
        <v>1253</v>
      </c>
      <c r="C225" s="5" t="s">
        <v>1254</v>
      </c>
      <c r="D225" s="8">
        <v>60</v>
      </c>
      <c r="E225" s="8" t="s">
        <v>132</v>
      </c>
      <c r="F225" s="8">
        <v>30</v>
      </c>
      <c r="G225" s="8">
        <f t="shared" ref="G225:G230" si="14">D225*F225</f>
        <v>1800</v>
      </c>
      <c r="H225" s="8">
        <v>34460</v>
      </c>
      <c r="I225" s="8" t="s">
        <v>592</v>
      </c>
      <c r="J225" s="8" t="s">
        <v>1255</v>
      </c>
      <c r="K225" s="5" t="s">
        <v>1256</v>
      </c>
      <c r="L225" s="8">
        <v>2018</v>
      </c>
      <c r="M225" s="8"/>
      <c r="N225" s="5" t="s">
        <v>136</v>
      </c>
      <c r="O225" s="5" t="s">
        <v>380</v>
      </c>
      <c r="P225" s="12" t="s">
        <v>48</v>
      </c>
      <c r="Q225" s="5" t="s">
        <v>138</v>
      </c>
      <c r="R225" s="9" t="s">
        <v>1257</v>
      </c>
    </row>
    <row r="226" spans="1:18" s="5" customFormat="1">
      <c r="A226" s="5" t="s">
        <v>1252</v>
      </c>
      <c r="B226" s="5" t="s">
        <v>1258</v>
      </c>
      <c r="C226" s="5" t="s">
        <v>1259</v>
      </c>
      <c r="D226" s="8">
        <v>10</v>
      </c>
      <c r="E226" s="8" t="s">
        <v>42</v>
      </c>
      <c r="F226" s="8">
        <v>30</v>
      </c>
      <c r="G226" s="8">
        <f t="shared" si="14"/>
        <v>300</v>
      </c>
      <c r="H226" s="8">
        <v>59000</v>
      </c>
      <c r="I226" s="8" t="s">
        <v>397</v>
      </c>
      <c r="J226" s="8" t="s">
        <v>1260</v>
      </c>
      <c r="K226" s="5" t="s">
        <v>1261</v>
      </c>
      <c r="L226" s="8">
        <v>2018</v>
      </c>
      <c r="M226" s="8"/>
      <c r="N226" s="4" t="s">
        <v>400</v>
      </c>
      <c r="O226" s="5" t="s">
        <v>380</v>
      </c>
      <c r="P226" s="12"/>
      <c r="Q226" s="5" t="s">
        <v>138</v>
      </c>
      <c r="R226" s="9" t="s">
        <v>1262</v>
      </c>
    </row>
    <row r="227" spans="1:18" s="5" customFormat="1">
      <c r="A227" s="5" t="s">
        <v>1263</v>
      </c>
      <c r="B227" s="5" t="s">
        <v>1264</v>
      </c>
      <c r="C227" s="5" t="s">
        <v>1265</v>
      </c>
      <c r="D227" s="8">
        <v>80</v>
      </c>
      <c r="E227" s="8" t="s">
        <v>77</v>
      </c>
      <c r="F227" s="8">
        <v>30</v>
      </c>
      <c r="G227" s="8">
        <f t="shared" si="14"/>
        <v>2400</v>
      </c>
      <c r="H227" s="8">
        <v>150000</v>
      </c>
      <c r="I227" s="8" t="s">
        <v>1004</v>
      </c>
      <c r="J227" s="8" t="s">
        <v>1266</v>
      </c>
      <c r="K227" s="5" t="s">
        <v>1267</v>
      </c>
      <c r="L227" s="8">
        <v>2022</v>
      </c>
      <c r="M227" s="8" t="s">
        <v>71</v>
      </c>
      <c r="N227" s="4" t="s">
        <v>81</v>
      </c>
      <c r="O227" s="5" t="s">
        <v>82</v>
      </c>
      <c r="P227" s="12" t="s">
        <v>48</v>
      </c>
      <c r="Q227" s="5" t="s">
        <v>49</v>
      </c>
      <c r="R227" s="9" t="s">
        <v>1268</v>
      </c>
    </row>
    <row r="228" spans="1:18" s="5" customFormat="1" ht="14.45">
      <c r="A228" s="5" t="s">
        <v>1263</v>
      </c>
      <c r="B228" s="5" t="s">
        <v>1269</v>
      </c>
      <c r="C228" s="5" t="s">
        <v>1270</v>
      </c>
      <c r="D228" s="8">
        <v>25</v>
      </c>
      <c r="E228" s="8" t="s">
        <v>42</v>
      </c>
      <c r="F228" s="8">
        <v>30</v>
      </c>
      <c r="G228" s="8">
        <f t="shared" si="14"/>
        <v>750</v>
      </c>
      <c r="H228" s="8">
        <v>38000</v>
      </c>
      <c r="I228" s="8" t="s">
        <v>1271</v>
      </c>
      <c r="J228" s="8" t="s">
        <v>1272</v>
      </c>
      <c r="K228" s="5" t="s">
        <v>1273</v>
      </c>
      <c r="L228" s="8">
        <v>2022</v>
      </c>
      <c r="M228" s="8" t="s">
        <v>71</v>
      </c>
      <c r="N228" s="4" t="s">
        <v>95</v>
      </c>
      <c r="O228" s="5" t="s">
        <v>82</v>
      </c>
      <c r="P228" s="12" t="s">
        <v>48</v>
      </c>
      <c r="Q228" s="5" t="s">
        <v>311</v>
      </c>
      <c r="R228" s="18" t="s">
        <v>1274</v>
      </c>
    </row>
    <row r="229" spans="1:18" s="5" customFormat="1" ht="14.45">
      <c r="A229" s="5" t="s">
        <v>1275</v>
      </c>
      <c r="B229" s="5" t="s">
        <v>1276</v>
      </c>
      <c r="C229" s="5" t="s">
        <v>1277</v>
      </c>
      <c r="D229" s="8">
        <v>10</v>
      </c>
      <c r="E229" s="8" t="s">
        <v>42</v>
      </c>
      <c r="F229" s="8">
        <v>60</v>
      </c>
      <c r="G229" s="8">
        <f t="shared" si="14"/>
        <v>600</v>
      </c>
      <c r="H229" s="8">
        <v>199000</v>
      </c>
      <c r="I229" s="8" t="s">
        <v>168</v>
      </c>
      <c r="J229" s="8" t="s">
        <v>1278</v>
      </c>
      <c r="K229" s="5" t="s">
        <v>1279</v>
      </c>
      <c r="L229" s="8">
        <v>2023</v>
      </c>
      <c r="M229" s="8" t="s">
        <v>17</v>
      </c>
      <c r="N229" s="4" t="s">
        <v>81</v>
      </c>
      <c r="O229" s="5" t="s">
        <v>47</v>
      </c>
      <c r="P229" s="12" t="s">
        <v>48</v>
      </c>
      <c r="Q229" s="5" t="s">
        <v>49</v>
      </c>
      <c r="R229" s="18" t="s">
        <v>1280</v>
      </c>
    </row>
    <row r="230" spans="1:18" s="5" customFormat="1" ht="14.45">
      <c r="A230" s="5" t="s">
        <v>1275</v>
      </c>
      <c r="B230" s="5" t="s">
        <v>1281</v>
      </c>
      <c r="C230" s="5" t="s">
        <v>1282</v>
      </c>
      <c r="D230" s="8">
        <v>50</v>
      </c>
      <c r="E230" s="8" t="s">
        <v>77</v>
      </c>
      <c r="F230" s="8">
        <v>30</v>
      </c>
      <c r="G230" s="8">
        <f t="shared" si="14"/>
        <v>1500</v>
      </c>
      <c r="H230" s="8">
        <v>86000</v>
      </c>
      <c r="I230" s="8" t="s">
        <v>182</v>
      </c>
      <c r="J230" s="8" t="s">
        <v>1278</v>
      </c>
      <c r="K230" s="5" t="s">
        <v>1283</v>
      </c>
      <c r="L230" s="8">
        <v>2024</v>
      </c>
      <c r="M230" s="8" t="s">
        <v>350</v>
      </c>
      <c r="N230" s="4" t="s">
        <v>81</v>
      </c>
      <c r="O230" s="5" t="s">
        <v>47</v>
      </c>
      <c r="P230" s="12" t="s">
        <v>48</v>
      </c>
      <c r="Q230" s="5" t="s">
        <v>49</v>
      </c>
      <c r="R230" s="18" t="s">
        <v>1284</v>
      </c>
    </row>
    <row r="231" spans="1:18" s="5" customFormat="1">
      <c r="A231" s="5" t="s">
        <v>1285</v>
      </c>
      <c r="B231" s="5" t="s">
        <v>1286</v>
      </c>
      <c r="C231" s="5" t="s">
        <v>1287</v>
      </c>
      <c r="D231" s="5">
        <v>10</v>
      </c>
      <c r="E231" s="5" t="s">
        <v>77</v>
      </c>
      <c r="F231" s="5">
        <v>28</v>
      </c>
      <c r="G231" s="5">
        <f>+D231*F231</f>
        <v>280</v>
      </c>
      <c r="H231" s="5">
        <v>99000</v>
      </c>
      <c r="I231" s="5" t="s">
        <v>168</v>
      </c>
      <c r="L231" s="5">
        <v>2021</v>
      </c>
      <c r="N231" s="5" t="s">
        <v>95</v>
      </c>
      <c r="O231" s="5" t="s">
        <v>116</v>
      </c>
      <c r="P231" s="5" t="s">
        <v>1288</v>
      </c>
      <c r="Q231" s="5" t="s">
        <v>49</v>
      </c>
    </row>
    <row r="232" spans="1:18" s="5" customFormat="1">
      <c r="A232" s="5" t="s">
        <v>1289</v>
      </c>
      <c r="B232" s="5" t="s">
        <v>1290</v>
      </c>
      <c r="C232" s="5" t="s">
        <v>1291</v>
      </c>
      <c r="D232" s="5">
        <v>12</v>
      </c>
      <c r="E232" s="5" t="s">
        <v>77</v>
      </c>
      <c r="F232" s="5">
        <v>30</v>
      </c>
      <c r="G232" s="5">
        <f>+D232*F232</f>
        <v>360</v>
      </c>
      <c r="H232" s="5">
        <v>54000</v>
      </c>
      <c r="I232" s="5" t="s">
        <v>910</v>
      </c>
      <c r="J232" s="5" t="s">
        <v>1278</v>
      </c>
      <c r="K232" s="5" t="s">
        <v>1292</v>
      </c>
      <c r="L232" s="5">
        <v>2021</v>
      </c>
      <c r="N232" s="5" t="s">
        <v>95</v>
      </c>
      <c r="O232" s="12" t="s">
        <v>338</v>
      </c>
      <c r="P232" s="5" t="s">
        <v>48</v>
      </c>
      <c r="Q232" s="5" t="s">
        <v>49</v>
      </c>
      <c r="R232" s="9" t="s">
        <v>1293</v>
      </c>
    </row>
    <row r="233" spans="1:18" s="5" customFormat="1" ht="14.45">
      <c r="A233" s="5" t="s">
        <v>1294</v>
      </c>
      <c r="B233" s="5" t="s">
        <v>1295</v>
      </c>
      <c r="C233" s="5" t="s">
        <v>1296</v>
      </c>
      <c r="D233" s="5">
        <v>100</v>
      </c>
      <c r="E233" s="5" t="s">
        <v>77</v>
      </c>
      <c r="F233" s="5">
        <v>30</v>
      </c>
      <c r="G233" s="5">
        <f>+D233*F233</f>
        <v>3000</v>
      </c>
      <c r="H233" s="5">
        <v>180000</v>
      </c>
      <c r="I233" s="5" t="s">
        <v>1297</v>
      </c>
      <c r="J233" s="5" t="s">
        <v>1298</v>
      </c>
      <c r="K233" s="5" t="s">
        <v>1299</v>
      </c>
      <c r="L233" s="5">
        <v>2024</v>
      </c>
      <c r="M233" s="5" t="s">
        <v>3</v>
      </c>
      <c r="N233" s="5" t="s">
        <v>81</v>
      </c>
      <c r="O233" s="12" t="s">
        <v>116</v>
      </c>
      <c r="P233" s="5" t="s">
        <v>1300</v>
      </c>
      <c r="Q233" s="5" t="s">
        <v>49</v>
      </c>
      <c r="R233" s="18" t="s">
        <v>1301</v>
      </c>
    </row>
    <row r="234" spans="1:18" s="5" customFormat="1">
      <c r="A234" s="5" t="s">
        <v>1294</v>
      </c>
      <c r="B234" s="5" t="s">
        <v>1302</v>
      </c>
      <c r="C234" s="5" t="s">
        <v>1303</v>
      </c>
      <c r="D234" s="8">
        <v>3.75</v>
      </c>
      <c r="E234" s="8" t="s">
        <v>42</v>
      </c>
      <c r="F234" s="8">
        <v>30</v>
      </c>
      <c r="G234" s="5">
        <f>+D234*F234</f>
        <v>112.5</v>
      </c>
      <c r="H234" s="8">
        <v>180000</v>
      </c>
      <c r="I234" s="8" t="s">
        <v>412</v>
      </c>
      <c r="J234" s="8" t="s">
        <v>1304</v>
      </c>
      <c r="L234" s="8">
        <v>2018</v>
      </c>
      <c r="M234" s="8"/>
      <c r="N234" s="5" t="s">
        <v>46</v>
      </c>
      <c r="O234" s="5" t="s">
        <v>149</v>
      </c>
      <c r="P234" s="5" t="s">
        <v>48</v>
      </c>
      <c r="Q234" s="5" t="s">
        <v>138</v>
      </c>
      <c r="R234" s="9" t="s">
        <v>1305</v>
      </c>
    </row>
    <row r="235" spans="1:18" s="5" customFormat="1">
      <c r="A235" s="5" t="s">
        <v>1294</v>
      </c>
      <c r="B235" s="5" t="s">
        <v>1306</v>
      </c>
      <c r="C235" s="5" t="s">
        <v>1307</v>
      </c>
      <c r="D235" s="5">
        <v>50</v>
      </c>
      <c r="E235" s="5" t="s">
        <v>77</v>
      </c>
      <c r="F235" s="5">
        <v>9</v>
      </c>
      <c r="G235" s="8">
        <f>+D235*F235</f>
        <v>450</v>
      </c>
      <c r="H235" s="5">
        <v>45000</v>
      </c>
      <c r="I235" s="5" t="s">
        <v>78</v>
      </c>
      <c r="J235" s="5" t="s">
        <v>1308</v>
      </c>
      <c r="K235" s="5" t="s">
        <v>1309</v>
      </c>
      <c r="L235" s="5">
        <v>2020</v>
      </c>
      <c r="N235" s="5" t="s">
        <v>178</v>
      </c>
      <c r="O235" s="5" t="s">
        <v>47</v>
      </c>
      <c r="P235" s="5" t="s">
        <v>1310</v>
      </c>
      <c r="Q235" s="5" t="s">
        <v>49</v>
      </c>
      <c r="R235" s="9" t="s">
        <v>1311</v>
      </c>
    </row>
    <row r="236" spans="1:18" s="5" customFormat="1">
      <c r="A236" s="5" t="s">
        <v>1294</v>
      </c>
      <c r="B236" s="5" t="s">
        <v>1312</v>
      </c>
      <c r="C236" s="5" t="s">
        <v>1313</v>
      </c>
      <c r="D236" s="8">
        <v>100</v>
      </c>
      <c r="E236" s="8" t="s">
        <v>132</v>
      </c>
      <c r="F236" s="8">
        <v>1</v>
      </c>
      <c r="G236" s="8">
        <f>D236*F236</f>
        <v>100</v>
      </c>
      <c r="H236" s="8">
        <v>4500</v>
      </c>
      <c r="I236" s="8" t="s">
        <v>739</v>
      </c>
      <c r="J236" s="8" t="s">
        <v>1314</v>
      </c>
      <c r="K236" s="5" t="s">
        <v>1315</v>
      </c>
      <c r="L236" s="8">
        <v>2018</v>
      </c>
      <c r="M236" s="8"/>
      <c r="N236" s="5" t="s">
        <v>727</v>
      </c>
      <c r="O236" s="5" t="s">
        <v>149</v>
      </c>
      <c r="Q236" s="5" t="s">
        <v>138</v>
      </c>
      <c r="R236" s="9" t="s">
        <v>1316</v>
      </c>
    </row>
    <row r="237" spans="1:18" s="5" customFormat="1">
      <c r="A237" s="5" t="s">
        <v>1294</v>
      </c>
      <c r="B237" s="5" t="s">
        <v>1317</v>
      </c>
      <c r="C237" s="5" t="s">
        <v>1318</v>
      </c>
      <c r="D237" s="5">
        <v>100</v>
      </c>
      <c r="E237" s="5" t="s">
        <v>77</v>
      </c>
      <c r="F237" s="5">
        <v>30</v>
      </c>
      <c r="G237" s="8">
        <f>+D237*F237</f>
        <v>3000</v>
      </c>
      <c r="H237" s="5">
        <v>138000</v>
      </c>
      <c r="I237" s="5" t="s">
        <v>1319</v>
      </c>
      <c r="J237" s="5" t="s">
        <v>1320</v>
      </c>
      <c r="K237" s="5" t="s">
        <v>1321</v>
      </c>
      <c r="L237" s="5">
        <v>2020</v>
      </c>
      <c r="N237" s="5" t="s">
        <v>143</v>
      </c>
      <c r="O237" s="5" t="s">
        <v>47</v>
      </c>
      <c r="P237" s="5" t="s">
        <v>1322</v>
      </c>
      <c r="Q237" s="5" t="s">
        <v>49</v>
      </c>
      <c r="R237" s="9" t="s">
        <v>1323</v>
      </c>
    </row>
    <row r="238" spans="1:18" s="5" customFormat="1">
      <c r="A238" s="5" t="s">
        <v>1294</v>
      </c>
      <c r="B238" s="5" t="s">
        <v>1324</v>
      </c>
      <c r="C238" s="5" t="s">
        <v>1325</v>
      </c>
      <c r="D238" s="5">
        <v>10</v>
      </c>
      <c r="E238" s="5" t="s">
        <v>42</v>
      </c>
      <c r="F238" s="5">
        <v>60</v>
      </c>
      <c r="G238" s="8">
        <f>+D238*F238</f>
        <v>600</v>
      </c>
      <c r="H238" s="5">
        <v>100000</v>
      </c>
      <c r="I238" s="5" t="s">
        <v>168</v>
      </c>
      <c r="J238" s="5" t="s">
        <v>1326</v>
      </c>
      <c r="K238" s="5" t="s">
        <v>1327</v>
      </c>
      <c r="L238" s="5">
        <v>2022</v>
      </c>
      <c r="N238" s="5" t="s">
        <v>95</v>
      </c>
      <c r="O238" s="5" t="s">
        <v>47</v>
      </c>
      <c r="P238" s="12" t="s">
        <v>1328</v>
      </c>
      <c r="Q238" s="5" t="s">
        <v>49</v>
      </c>
      <c r="R238" s="9" t="s">
        <v>1329</v>
      </c>
    </row>
    <row r="239" spans="1:18">
      <c r="A239" s="5" t="s">
        <v>7</v>
      </c>
      <c r="B239" s="5" t="s">
        <v>1330</v>
      </c>
      <c r="C239" s="5" t="s">
        <v>1331</v>
      </c>
      <c r="D239" s="8">
        <v>10</v>
      </c>
      <c r="E239" s="8" t="s">
        <v>42</v>
      </c>
      <c r="F239" s="8">
        <v>30</v>
      </c>
      <c r="G239" s="8">
        <f t="shared" ref="G239:G248" si="15">D239*F239</f>
        <v>300</v>
      </c>
      <c r="H239" s="8">
        <v>280000</v>
      </c>
      <c r="I239" s="8" t="s">
        <v>168</v>
      </c>
      <c r="J239" s="8" t="s">
        <v>1332</v>
      </c>
      <c r="K239" s="5" t="s">
        <v>1333</v>
      </c>
      <c r="L239" s="8">
        <v>2019</v>
      </c>
      <c r="M239" s="8"/>
      <c r="N239" s="5" t="s">
        <v>95</v>
      </c>
      <c r="O239" s="5" t="s">
        <v>47</v>
      </c>
      <c r="P239" s="5"/>
      <c r="Q239" s="5" t="s">
        <v>49</v>
      </c>
      <c r="R239" s="9" t="s">
        <v>1334</v>
      </c>
    </row>
    <row r="240" spans="1:18" ht="14.45">
      <c r="A240" s="5" t="s">
        <v>7</v>
      </c>
      <c r="B240" s="5" t="s">
        <v>1335</v>
      </c>
      <c r="C240" s="5" t="s">
        <v>1336</v>
      </c>
      <c r="D240" s="8">
        <v>40</v>
      </c>
      <c r="E240" s="8" t="s">
        <v>77</v>
      </c>
      <c r="F240" s="8">
        <v>60</v>
      </c>
      <c r="G240" s="8">
        <f t="shared" si="15"/>
        <v>2400</v>
      </c>
      <c r="H240" s="8">
        <v>425000</v>
      </c>
      <c r="I240" s="8" t="s">
        <v>842</v>
      </c>
      <c r="J240" s="8" t="s">
        <v>1337</v>
      </c>
      <c r="K240" s="5" t="s">
        <v>1338</v>
      </c>
      <c r="L240" s="8">
        <v>2025</v>
      </c>
      <c r="M240" s="8" t="s">
        <v>5</v>
      </c>
      <c r="N240" s="5" t="s">
        <v>81</v>
      </c>
      <c r="O240" s="5" t="s">
        <v>47</v>
      </c>
      <c r="P240" s="5" t="s">
        <v>1322</v>
      </c>
      <c r="Q240" s="5" t="s">
        <v>49</v>
      </c>
      <c r="R240" s="18" t="s">
        <v>1339</v>
      </c>
    </row>
    <row r="241" spans="1:18" ht="14.45">
      <c r="A241" s="5" t="s">
        <v>1340</v>
      </c>
      <c r="B241" s="5" t="s">
        <v>1341</v>
      </c>
      <c r="C241" s="5" t="s">
        <v>1342</v>
      </c>
      <c r="D241" s="8">
        <v>25</v>
      </c>
      <c r="E241" s="8" t="s">
        <v>42</v>
      </c>
      <c r="F241" s="8">
        <v>10</v>
      </c>
      <c r="G241" s="8">
        <f t="shared" si="15"/>
        <v>250</v>
      </c>
      <c r="H241" s="8">
        <v>190000</v>
      </c>
      <c r="I241" s="8" t="s">
        <v>55</v>
      </c>
      <c r="J241" s="8" t="s">
        <v>1343</v>
      </c>
      <c r="K241" s="5"/>
      <c r="L241" s="8">
        <v>2021</v>
      </c>
      <c r="M241" s="8"/>
      <c r="N241" s="5" t="s">
        <v>81</v>
      </c>
      <c r="O241" s="5" t="s">
        <v>47</v>
      </c>
      <c r="P241" s="5" t="s">
        <v>48</v>
      </c>
      <c r="Q241" s="5" t="s">
        <v>49</v>
      </c>
      <c r="R241" s="18" t="s">
        <v>1344</v>
      </c>
    </row>
    <row r="242" spans="1:18">
      <c r="A242" s="5" t="s">
        <v>1345</v>
      </c>
      <c r="B242" s="4" t="s">
        <v>1346</v>
      </c>
      <c r="C242" s="4" t="s">
        <v>1347</v>
      </c>
      <c r="D242" s="8">
        <v>150</v>
      </c>
      <c r="E242" s="7" t="s">
        <v>132</v>
      </c>
      <c r="F242" s="8">
        <v>2</v>
      </c>
      <c r="G242" s="8">
        <f t="shared" si="15"/>
        <v>300</v>
      </c>
      <c r="H242" s="8">
        <v>580000</v>
      </c>
      <c r="I242" s="8" t="s">
        <v>1348</v>
      </c>
      <c r="J242" s="8" t="s">
        <v>1349</v>
      </c>
      <c r="K242" s="5" t="s">
        <v>1350</v>
      </c>
      <c r="L242" s="8">
        <v>2019</v>
      </c>
      <c r="M242" s="8"/>
      <c r="N242" s="4" t="s">
        <v>178</v>
      </c>
      <c r="O242" s="5" t="s">
        <v>137</v>
      </c>
      <c r="P242" s="5" t="s">
        <v>1351</v>
      </c>
      <c r="Q242" s="5" t="s">
        <v>49</v>
      </c>
      <c r="R242" s="9" t="s">
        <v>1352</v>
      </c>
    </row>
    <row r="243" spans="1:18" s="4" customFormat="1">
      <c r="A243" s="5" t="s">
        <v>1345</v>
      </c>
      <c r="B243" s="5" t="s">
        <v>1353</v>
      </c>
      <c r="C243" s="5" t="s">
        <v>1354</v>
      </c>
      <c r="D243" s="8">
        <v>80</v>
      </c>
      <c r="E243" s="8" t="s">
        <v>132</v>
      </c>
      <c r="F243" s="8">
        <v>30</v>
      </c>
      <c r="G243" s="8">
        <f t="shared" si="15"/>
        <v>2400</v>
      </c>
      <c r="H243" s="8">
        <v>280000</v>
      </c>
      <c r="I243" s="8" t="s">
        <v>275</v>
      </c>
      <c r="J243" s="8" t="s">
        <v>1355</v>
      </c>
      <c r="K243" s="5" t="s">
        <v>1356</v>
      </c>
      <c r="L243" s="8">
        <v>2016</v>
      </c>
      <c r="M243" s="8"/>
      <c r="N243" s="5" t="s">
        <v>136</v>
      </c>
      <c r="O243" s="5" t="s">
        <v>137</v>
      </c>
      <c r="P243" s="5" t="s">
        <v>1351</v>
      </c>
      <c r="Q243" s="5" t="s">
        <v>138</v>
      </c>
      <c r="R243" s="9" t="s">
        <v>1357</v>
      </c>
    </row>
    <row r="244" spans="1:18" s="4" customFormat="1">
      <c r="A244" s="5" t="s">
        <v>1345</v>
      </c>
      <c r="B244" s="4" t="s">
        <v>1358</v>
      </c>
      <c r="C244" s="4" t="s">
        <v>1359</v>
      </c>
      <c r="D244" s="8">
        <v>40</v>
      </c>
      <c r="E244" s="7" t="s">
        <v>132</v>
      </c>
      <c r="F244" s="8">
        <v>30</v>
      </c>
      <c r="G244" s="8">
        <f t="shared" si="15"/>
        <v>1200</v>
      </c>
      <c r="H244" s="8">
        <v>160000</v>
      </c>
      <c r="I244" s="8" t="s">
        <v>1348</v>
      </c>
      <c r="J244" s="8" t="s">
        <v>1360</v>
      </c>
      <c r="K244" s="5" t="s">
        <v>1361</v>
      </c>
      <c r="L244" s="8">
        <v>2016</v>
      </c>
      <c r="M244" s="8"/>
      <c r="N244" s="4" t="s">
        <v>136</v>
      </c>
      <c r="O244" s="5" t="s">
        <v>137</v>
      </c>
      <c r="P244" s="5" t="s">
        <v>1351</v>
      </c>
      <c r="Q244" s="5" t="s">
        <v>740</v>
      </c>
      <c r="R244" s="9" t="s">
        <v>1362</v>
      </c>
    </row>
    <row r="245" spans="1:18" s="4" customFormat="1">
      <c r="A245" s="5" t="s">
        <v>1345</v>
      </c>
      <c r="B245" s="4" t="s">
        <v>1363</v>
      </c>
      <c r="C245" s="4" t="s">
        <v>1364</v>
      </c>
      <c r="D245" s="8">
        <v>60</v>
      </c>
      <c r="E245" s="7" t="s">
        <v>132</v>
      </c>
      <c r="F245" s="8">
        <v>30</v>
      </c>
      <c r="G245" s="8">
        <f t="shared" si="15"/>
        <v>1800</v>
      </c>
      <c r="H245" s="8">
        <v>180000</v>
      </c>
      <c r="I245" s="8" t="s">
        <v>1158</v>
      </c>
      <c r="J245" s="8" t="s">
        <v>1365</v>
      </c>
      <c r="K245" s="5" t="s">
        <v>1366</v>
      </c>
      <c r="L245" s="8">
        <v>2017</v>
      </c>
      <c r="M245" s="8"/>
      <c r="N245" s="4" t="s">
        <v>136</v>
      </c>
      <c r="O245" s="5" t="s">
        <v>137</v>
      </c>
      <c r="P245" s="5" t="s">
        <v>1351</v>
      </c>
      <c r="Q245" s="5" t="s">
        <v>138</v>
      </c>
      <c r="R245" s="9" t="s">
        <v>1367</v>
      </c>
    </row>
    <row r="246" spans="1:18">
      <c r="A246" s="5" t="s">
        <v>1345</v>
      </c>
      <c r="B246" s="4" t="s">
        <v>1368</v>
      </c>
      <c r="C246" s="4" t="s">
        <v>1369</v>
      </c>
      <c r="D246" s="8">
        <v>20</v>
      </c>
      <c r="E246" s="7" t="s">
        <v>132</v>
      </c>
      <c r="F246" s="8">
        <v>30</v>
      </c>
      <c r="G246" s="8">
        <f t="shared" si="15"/>
        <v>600</v>
      </c>
      <c r="H246" s="8">
        <v>110000</v>
      </c>
      <c r="I246" s="8" t="s">
        <v>1370</v>
      </c>
      <c r="J246" s="8" t="s">
        <v>1371</v>
      </c>
      <c r="K246" s="5" t="s">
        <v>1361</v>
      </c>
      <c r="L246" s="8">
        <v>2017</v>
      </c>
      <c r="M246" s="8"/>
      <c r="N246" s="4" t="s">
        <v>136</v>
      </c>
      <c r="O246" s="5" t="s">
        <v>137</v>
      </c>
      <c r="P246" s="5" t="s">
        <v>1351</v>
      </c>
      <c r="Q246" s="5" t="s">
        <v>1372</v>
      </c>
      <c r="R246" s="9" t="s">
        <v>1373</v>
      </c>
    </row>
    <row r="247" spans="1:18">
      <c r="A247" s="5" t="s">
        <v>1345</v>
      </c>
      <c r="B247" s="4" t="s">
        <v>1374</v>
      </c>
      <c r="C247" s="4" t="s">
        <v>1375</v>
      </c>
      <c r="D247" s="8">
        <v>50</v>
      </c>
      <c r="E247" s="7" t="s">
        <v>189</v>
      </c>
      <c r="F247" s="8">
        <v>30</v>
      </c>
      <c r="G247" s="8">
        <f t="shared" si="15"/>
        <v>1500</v>
      </c>
      <c r="H247" s="8">
        <v>220000</v>
      </c>
      <c r="I247" s="8" t="s">
        <v>1376</v>
      </c>
      <c r="J247" s="8" t="s">
        <v>191</v>
      </c>
      <c r="K247" s="5" t="s">
        <v>192</v>
      </c>
      <c r="L247" s="8">
        <v>2021</v>
      </c>
      <c r="M247" s="8"/>
      <c r="N247" s="4" t="s">
        <v>136</v>
      </c>
      <c r="O247" s="5" t="s">
        <v>137</v>
      </c>
      <c r="P247" s="5" t="s">
        <v>1351</v>
      </c>
      <c r="Q247" s="5" t="s">
        <v>1377</v>
      </c>
      <c r="R247" s="9" t="s">
        <v>1378</v>
      </c>
    </row>
    <row r="248" spans="1:18" s="5" customFormat="1">
      <c r="A248" s="5" t="s">
        <v>1345</v>
      </c>
      <c r="B248" s="4" t="s">
        <v>1379</v>
      </c>
      <c r="C248" s="4" t="s">
        <v>1380</v>
      </c>
      <c r="D248" s="8">
        <v>10</v>
      </c>
      <c r="E248" s="7" t="s">
        <v>132</v>
      </c>
      <c r="F248" s="8">
        <v>30</v>
      </c>
      <c r="G248" s="8">
        <f t="shared" si="15"/>
        <v>300</v>
      </c>
      <c r="H248" s="8">
        <v>124000</v>
      </c>
      <c r="I248" s="8" t="s">
        <v>385</v>
      </c>
      <c r="J248" s="8" t="s">
        <v>1381</v>
      </c>
      <c r="K248" s="5" t="s">
        <v>1382</v>
      </c>
      <c r="L248" s="8">
        <v>2019</v>
      </c>
      <c r="M248" s="8"/>
      <c r="N248" s="4" t="s">
        <v>95</v>
      </c>
      <c r="O248" s="5" t="s">
        <v>137</v>
      </c>
      <c r="P248" s="5" t="s">
        <v>1351</v>
      </c>
      <c r="Q248" s="5" t="s">
        <v>49</v>
      </c>
      <c r="R248" s="9" t="s">
        <v>1383</v>
      </c>
    </row>
    <row r="249" spans="1:18" s="5" customFormat="1">
      <c r="A249" s="5" t="s">
        <v>1345</v>
      </c>
      <c r="B249" s="4" t="s">
        <v>1384</v>
      </c>
      <c r="C249" s="4" t="s">
        <v>1385</v>
      </c>
      <c r="D249" s="8">
        <v>10</v>
      </c>
      <c r="E249" s="7" t="s">
        <v>77</v>
      </c>
      <c r="F249" s="8">
        <v>30</v>
      </c>
      <c r="G249" s="8">
        <v>300</v>
      </c>
      <c r="H249" s="8">
        <v>130000</v>
      </c>
      <c r="I249" s="8" t="s">
        <v>168</v>
      </c>
      <c r="J249" s="8" t="s">
        <v>88</v>
      </c>
      <c r="K249" s="5" t="s">
        <v>89</v>
      </c>
      <c r="L249" s="8">
        <v>2022</v>
      </c>
      <c r="M249" s="8"/>
      <c r="N249" s="4" t="s">
        <v>95</v>
      </c>
      <c r="O249" s="5" t="s">
        <v>72</v>
      </c>
      <c r="P249" s="5" t="s">
        <v>1351</v>
      </c>
      <c r="Q249" s="5" t="s">
        <v>311</v>
      </c>
      <c r="R249" s="9" t="s">
        <v>1386</v>
      </c>
    </row>
    <row r="250" spans="1:18" s="5" customFormat="1">
      <c r="A250" s="5" t="s">
        <v>1387</v>
      </c>
      <c r="B250" s="5" t="s">
        <v>1388</v>
      </c>
      <c r="C250" s="5" t="s">
        <v>1389</v>
      </c>
      <c r="D250" s="5">
        <v>20</v>
      </c>
      <c r="E250" s="5" t="s">
        <v>77</v>
      </c>
      <c r="F250" s="5">
        <v>30</v>
      </c>
      <c r="G250" s="5">
        <f>+D250*F250</f>
        <v>600</v>
      </c>
      <c r="H250" s="5">
        <v>248000</v>
      </c>
      <c r="I250" s="5" t="s">
        <v>315</v>
      </c>
      <c r="J250" s="5" t="s">
        <v>1390</v>
      </c>
      <c r="K250" s="5" t="s">
        <v>1391</v>
      </c>
      <c r="L250" s="5">
        <v>2022</v>
      </c>
      <c r="N250" s="5" t="s">
        <v>178</v>
      </c>
      <c r="O250" s="5" t="s">
        <v>72</v>
      </c>
      <c r="P250" s="5" t="s">
        <v>48</v>
      </c>
      <c r="Q250" s="5" t="s">
        <v>49</v>
      </c>
      <c r="R250" s="9" t="s">
        <v>1392</v>
      </c>
    </row>
    <row r="251" spans="1:18" s="5" customFormat="1">
      <c r="A251" s="5" t="s">
        <v>1387</v>
      </c>
      <c r="B251" s="5" t="s">
        <v>1393</v>
      </c>
      <c r="C251" s="5" t="s">
        <v>1394</v>
      </c>
      <c r="D251" s="5">
        <v>70</v>
      </c>
      <c r="E251" s="5" t="s">
        <v>77</v>
      </c>
      <c r="F251" s="5">
        <v>30</v>
      </c>
      <c r="G251" s="8">
        <f>+D251*F251</f>
        <v>2100</v>
      </c>
      <c r="H251" s="5">
        <v>288000</v>
      </c>
      <c r="I251" s="5" t="s">
        <v>640</v>
      </c>
      <c r="J251" s="5" t="s">
        <v>1395</v>
      </c>
      <c r="K251" s="5" t="s">
        <v>1396</v>
      </c>
      <c r="L251" s="5">
        <v>2022</v>
      </c>
      <c r="N251" s="5" t="s">
        <v>81</v>
      </c>
      <c r="O251" s="5" t="s">
        <v>72</v>
      </c>
      <c r="P251" s="5" t="s">
        <v>48</v>
      </c>
      <c r="Q251" s="5" t="s">
        <v>49</v>
      </c>
      <c r="R251" s="9" t="s">
        <v>1397</v>
      </c>
    </row>
    <row r="252" spans="1:18" s="5" customFormat="1" ht="14.45">
      <c r="A252" s="5" t="s">
        <v>1398</v>
      </c>
      <c r="B252" s="5" t="s">
        <v>1399</v>
      </c>
      <c r="C252" s="5" t="s">
        <v>1400</v>
      </c>
      <c r="D252" s="5">
        <v>10</v>
      </c>
      <c r="E252" s="5" t="s">
        <v>42</v>
      </c>
      <c r="F252" s="5">
        <v>60</v>
      </c>
      <c r="G252" s="8">
        <f>+D252*F252</f>
        <v>600</v>
      </c>
      <c r="H252" s="5">
        <v>70000</v>
      </c>
      <c r="I252" s="8" t="s">
        <v>168</v>
      </c>
      <c r="J252" s="5" t="s">
        <v>1278</v>
      </c>
      <c r="K252" s="5" t="s">
        <v>1292</v>
      </c>
      <c r="L252" s="5">
        <v>2024</v>
      </c>
      <c r="M252" s="5" t="s">
        <v>13</v>
      </c>
      <c r="N252" s="5" t="s">
        <v>95</v>
      </c>
      <c r="O252" s="5" t="s">
        <v>116</v>
      </c>
      <c r="P252" s="5" t="s">
        <v>48</v>
      </c>
      <c r="Q252" s="5" t="s">
        <v>49</v>
      </c>
      <c r="R252" s="18" t="s">
        <v>1401</v>
      </c>
    </row>
    <row r="253" spans="1:18" s="5" customFormat="1">
      <c r="A253" s="5" t="s">
        <v>1402</v>
      </c>
      <c r="B253" s="5" t="s">
        <v>1403</v>
      </c>
      <c r="C253" s="5" t="s">
        <v>1404</v>
      </c>
      <c r="D253" s="8">
        <v>10</v>
      </c>
      <c r="E253" s="8" t="s">
        <v>77</v>
      </c>
      <c r="F253" s="8">
        <v>30</v>
      </c>
      <c r="G253" s="8">
        <f>D253*F253</f>
        <v>300</v>
      </c>
      <c r="H253" s="8">
        <v>110000</v>
      </c>
      <c r="I253" s="8" t="s">
        <v>397</v>
      </c>
      <c r="J253" s="8" t="s">
        <v>103</v>
      </c>
      <c r="K253" s="5" t="s">
        <v>1405</v>
      </c>
      <c r="L253" s="8">
        <v>2018</v>
      </c>
      <c r="M253" s="8"/>
      <c r="N253" s="5" t="s">
        <v>400</v>
      </c>
      <c r="O253" s="5" t="s">
        <v>149</v>
      </c>
      <c r="P253" s="5" t="s">
        <v>48</v>
      </c>
      <c r="Q253" s="5" t="s">
        <v>138</v>
      </c>
      <c r="R253" s="9" t="s">
        <v>1406</v>
      </c>
    </row>
    <row r="254" spans="1:18" s="5" customFormat="1">
      <c r="A254" s="5" t="s">
        <v>1407</v>
      </c>
      <c r="B254" s="5" t="s">
        <v>1408</v>
      </c>
      <c r="C254" s="5" t="s">
        <v>1409</v>
      </c>
      <c r="D254" s="8">
        <v>28</v>
      </c>
      <c r="E254" s="8" t="s">
        <v>42</v>
      </c>
      <c r="F254" s="8">
        <v>90</v>
      </c>
      <c r="G254" s="8">
        <f>D254*F254</f>
        <v>2520</v>
      </c>
      <c r="H254" s="8">
        <v>750000</v>
      </c>
      <c r="I254" s="8" t="s">
        <v>1410</v>
      </c>
      <c r="J254" s="8" t="s">
        <v>1411</v>
      </c>
      <c r="K254" s="5" t="s">
        <v>1412</v>
      </c>
      <c r="L254" s="8">
        <v>2018</v>
      </c>
      <c r="M254" s="8"/>
      <c r="N254" s="5" t="s">
        <v>727</v>
      </c>
      <c r="O254" s="5" t="s">
        <v>420</v>
      </c>
      <c r="P254" s="5" t="s">
        <v>1413</v>
      </c>
      <c r="Q254" s="5" t="s">
        <v>138</v>
      </c>
      <c r="R254" s="9" t="s">
        <v>1414</v>
      </c>
    </row>
    <row r="255" spans="1:18" s="5" customFormat="1">
      <c r="A255" s="5" t="s">
        <v>1415</v>
      </c>
      <c r="B255" s="4" t="s">
        <v>1416</v>
      </c>
      <c r="C255" s="4" t="s">
        <v>1417</v>
      </c>
      <c r="D255" s="4">
        <v>4</v>
      </c>
      <c r="E255" s="4" t="s">
        <v>42</v>
      </c>
      <c r="F255" s="4">
        <v>30</v>
      </c>
      <c r="G255" s="4">
        <f>+D255*F255</f>
        <v>120</v>
      </c>
      <c r="H255" s="7">
        <v>550000</v>
      </c>
      <c r="I255" s="4" t="s">
        <v>1418</v>
      </c>
      <c r="J255" s="4" t="s">
        <v>1419</v>
      </c>
      <c r="K255" s="4" t="s">
        <v>1420</v>
      </c>
      <c r="L255" s="4">
        <v>2021</v>
      </c>
      <c r="M255" s="4"/>
      <c r="N255" s="5" t="s">
        <v>46</v>
      </c>
      <c r="O255" s="4" t="s">
        <v>428</v>
      </c>
      <c r="P255" s="4" t="s">
        <v>48</v>
      </c>
      <c r="Q255" s="4" t="s">
        <v>163</v>
      </c>
      <c r="R255" s="15" t="s">
        <v>1421</v>
      </c>
    </row>
    <row r="256" spans="1:18" s="5" customFormat="1">
      <c r="A256" s="5" t="s">
        <v>1422</v>
      </c>
      <c r="B256" s="5" t="s">
        <v>1423</v>
      </c>
      <c r="C256" s="5" t="s">
        <v>1424</v>
      </c>
      <c r="D256" s="8">
        <v>100</v>
      </c>
      <c r="E256" s="8" t="s">
        <v>132</v>
      </c>
      <c r="F256" s="8">
        <v>60</v>
      </c>
      <c r="G256" s="8">
        <f t="shared" ref="G256:G263" si="16">D256*F256</f>
        <v>6000</v>
      </c>
      <c r="H256" s="8">
        <v>195000</v>
      </c>
      <c r="I256" s="8" t="s">
        <v>1425</v>
      </c>
      <c r="J256" s="8" t="s">
        <v>1426</v>
      </c>
      <c r="K256" s="5" t="s">
        <v>1427</v>
      </c>
      <c r="L256" s="8">
        <v>2018</v>
      </c>
      <c r="M256" s="8"/>
      <c r="N256" s="5" t="s">
        <v>136</v>
      </c>
      <c r="O256" s="5" t="s">
        <v>1428</v>
      </c>
      <c r="P256" s="5" t="s">
        <v>48</v>
      </c>
      <c r="Q256" s="5" t="s">
        <v>138</v>
      </c>
      <c r="R256" s="9" t="s">
        <v>1429</v>
      </c>
    </row>
    <row r="257" spans="1:18" s="5" customFormat="1" ht="14.45">
      <c r="A257" s="5" t="s">
        <v>1430</v>
      </c>
      <c r="B257" s="5" t="s">
        <v>1431</v>
      </c>
      <c r="C257" s="5" t="s">
        <v>1432</v>
      </c>
      <c r="D257" s="8">
        <v>3.75</v>
      </c>
      <c r="E257" s="8" t="s">
        <v>42</v>
      </c>
      <c r="F257" s="8">
        <v>5</v>
      </c>
      <c r="G257" s="8">
        <f t="shared" si="16"/>
        <v>18.75</v>
      </c>
      <c r="H257" s="8" t="s">
        <v>595</v>
      </c>
      <c r="I257" s="8" t="s">
        <v>1433</v>
      </c>
      <c r="J257" s="8" t="s">
        <v>1434</v>
      </c>
      <c r="K257" s="5" t="s">
        <v>1435</v>
      </c>
      <c r="L257" s="8">
        <v>2023</v>
      </c>
      <c r="M257" s="8" t="s">
        <v>17</v>
      </c>
      <c r="N257" s="5" t="s">
        <v>46</v>
      </c>
      <c r="O257" s="5" t="s">
        <v>72</v>
      </c>
      <c r="P257" s="5" t="s">
        <v>1436</v>
      </c>
      <c r="Q257" s="5" t="s">
        <v>49</v>
      </c>
      <c r="R257" s="18" t="s">
        <v>1437</v>
      </c>
    </row>
    <row r="258" spans="1:18" s="5" customFormat="1">
      <c r="A258" s="5" t="s">
        <v>1438</v>
      </c>
      <c r="B258" s="4" t="s">
        <v>1439</v>
      </c>
      <c r="C258" s="4" t="s">
        <v>1440</v>
      </c>
      <c r="D258" s="8">
        <v>4.2</v>
      </c>
      <c r="E258" s="8" t="s">
        <v>42</v>
      </c>
      <c r="F258" s="8">
        <v>35</v>
      </c>
      <c r="G258" s="8">
        <f t="shared" si="16"/>
        <v>147</v>
      </c>
      <c r="H258" s="8">
        <v>560000</v>
      </c>
      <c r="I258" s="8" t="s">
        <v>1441</v>
      </c>
      <c r="J258" s="8" t="s">
        <v>697</v>
      </c>
      <c r="K258" s="5" t="s">
        <v>1442</v>
      </c>
      <c r="L258" s="8">
        <v>2018</v>
      </c>
      <c r="M258" s="8"/>
      <c r="N258" s="5" t="s">
        <v>46</v>
      </c>
      <c r="O258" s="12" t="s">
        <v>338</v>
      </c>
      <c r="P258" s="12" t="s">
        <v>1443</v>
      </c>
      <c r="Q258" s="5" t="s">
        <v>138</v>
      </c>
      <c r="R258" s="9" t="s">
        <v>1444</v>
      </c>
    </row>
    <row r="259" spans="1:18" s="5" customFormat="1">
      <c r="A259" s="5" t="s">
        <v>1445</v>
      </c>
      <c r="B259" s="5" t="s">
        <v>1446</v>
      </c>
      <c r="C259" s="5" t="s">
        <v>1447</v>
      </c>
      <c r="D259" s="8">
        <v>4.5</v>
      </c>
      <c r="E259" s="8" t="s">
        <v>42</v>
      </c>
      <c r="F259" s="8">
        <v>10</v>
      </c>
      <c r="G259" s="8">
        <f t="shared" si="16"/>
        <v>45</v>
      </c>
      <c r="H259" s="8">
        <v>385000</v>
      </c>
      <c r="I259" s="8" t="s">
        <v>1448</v>
      </c>
      <c r="J259" s="8" t="s">
        <v>1449</v>
      </c>
      <c r="K259" s="5" t="s">
        <v>1450</v>
      </c>
      <c r="L259" s="8">
        <v>2018</v>
      </c>
      <c r="M259" s="8"/>
      <c r="N259" s="5" t="s">
        <v>46</v>
      </c>
      <c r="O259" s="5" t="s">
        <v>137</v>
      </c>
      <c r="P259" s="5" t="s">
        <v>48</v>
      </c>
      <c r="Q259" s="5" t="s">
        <v>138</v>
      </c>
      <c r="R259" s="9" t="s">
        <v>1451</v>
      </c>
    </row>
    <row r="260" spans="1:18" s="5" customFormat="1">
      <c r="A260" s="5" t="s">
        <v>1452</v>
      </c>
      <c r="B260" s="5" t="s">
        <v>1453</v>
      </c>
      <c r="C260" s="5" t="s">
        <v>1454</v>
      </c>
      <c r="D260" s="8">
        <v>60</v>
      </c>
      <c r="E260" s="8" t="s">
        <v>132</v>
      </c>
      <c r="F260" s="8">
        <v>120</v>
      </c>
      <c r="G260" s="8">
        <f t="shared" si="16"/>
        <v>7200</v>
      </c>
      <c r="H260" s="8">
        <v>157960</v>
      </c>
      <c r="I260" s="8" t="s">
        <v>1158</v>
      </c>
      <c r="J260" s="8" t="s">
        <v>1455</v>
      </c>
      <c r="K260" s="5" t="s">
        <v>1456</v>
      </c>
      <c r="L260" s="8">
        <v>2014</v>
      </c>
      <c r="M260" s="8"/>
      <c r="N260" s="5" t="s">
        <v>136</v>
      </c>
      <c r="O260" s="5" t="s">
        <v>149</v>
      </c>
      <c r="P260" s="5" t="s">
        <v>1457</v>
      </c>
      <c r="Q260" s="5" t="s">
        <v>138</v>
      </c>
      <c r="R260" s="9" t="s">
        <v>1458</v>
      </c>
    </row>
    <row r="261" spans="1:18" s="5" customFormat="1" ht="14.45">
      <c r="A261" s="5" t="s">
        <v>1452</v>
      </c>
      <c r="B261" s="5" t="s">
        <v>1459</v>
      </c>
      <c r="C261" s="5" t="s">
        <v>1460</v>
      </c>
      <c r="D261" s="8">
        <v>66</v>
      </c>
      <c r="E261" s="8" t="s">
        <v>77</v>
      </c>
      <c r="F261" s="8">
        <v>30</v>
      </c>
      <c r="G261" s="8">
        <f t="shared" si="16"/>
        <v>1980</v>
      </c>
      <c r="H261" s="8">
        <v>99000</v>
      </c>
      <c r="I261" s="8" t="s">
        <v>1461</v>
      </c>
      <c r="J261" s="8" t="s">
        <v>1462</v>
      </c>
      <c r="K261" s="5" t="s">
        <v>1463</v>
      </c>
      <c r="L261" s="8">
        <v>2024</v>
      </c>
      <c r="M261" s="8" t="s">
        <v>5</v>
      </c>
      <c r="N261" s="5" t="s">
        <v>81</v>
      </c>
      <c r="O261" s="5" t="s">
        <v>116</v>
      </c>
      <c r="P261" s="5" t="s">
        <v>1464</v>
      </c>
      <c r="Q261" s="5" t="s">
        <v>328</v>
      </c>
      <c r="R261" s="18" t="s">
        <v>1465</v>
      </c>
    </row>
    <row r="262" spans="1:18" s="5" customFormat="1">
      <c r="A262" s="5" t="s">
        <v>1466</v>
      </c>
      <c r="B262" s="5" t="s">
        <v>1467</v>
      </c>
      <c r="C262" s="5" t="s">
        <v>1468</v>
      </c>
      <c r="D262" s="5">
        <v>10</v>
      </c>
      <c r="E262" s="5" t="s">
        <v>42</v>
      </c>
      <c r="F262" s="5">
        <v>30</v>
      </c>
      <c r="G262" s="8">
        <f t="shared" si="16"/>
        <v>300</v>
      </c>
      <c r="H262" s="8">
        <v>72600</v>
      </c>
      <c r="I262" s="5" t="s">
        <v>385</v>
      </c>
      <c r="J262" s="5" t="s">
        <v>1469</v>
      </c>
      <c r="K262" s="5" t="s">
        <v>1470</v>
      </c>
      <c r="L262" s="5">
        <v>2021</v>
      </c>
      <c r="N262" s="5" t="s">
        <v>95</v>
      </c>
      <c r="O262" s="5" t="s">
        <v>47</v>
      </c>
      <c r="P262" s="5" t="s">
        <v>48</v>
      </c>
      <c r="Q262" s="5" t="s">
        <v>49</v>
      </c>
      <c r="R262" s="9" t="s">
        <v>1471</v>
      </c>
    </row>
    <row r="263" spans="1:18" s="5" customFormat="1">
      <c r="A263" s="5" t="s">
        <v>1472</v>
      </c>
      <c r="B263" s="5" t="s">
        <v>1473</v>
      </c>
      <c r="C263" s="5" t="s">
        <v>1474</v>
      </c>
      <c r="D263" s="8">
        <v>10</v>
      </c>
      <c r="E263" s="8" t="s">
        <v>42</v>
      </c>
      <c r="F263" s="8">
        <v>20</v>
      </c>
      <c r="G263" s="8">
        <f t="shared" si="16"/>
        <v>200</v>
      </c>
      <c r="H263" s="8">
        <v>28000</v>
      </c>
      <c r="I263" s="8" t="s">
        <v>241</v>
      </c>
      <c r="J263" s="8" t="s">
        <v>1475</v>
      </c>
      <c r="K263" s="5" t="s">
        <v>1476</v>
      </c>
      <c r="L263" s="8">
        <v>2019</v>
      </c>
      <c r="M263" s="8"/>
      <c r="N263" s="5" t="s">
        <v>95</v>
      </c>
      <c r="O263" s="5" t="s">
        <v>47</v>
      </c>
      <c r="P263" s="5" t="s">
        <v>48</v>
      </c>
      <c r="Q263" s="5" t="s">
        <v>49</v>
      </c>
      <c r="R263" s="9" t="s">
        <v>1477</v>
      </c>
    </row>
    <row r="264" spans="1:18" s="5" customFormat="1">
      <c r="A264" s="5" t="s">
        <v>1478</v>
      </c>
      <c r="B264" s="5" t="s">
        <v>1479</v>
      </c>
      <c r="C264" s="5" t="s">
        <v>1480</v>
      </c>
      <c r="D264" s="5">
        <v>15</v>
      </c>
      <c r="E264" s="5" t="s">
        <v>77</v>
      </c>
      <c r="F264" s="5">
        <v>30</v>
      </c>
      <c r="G264" s="5">
        <f>+D264*F264</f>
        <v>450</v>
      </c>
      <c r="H264" s="5">
        <v>198000</v>
      </c>
      <c r="I264" s="5" t="s">
        <v>235</v>
      </c>
      <c r="J264" s="5" t="s">
        <v>1481</v>
      </c>
      <c r="K264" s="5" t="s">
        <v>1482</v>
      </c>
      <c r="L264" s="5">
        <v>2020</v>
      </c>
      <c r="N264" s="5" t="s">
        <v>95</v>
      </c>
      <c r="O264" s="5" t="s">
        <v>47</v>
      </c>
      <c r="P264" s="5" t="s">
        <v>48</v>
      </c>
      <c r="Q264" s="5" t="s">
        <v>49</v>
      </c>
      <c r="R264" s="5" t="s">
        <v>1483</v>
      </c>
    </row>
    <row r="265" spans="1:18" s="5" customFormat="1">
      <c r="A265" s="5" t="s">
        <v>1484</v>
      </c>
      <c r="B265" s="5" t="s">
        <v>1485</v>
      </c>
      <c r="C265" s="5" t="s">
        <v>1486</v>
      </c>
      <c r="D265" s="8">
        <v>70</v>
      </c>
      <c r="E265" s="8" t="s">
        <v>132</v>
      </c>
      <c r="F265" s="8">
        <v>30</v>
      </c>
      <c r="G265" s="8">
        <f>D265*F265</f>
        <v>2100</v>
      </c>
      <c r="H265" s="8">
        <v>19600</v>
      </c>
      <c r="I265" s="8" t="s">
        <v>725</v>
      </c>
      <c r="J265" s="8" t="s">
        <v>697</v>
      </c>
      <c r="K265" s="5" t="s">
        <v>1442</v>
      </c>
      <c r="L265" s="8">
        <v>2018</v>
      </c>
      <c r="M265" s="8"/>
      <c r="N265" s="5" t="s">
        <v>136</v>
      </c>
      <c r="O265" s="5" t="s">
        <v>149</v>
      </c>
      <c r="P265" s="5" t="s">
        <v>48</v>
      </c>
      <c r="Q265" s="5" t="s">
        <v>138</v>
      </c>
      <c r="R265" s="9" t="s">
        <v>1487</v>
      </c>
    </row>
    <row r="266" spans="1:18" s="5" customFormat="1">
      <c r="A266" s="5" t="s">
        <v>1484</v>
      </c>
      <c r="B266" s="5" t="s">
        <v>1488</v>
      </c>
      <c r="C266" s="5" t="s">
        <v>1489</v>
      </c>
      <c r="D266" s="8">
        <v>30</v>
      </c>
      <c r="E266" s="8" t="s">
        <v>132</v>
      </c>
      <c r="F266" s="8">
        <v>30</v>
      </c>
      <c r="G266" s="8">
        <f>D266*F266</f>
        <v>900</v>
      </c>
      <c r="H266" s="8">
        <v>39900</v>
      </c>
      <c r="I266" s="8" t="s">
        <v>1490</v>
      </c>
      <c r="J266" s="8" t="s">
        <v>697</v>
      </c>
      <c r="K266" s="5" t="s">
        <v>1442</v>
      </c>
      <c r="L266" s="8">
        <v>2018</v>
      </c>
      <c r="M266" s="8"/>
      <c r="N266" s="5" t="s">
        <v>136</v>
      </c>
      <c r="O266" s="5" t="s">
        <v>149</v>
      </c>
      <c r="P266" s="5" t="s">
        <v>48</v>
      </c>
      <c r="Q266" s="5" t="s">
        <v>740</v>
      </c>
      <c r="R266" s="9" t="s">
        <v>1491</v>
      </c>
    </row>
    <row r="267" spans="1:18" s="5" customFormat="1">
      <c r="A267" s="5" t="s">
        <v>1492</v>
      </c>
      <c r="B267" s="5" t="s">
        <v>1493</v>
      </c>
      <c r="C267" s="5" t="s">
        <v>1494</v>
      </c>
      <c r="D267" s="5">
        <v>70</v>
      </c>
      <c r="E267" s="5" t="s">
        <v>77</v>
      </c>
      <c r="F267" s="5">
        <v>240</v>
      </c>
      <c r="G267" s="13">
        <f>+D267*F267</f>
        <v>16800</v>
      </c>
      <c r="H267" s="13">
        <v>288000</v>
      </c>
      <c r="I267" s="5" t="s">
        <v>640</v>
      </c>
      <c r="J267" s="5" t="s">
        <v>1495</v>
      </c>
      <c r="K267" s="5" t="s">
        <v>1496</v>
      </c>
      <c r="L267" s="5">
        <v>2021</v>
      </c>
      <c r="N267" s="5" t="s">
        <v>81</v>
      </c>
      <c r="O267" s="5" t="s">
        <v>82</v>
      </c>
      <c r="P267" s="5" t="s">
        <v>1497</v>
      </c>
      <c r="Q267" s="5" t="s">
        <v>49</v>
      </c>
      <c r="R267" s="12" t="s">
        <v>948</v>
      </c>
    </row>
    <row r="268" spans="1:18" s="5" customFormat="1" ht="14.45">
      <c r="A268" s="5" t="s">
        <v>1498</v>
      </c>
      <c r="B268" s="5" t="s">
        <v>1499</v>
      </c>
      <c r="C268" s="5" t="s">
        <v>1500</v>
      </c>
      <c r="D268" s="5">
        <v>80</v>
      </c>
      <c r="E268" s="5" t="s">
        <v>77</v>
      </c>
      <c r="F268" s="5">
        <v>20</v>
      </c>
      <c r="G268" s="13">
        <f>+D268*F268</f>
        <v>1600</v>
      </c>
      <c r="H268" s="13">
        <v>59000</v>
      </c>
      <c r="I268" s="5" t="s">
        <v>863</v>
      </c>
      <c r="J268" s="8" t="s">
        <v>378</v>
      </c>
      <c r="K268" s="5" t="s">
        <v>1501</v>
      </c>
      <c r="L268" s="5">
        <v>2023</v>
      </c>
      <c r="M268" s="5" t="s">
        <v>8</v>
      </c>
      <c r="N268" s="5" t="s">
        <v>81</v>
      </c>
      <c r="O268" s="5" t="s">
        <v>72</v>
      </c>
      <c r="P268" s="5" t="s">
        <v>48</v>
      </c>
      <c r="Q268" s="5" t="s">
        <v>49</v>
      </c>
      <c r="R268" s="25" t="s">
        <v>1502</v>
      </c>
    </row>
    <row r="269" spans="1:18" ht="14.45">
      <c r="A269" s="5" t="s">
        <v>1503</v>
      </c>
      <c r="B269" s="5" t="s">
        <v>1504</v>
      </c>
      <c r="C269" s="5" t="s">
        <v>1505</v>
      </c>
      <c r="D269" s="5">
        <v>3.75</v>
      </c>
      <c r="E269" s="5" t="s">
        <v>42</v>
      </c>
      <c r="F269" s="5">
        <v>30</v>
      </c>
      <c r="G269" s="5">
        <f>+D269*F269</f>
        <v>112.5</v>
      </c>
      <c r="H269" s="5">
        <v>145000</v>
      </c>
      <c r="I269" s="12" t="s">
        <v>43</v>
      </c>
      <c r="J269" s="5" t="s">
        <v>451</v>
      </c>
      <c r="K269" s="5" t="s">
        <v>452</v>
      </c>
      <c r="L269" s="5">
        <v>2023</v>
      </c>
      <c r="M269" s="5" t="s">
        <v>735</v>
      </c>
      <c r="N269" s="5" t="s">
        <v>46</v>
      </c>
      <c r="O269" s="12" t="s">
        <v>338</v>
      </c>
      <c r="P269" s="5" t="s">
        <v>48</v>
      </c>
      <c r="Q269" s="5" t="s">
        <v>49</v>
      </c>
      <c r="R269" s="29" t="s">
        <v>1506</v>
      </c>
    </row>
    <row r="270" spans="1:18">
      <c r="A270" s="5" t="s">
        <v>1507</v>
      </c>
      <c r="B270" s="5" t="s">
        <v>1508</v>
      </c>
      <c r="C270" s="5" t="s">
        <v>1509</v>
      </c>
      <c r="D270" s="7">
        <v>4</v>
      </c>
      <c r="E270" s="7" t="s">
        <v>42</v>
      </c>
      <c r="F270" s="7">
        <v>3</v>
      </c>
      <c r="G270" s="7">
        <f t="shared" ref="G270:G279" si="17">D270*F270</f>
        <v>12</v>
      </c>
      <c r="H270" s="7">
        <v>60000</v>
      </c>
      <c r="I270" s="7" t="s">
        <v>407</v>
      </c>
      <c r="J270" s="8" t="s">
        <v>378</v>
      </c>
      <c r="K270" s="5" t="s">
        <v>379</v>
      </c>
      <c r="L270" s="7">
        <v>2018</v>
      </c>
      <c r="M270" s="7"/>
      <c r="N270" s="5" t="s">
        <v>46</v>
      </c>
      <c r="O270" s="4" t="s">
        <v>149</v>
      </c>
      <c r="P270" s="5" t="s">
        <v>48</v>
      </c>
      <c r="Q270" s="4" t="s">
        <v>138</v>
      </c>
      <c r="R270" s="9" t="s">
        <v>1510</v>
      </c>
    </row>
    <row r="271" spans="1:18" s="5" customFormat="1">
      <c r="A271" s="5" t="s">
        <v>1507</v>
      </c>
      <c r="B271" s="5" t="s">
        <v>1508</v>
      </c>
      <c r="C271" s="5" t="s">
        <v>1509</v>
      </c>
      <c r="D271" s="7">
        <v>4</v>
      </c>
      <c r="E271" s="7" t="s">
        <v>42</v>
      </c>
      <c r="F271" s="7">
        <v>15</v>
      </c>
      <c r="G271" s="7">
        <f t="shared" si="17"/>
        <v>60</v>
      </c>
      <c r="H271" s="7">
        <v>300000</v>
      </c>
      <c r="I271" s="7" t="s">
        <v>407</v>
      </c>
      <c r="J271" s="8" t="s">
        <v>378</v>
      </c>
      <c r="K271" s="5" t="s">
        <v>379</v>
      </c>
      <c r="L271" s="7">
        <v>2018</v>
      </c>
      <c r="M271" s="7"/>
      <c r="N271" s="5" t="s">
        <v>46</v>
      </c>
      <c r="O271" s="4" t="s">
        <v>149</v>
      </c>
      <c r="P271" s="5" t="s">
        <v>48</v>
      </c>
      <c r="Q271" s="4" t="s">
        <v>138</v>
      </c>
      <c r="R271" s="9" t="s">
        <v>1510</v>
      </c>
    </row>
    <row r="272" spans="1:18" s="5" customFormat="1">
      <c r="A272" s="5" t="s">
        <v>1507</v>
      </c>
      <c r="B272" s="5" t="s">
        <v>1511</v>
      </c>
      <c r="C272" s="5" t="s">
        <v>1512</v>
      </c>
      <c r="D272" s="7">
        <v>200</v>
      </c>
      <c r="E272" s="7" t="s">
        <v>42</v>
      </c>
      <c r="F272" s="7">
        <v>1</v>
      </c>
      <c r="G272" s="7">
        <f t="shared" si="17"/>
        <v>200</v>
      </c>
      <c r="H272" s="7">
        <v>500000</v>
      </c>
      <c r="I272" s="7" t="s">
        <v>1513</v>
      </c>
      <c r="J272" s="7" t="s">
        <v>1514</v>
      </c>
      <c r="K272" s="5" t="s">
        <v>1515</v>
      </c>
      <c r="L272" s="7">
        <v>2018</v>
      </c>
      <c r="M272" s="7"/>
      <c r="N272" s="5" t="s">
        <v>419</v>
      </c>
      <c r="O272" s="4" t="s">
        <v>149</v>
      </c>
      <c r="P272" s="5" t="s">
        <v>48</v>
      </c>
      <c r="Q272" s="4" t="s">
        <v>138</v>
      </c>
      <c r="R272" s="9" t="s">
        <v>1516</v>
      </c>
    </row>
    <row r="273" spans="1:18" s="5" customFormat="1">
      <c r="A273" s="5" t="s">
        <v>1507</v>
      </c>
      <c r="B273" s="5" t="s">
        <v>1517</v>
      </c>
      <c r="C273" s="5" t="s">
        <v>1518</v>
      </c>
      <c r="D273" s="7">
        <v>350</v>
      </c>
      <c r="E273" s="7" t="s">
        <v>121</v>
      </c>
      <c r="F273" s="7">
        <v>30</v>
      </c>
      <c r="G273" s="7">
        <f t="shared" si="17"/>
        <v>10500</v>
      </c>
      <c r="H273" s="7">
        <v>100000</v>
      </c>
      <c r="I273" s="7" t="s">
        <v>1519</v>
      </c>
      <c r="J273" s="7" t="s">
        <v>63</v>
      </c>
      <c r="K273" s="5" t="s">
        <v>1520</v>
      </c>
      <c r="L273" s="7">
        <v>2019</v>
      </c>
      <c r="M273" s="7"/>
      <c r="N273" s="4" t="s">
        <v>985</v>
      </c>
      <c r="O273" s="4" t="s">
        <v>149</v>
      </c>
      <c r="P273" s="5" t="s">
        <v>48</v>
      </c>
      <c r="Q273" s="4" t="s">
        <v>138</v>
      </c>
      <c r="R273" s="9" t="s">
        <v>1521</v>
      </c>
    </row>
    <row r="274" spans="1:18" s="5" customFormat="1">
      <c r="A274" s="5" t="s">
        <v>1507</v>
      </c>
      <c r="B274" s="5" t="s">
        <v>1522</v>
      </c>
      <c r="C274" s="5" t="s">
        <v>1523</v>
      </c>
      <c r="D274" s="7">
        <v>100</v>
      </c>
      <c r="E274" s="7" t="s">
        <v>42</v>
      </c>
      <c r="F274" s="7">
        <v>1</v>
      </c>
      <c r="G274" s="7">
        <f t="shared" si="17"/>
        <v>100</v>
      </c>
      <c r="H274" s="7">
        <v>168000</v>
      </c>
      <c r="I274" s="7" t="s">
        <v>1513</v>
      </c>
      <c r="J274" s="7" t="s">
        <v>1524</v>
      </c>
      <c r="K274" s="5" t="s">
        <v>1525</v>
      </c>
      <c r="L274" s="8">
        <v>2018</v>
      </c>
      <c r="M274" s="8"/>
      <c r="N274" s="4" t="s">
        <v>136</v>
      </c>
      <c r="O274" s="4" t="s">
        <v>149</v>
      </c>
      <c r="P274" s="5" t="s">
        <v>48</v>
      </c>
      <c r="Q274" s="4" t="s">
        <v>138</v>
      </c>
      <c r="R274" s="9" t="s">
        <v>1526</v>
      </c>
    </row>
    <row r="275" spans="1:18" s="5" customFormat="1">
      <c r="A275" s="5" t="s">
        <v>1507</v>
      </c>
      <c r="B275" s="5" t="s">
        <v>1527</v>
      </c>
      <c r="C275" s="5" t="s">
        <v>1528</v>
      </c>
      <c r="D275" s="7">
        <v>70</v>
      </c>
      <c r="E275" s="7" t="s">
        <v>132</v>
      </c>
      <c r="F275" s="7">
        <v>30</v>
      </c>
      <c r="G275" s="7">
        <f t="shared" si="17"/>
        <v>2100</v>
      </c>
      <c r="H275" s="7">
        <v>160000</v>
      </c>
      <c r="I275" s="7" t="s">
        <v>725</v>
      </c>
      <c r="J275" s="7" t="s">
        <v>1529</v>
      </c>
      <c r="K275" s="5" t="s">
        <v>1530</v>
      </c>
      <c r="L275" s="7">
        <v>2018</v>
      </c>
      <c r="M275" s="7"/>
      <c r="N275" s="4" t="s">
        <v>136</v>
      </c>
      <c r="O275" s="4" t="s">
        <v>149</v>
      </c>
      <c r="P275" s="5" t="s">
        <v>48</v>
      </c>
      <c r="Q275" s="4" t="s">
        <v>138</v>
      </c>
      <c r="R275" s="9" t="s">
        <v>1531</v>
      </c>
    </row>
    <row r="276" spans="1:18" s="5" customFormat="1">
      <c r="A276" s="5" t="s">
        <v>1507</v>
      </c>
      <c r="B276" s="5" t="s">
        <v>1522</v>
      </c>
      <c r="C276" s="5" t="s">
        <v>1523</v>
      </c>
      <c r="D276" s="7">
        <v>200</v>
      </c>
      <c r="E276" s="7" t="s">
        <v>42</v>
      </c>
      <c r="F276" s="7">
        <v>1</v>
      </c>
      <c r="G276" s="7">
        <f t="shared" si="17"/>
        <v>200</v>
      </c>
      <c r="H276" s="7">
        <v>280000</v>
      </c>
      <c r="I276" s="7" t="s">
        <v>1513</v>
      </c>
      <c r="J276" s="7" t="s">
        <v>1524</v>
      </c>
      <c r="K276" s="5" t="s">
        <v>1525</v>
      </c>
      <c r="L276" s="8">
        <v>2018</v>
      </c>
      <c r="M276" s="8"/>
      <c r="N276" s="4" t="s">
        <v>136</v>
      </c>
      <c r="O276" s="4" t="s">
        <v>149</v>
      </c>
      <c r="P276" s="5" t="s">
        <v>48</v>
      </c>
      <c r="Q276" s="4" t="s">
        <v>138</v>
      </c>
      <c r="R276" s="9" t="s">
        <v>1526</v>
      </c>
    </row>
    <row r="277" spans="1:18" s="5" customFormat="1">
      <c r="A277" s="5" t="s">
        <v>1507</v>
      </c>
      <c r="B277" s="5" t="s">
        <v>1532</v>
      </c>
      <c r="C277" s="5" t="s">
        <v>1533</v>
      </c>
      <c r="D277" s="7">
        <v>10</v>
      </c>
      <c r="E277" s="7" t="s">
        <v>132</v>
      </c>
      <c r="F277" s="7">
        <v>30</v>
      </c>
      <c r="G277" s="7">
        <f t="shared" si="17"/>
        <v>300</v>
      </c>
      <c r="H277" s="7">
        <v>140000</v>
      </c>
      <c r="I277" s="7" t="s">
        <v>397</v>
      </c>
      <c r="J277" s="7" t="s">
        <v>1534</v>
      </c>
      <c r="K277" s="5" t="s">
        <v>1535</v>
      </c>
      <c r="L277" s="7">
        <v>2018</v>
      </c>
      <c r="M277" s="7"/>
      <c r="N277" s="4" t="s">
        <v>400</v>
      </c>
      <c r="O277" s="4" t="s">
        <v>149</v>
      </c>
      <c r="P277" s="5" t="s">
        <v>48</v>
      </c>
      <c r="Q277" s="4" t="s">
        <v>138</v>
      </c>
      <c r="R277" s="9" t="s">
        <v>1536</v>
      </c>
    </row>
    <row r="278" spans="1:18" s="5" customFormat="1">
      <c r="A278" s="5" t="s">
        <v>1507</v>
      </c>
      <c r="B278" s="5" t="s">
        <v>1537</v>
      </c>
      <c r="C278" s="5" t="s">
        <v>1538</v>
      </c>
      <c r="D278" s="7">
        <v>17</v>
      </c>
      <c r="E278" s="7" t="s">
        <v>42</v>
      </c>
      <c r="F278" s="7">
        <v>30</v>
      </c>
      <c r="G278" s="7">
        <f t="shared" si="17"/>
        <v>510</v>
      </c>
      <c r="H278" s="7">
        <v>110000</v>
      </c>
      <c r="I278" s="7" t="s">
        <v>1539</v>
      </c>
      <c r="J278" s="7" t="s">
        <v>1540</v>
      </c>
      <c r="K278" s="5" t="s">
        <v>1541</v>
      </c>
      <c r="L278" s="7">
        <v>2018</v>
      </c>
      <c r="M278" s="7"/>
      <c r="N278" s="4" t="s">
        <v>400</v>
      </c>
      <c r="O278" s="4" t="s">
        <v>149</v>
      </c>
      <c r="P278" s="5" t="s">
        <v>48</v>
      </c>
      <c r="Q278" s="4" t="s">
        <v>271</v>
      </c>
      <c r="R278" s="9" t="s">
        <v>1542</v>
      </c>
    </row>
    <row r="279" spans="1:18" s="5" customFormat="1">
      <c r="A279" s="5" t="s">
        <v>1507</v>
      </c>
      <c r="B279" s="5" t="s">
        <v>1543</v>
      </c>
      <c r="C279" s="5" t="s">
        <v>1544</v>
      </c>
      <c r="D279" s="7">
        <v>17</v>
      </c>
      <c r="E279" s="7" t="s">
        <v>42</v>
      </c>
      <c r="F279" s="7">
        <v>60</v>
      </c>
      <c r="G279" s="7">
        <f t="shared" si="17"/>
        <v>1020</v>
      </c>
      <c r="H279" s="7">
        <v>140000</v>
      </c>
      <c r="I279" s="7" t="s">
        <v>1545</v>
      </c>
      <c r="J279" s="7" t="s">
        <v>1546</v>
      </c>
      <c r="K279" s="5" t="s">
        <v>1547</v>
      </c>
      <c r="L279" s="7">
        <v>2018</v>
      </c>
      <c r="M279" s="7"/>
      <c r="N279" s="4" t="s">
        <v>400</v>
      </c>
      <c r="O279" s="4" t="s">
        <v>149</v>
      </c>
      <c r="P279" s="5" t="s">
        <v>48</v>
      </c>
      <c r="Q279" s="4" t="s">
        <v>138</v>
      </c>
      <c r="R279" s="9" t="s">
        <v>1548</v>
      </c>
    </row>
    <row r="280" spans="1:18" s="5" customFormat="1">
      <c r="A280" s="5" t="s">
        <v>1507</v>
      </c>
      <c r="B280" s="5" t="s">
        <v>1549</v>
      </c>
      <c r="C280" s="5" t="s">
        <v>1550</v>
      </c>
      <c r="D280" s="5">
        <v>15</v>
      </c>
      <c r="E280" s="5" t="s">
        <v>42</v>
      </c>
      <c r="F280" s="5">
        <v>30</v>
      </c>
      <c r="G280" s="5">
        <f>+D280*F280</f>
        <v>450</v>
      </c>
      <c r="H280" s="5">
        <v>42500</v>
      </c>
      <c r="I280" s="5" t="s">
        <v>235</v>
      </c>
      <c r="J280" s="5" t="s">
        <v>1551</v>
      </c>
      <c r="K280" s="5" t="s">
        <v>1552</v>
      </c>
      <c r="L280" s="5">
        <v>2020</v>
      </c>
      <c r="N280" s="5" t="s">
        <v>95</v>
      </c>
      <c r="O280" s="5" t="s">
        <v>47</v>
      </c>
      <c r="P280" s="5" t="s">
        <v>48</v>
      </c>
      <c r="Q280" s="5" t="s">
        <v>773</v>
      </c>
      <c r="R280" s="5" t="s">
        <v>1553</v>
      </c>
    </row>
    <row r="281" spans="1:18" s="5" customFormat="1" ht="13.5">
      <c r="A281" s="32" t="s">
        <v>1507</v>
      </c>
      <c r="B281" s="32" t="s">
        <v>1554</v>
      </c>
      <c r="C281" s="32" t="s">
        <v>1555</v>
      </c>
      <c r="D281" s="32">
        <v>2</v>
      </c>
      <c r="E281" s="32" t="s">
        <v>42</v>
      </c>
      <c r="F281" s="32">
        <v>30</v>
      </c>
      <c r="G281" s="32">
        <f>+D281*F281</f>
        <v>60</v>
      </c>
      <c r="H281" s="32">
        <v>398000</v>
      </c>
      <c r="I281" s="8" t="s">
        <v>1490</v>
      </c>
      <c r="J281" s="32" t="s">
        <v>1556</v>
      </c>
      <c r="K281" s="32" t="s">
        <v>1557</v>
      </c>
      <c r="L281" s="32">
        <v>2026</v>
      </c>
      <c r="M281" s="32" t="s">
        <v>19</v>
      </c>
      <c r="N281" s="32" t="s">
        <v>1558</v>
      </c>
      <c r="O281" s="32" t="s">
        <v>47</v>
      </c>
      <c r="P281" s="5" t="s">
        <v>48</v>
      </c>
      <c r="Q281" s="32" t="s">
        <v>49</v>
      </c>
      <c r="R281" s="19" t="s">
        <v>1559</v>
      </c>
    </row>
    <row r="282" spans="1:18" s="5" customFormat="1">
      <c r="A282" s="5" t="s">
        <v>1560</v>
      </c>
      <c r="B282" s="5" t="s">
        <v>1561</v>
      </c>
      <c r="C282" s="5" t="s">
        <v>1562</v>
      </c>
      <c r="D282" s="5">
        <v>17</v>
      </c>
      <c r="E282" s="5" t="s">
        <v>42</v>
      </c>
      <c r="F282" s="5">
        <v>30</v>
      </c>
      <c r="G282" s="5">
        <f>+D282*F282</f>
        <v>510</v>
      </c>
      <c r="H282" s="5">
        <v>60000</v>
      </c>
      <c r="I282" s="5" t="s">
        <v>916</v>
      </c>
      <c r="J282" s="5" t="s">
        <v>524</v>
      </c>
      <c r="K282" s="5" t="s">
        <v>525</v>
      </c>
      <c r="L282" s="5">
        <v>2020</v>
      </c>
      <c r="N282" s="5" t="s">
        <v>95</v>
      </c>
      <c r="O282" s="5" t="s">
        <v>47</v>
      </c>
      <c r="P282" s="5" t="s">
        <v>48</v>
      </c>
      <c r="Q282" s="5" t="s">
        <v>83</v>
      </c>
      <c r="R282" s="5" t="s">
        <v>1563</v>
      </c>
    </row>
  </sheetData>
  <autoFilter ref="A1:R282" xr:uid="{70F23AA6-B954-4D90-940C-BB497D3D4E11}">
    <sortState xmlns:xlrd2="http://schemas.microsoft.com/office/spreadsheetml/2017/richdata2" ref="A2:R282">
      <sortCondition ref="A1:A282"/>
    </sortState>
  </autoFilter>
  <phoneticPr fontId="3" type="noConversion"/>
  <hyperlinks>
    <hyperlink ref="R114" r:id="rId1" xr:uid="{0479CAE0-31DE-44AA-8F02-33004525C15E}"/>
    <hyperlink ref="R139" r:id="rId2" xr:uid="{CBF4675C-F919-4706-9D2E-5CAA2BA6EB36}"/>
    <hyperlink ref="R143" r:id="rId3" xr:uid="{74DBC179-FC4C-442B-8621-374A8F58B30D}"/>
    <hyperlink ref="R121" r:id="rId4" xr:uid="{9A3375BA-CF1A-4A11-8B21-CF7A297CF327}"/>
    <hyperlink ref="R141" r:id="rId5" xr:uid="{48C3DA79-3496-4096-B77F-5FE0343321BD}"/>
    <hyperlink ref="R123" r:id="rId6" xr:uid="{66367F04-F16D-4AFF-8E61-76ABA85D80A4}"/>
    <hyperlink ref="R132" r:id="rId7" xr:uid="{BD3EA62E-026D-440F-B2CB-C3BA95802342}"/>
    <hyperlink ref="R124" r:id="rId8" xr:uid="{57D12E90-02DA-4CB3-A928-A82D4EC57970}"/>
    <hyperlink ref="R277" r:id="rId9" xr:uid="{F9066ED7-ADBD-4865-9D2B-A14BBCA74106}"/>
    <hyperlink ref="R278" r:id="rId10" xr:uid="{9040966B-3EF8-4430-B489-F30F062CF253}"/>
    <hyperlink ref="R142" r:id="rId11" xr:uid="{1D05D2C4-494E-4C34-972F-2F2A8AD3240E}"/>
    <hyperlink ref="R42" r:id="rId12" xr:uid="{5A2318B0-A1C2-4246-8486-61EF05E04390}"/>
    <hyperlink ref="R61" r:id="rId13" xr:uid="{7933938D-EAA4-43BA-8C06-1D62CBF0128A}"/>
    <hyperlink ref="R79" r:id="rId14" location="none" xr:uid="{B66DDD1F-7141-4EB3-803A-5B9EF5179353}"/>
    <hyperlink ref="R45" r:id="rId15" xr:uid="{DCEB5015-F164-41BA-97D5-F27D65966EC5}"/>
    <hyperlink ref="R69" r:id="rId16" xr:uid="{31F44AB7-B6C3-4A23-8547-A896B42A505E}"/>
    <hyperlink ref="R184" r:id="rId17" xr:uid="{959F9555-432F-4381-AFEA-334040B31C47}"/>
    <hyperlink ref="R28" r:id="rId18" xr:uid="{638A3638-42A3-43FC-B0BC-5A9AA640590E}"/>
    <hyperlink ref="R21" r:id="rId19" xr:uid="{CA6C6493-0144-4A08-B94F-38F8C9E84A68}"/>
    <hyperlink ref="R26" r:id="rId20" xr:uid="{F86AF1D7-5B94-456A-B341-C5CE18099680}"/>
    <hyperlink ref="R23" r:id="rId21" xr:uid="{E762DF0F-50E1-4AC4-8C64-FF4B0F7EA1F4}"/>
    <hyperlink ref="R64" r:id="rId22" display="https://blog.naver.com/natural365/222291584402" xr:uid="{4722A9AB-3BAD-4439-B40B-2DA61B065F25}"/>
    <hyperlink ref="R86" r:id="rId23" xr:uid="{C6508E24-F4DB-48EE-B4BE-C330EAD0DE8B}"/>
    <hyperlink ref="R247" r:id="rId24" xr:uid="{2EBEFDCB-0494-4138-BC11-358256269C79}"/>
    <hyperlink ref="R255" r:id="rId25" xr:uid="{8601EE8B-549D-49F2-9CB5-A6F134F51DBE}"/>
    <hyperlink ref="R89" r:id="rId26" xr:uid="{7CCE94A9-F411-45EC-A243-A3A856D4292F}"/>
    <hyperlink ref="R85" r:id="rId27" xr:uid="{25B0FC51-2860-4E21-AF9A-C2292CC87207}"/>
    <hyperlink ref="R169" r:id="rId28" xr:uid="{BC82FD88-8BA5-4D7F-A910-797C66494DFB}"/>
    <hyperlink ref="R97" r:id="rId29" display="https://www.immunelab.co.kr/store/?idx=158" xr:uid="{EB69E153-95F3-4C74-A8A1-5BE5FAD82034}"/>
    <hyperlink ref="R58" r:id="rId30" xr:uid="{F9F40646-2F59-4372-9FF1-E3CE62E8E814}"/>
    <hyperlink ref="R262" r:id="rId31" xr:uid="{BE826B5A-D9D7-4304-8A92-3D44D4DFE5A5}"/>
    <hyperlink ref="R102" r:id="rId32" xr:uid="{ECABDAAC-6477-4128-B180-230C57480CF0}"/>
    <hyperlink ref="R135" r:id="rId33" xr:uid="{B08ACDB0-CA81-4A85-81EE-B067D539E363}"/>
    <hyperlink ref="R220" r:id="rId34" xr:uid="{07F30E00-7CA0-4611-BC69-A9D73F13FBC4}"/>
    <hyperlink ref="R109" r:id="rId35" xr:uid="{671F2020-2224-4E99-9E64-FD0F8020F274}"/>
    <hyperlink ref="R71" r:id="rId36" location="none" xr:uid="{491D0CE3-71D4-4876-9F4D-422DBB61A113}"/>
    <hyperlink ref="R56" r:id="rId37" xr:uid="{37DD24DA-3C91-41DC-B74D-9C0A13BEE0F3}"/>
    <hyperlink ref="R87" r:id="rId38" xr:uid="{E719C30D-5044-4D5B-A242-65DC5BD67708}"/>
    <hyperlink ref="R232" r:id="rId39" xr:uid="{FC3E271B-7BFD-4054-8A1C-086BFFA747AD}"/>
    <hyperlink ref="R65" r:id="rId40" xr:uid="{7F37D8DE-9527-42C4-93DD-8C78BC9998EB}"/>
    <hyperlink ref="R203" r:id="rId41" xr:uid="{69753680-2C6C-4EEF-8DF9-977FB18344AA}"/>
    <hyperlink ref="R101" r:id="rId42" xr:uid="{BED2233F-95A0-44C0-8921-53493A1D080C}"/>
    <hyperlink ref="R238" r:id="rId43" xr:uid="{5054883E-946E-4716-A6E2-F598E7697ADA}"/>
    <hyperlink ref="R48" r:id="rId44" xr:uid="{0AC23787-5F49-457A-AE66-9D61F0477FAE}"/>
    <hyperlink ref="R107" r:id="rId45" xr:uid="{D9B62681-D2DB-4711-957E-121F6AEA052C}"/>
    <hyperlink ref="R66" r:id="rId46" xr:uid="{FD61B600-9771-4F46-A2CF-6BA3CAF4AA3F}"/>
    <hyperlink ref="R92" r:id="rId47" xr:uid="{F1528B25-5F33-47F5-8EF4-1177C32311D4}"/>
    <hyperlink ref="R251" r:id="rId48" xr:uid="{4C38FD06-B88E-4D59-BBAF-61B85323155E}"/>
    <hyperlink ref="R250" r:id="rId49" xr:uid="{C878CDD5-32F4-4FBE-937E-21124931BAF4}"/>
    <hyperlink ref="R106" r:id="rId50" xr:uid="{D8ABDD75-759B-4B8E-A9D5-8A73F5D51995}"/>
    <hyperlink ref="R100" r:id="rId51" xr:uid="{4F7B4570-B518-47B6-8CE3-3165B8F1B16A}"/>
    <hyperlink ref="R98" r:id="rId52" xr:uid="{15502B3F-B044-4E19-883A-0E83D42BFE06}"/>
    <hyperlink ref="R99" r:id="rId53" xr:uid="{5F07B80C-3DF5-45AA-B1AB-ED9EAAFD2535}"/>
    <hyperlink ref="R30" r:id="rId54" xr:uid="{83523E0A-1DE0-4940-9017-DBAAA6CD71BC}"/>
    <hyperlink ref="R90" r:id="rId55" xr:uid="{3DDA10B8-C35B-48C3-9651-30D8B1870F9E}"/>
    <hyperlink ref="R47" r:id="rId56" xr:uid="{2B7635CF-EA4F-4F84-8FE8-3B8716426E6D}"/>
    <hyperlink ref="R96" r:id="rId57" xr:uid="{8CC49C85-1156-4105-9DF1-49FD59EB5DBD}"/>
    <hyperlink ref="R51" r:id="rId58" xr:uid="{498BB9F5-73B0-41B8-BE16-41F30649ADFC}"/>
    <hyperlink ref="R180" r:id="rId59" xr:uid="{1CD7AF06-6490-4481-B1A1-A9AD333FA4F5}"/>
    <hyperlink ref="R115" r:id="rId60" display="https://www.kgc.co.kr/front/product/ckj/antler/antler01/198/productDetail.do" xr:uid="{0D345CE3-62A0-B445-B2D1-1DC2FCA513C5}"/>
    <hyperlink ref="R116" r:id="rId61" display="https://www.kgc.co.kr/front/product/ckj/antler/antler01/198/productDetail.do" xr:uid="{9C19818C-3C15-0344-B283-BFB56EF2F049}"/>
    <hyperlink ref="R117" r:id="rId62" display="https://www.kgc.co.kr/front/product/ckj/antler/antler01/198/productDetail.do" xr:uid="{3AFE8BDC-6D7E-4B46-8CC7-DDC4617EA394}"/>
    <hyperlink ref="R118" r:id="rId63" display="https://www.kgc.co.kr/front/product/ckj/antler/antler01/198/productDetail.do" xr:uid="{3E5B6878-AA92-BA4A-BB2A-064B3C155E50}"/>
    <hyperlink ref="R119" r:id="rId64" display="https://www.kgc.co.kr/front/product/ckj/antler/antler01/198/productDetail.do" xr:uid="{9105CAAD-1915-BD40-B38E-CE6CA87F74C9}"/>
    <hyperlink ref="R140" r:id="rId65" xr:uid="{AAFDC212-F7F2-6F41-BAF5-D6B47C630EAF}"/>
    <hyperlink ref="R122" r:id="rId66" xr:uid="{DC5F3A03-B263-9A49-90E7-E7D022B9537A}"/>
    <hyperlink ref="R134" r:id="rId67" xr:uid="{696391DA-6BB6-6E49-B8AF-B27A3BEE5012}"/>
    <hyperlink ref="R249" r:id="rId68" display="http://www.sisunnews.co.kr/news/articleView.html?idxno=161742" xr:uid="{9FCD0E09-8D84-DD49-BE83-5FAD62AFAE65}"/>
    <hyperlink ref="R161" r:id="rId69" xr:uid="{7AD98F91-CDFE-4F0E-9478-891713255C26}"/>
    <hyperlink ref="R158" r:id="rId70" xr:uid="{8D14A7C4-47B2-443D-8F4E-C8434FBA91BD}"/>
    <hyperlink ref="R144" r:id="rId71" xr:uid="{964A60AE-C041-4B9B-BCF8-60CC600A31E0}"/>
    <hyperlink ref="R5" r:id="rId72" xr:uid="{FC15A03A-620E-4C63-8409-8F218C10D3C3}"/>
    <hyperlink ref="R50" r:id="rId73" xr:uid="{AD942741-DD82-4DF0-AC09-60B938293808}"/>
    <hyperlink ref="R145" r:id="rId74" xr:uid="{7E3523C8-796D-4E98-8F8F-F24F9C5A7F5C}"/>
    <hyperlink ref="R146" r:id="rId75" xr:uid="{80291B22-C767-4D50-B114-1F32069BD5E0}"/>
    <hyperlink ref="R112" r:id="rId76" location="prdDetail" xr:uid="{85F4A573-5A4F-8E49-82E6-545AA5C633FE}"/>
    <hyperlink ref="R257" r:id="rId77" xr:uid="{6357B9FD-9FB5-654C-9875-F17A166485C8}"/>
    <hyperlink ref="R229" r:id="rId78" xr:uid="{C8645916-DBF3-614A-AB70-FC4BE5D968F4}"/>
    <hyperlink ref="R228" r:id="rId79" xr:uid="{27DDF1C7-3266-7D4D-96D7-406E6F774A0D}"/>
    <hyperlink ref="R147" r:id="rId80" xr:uid="{3FD4857B-68D4-4276-B6CA-B234E7996693}"/>
    <hyperlink ref="R148" r:id="rId81" xr:uid="{12EB310C-4244-064F-8E4B-5534F671DC92}"/>
    <hyperlink ref="R151" r:id="rId82" xr:uid="{657B887E-0C7D-9C4D-87FE-77F7D3CA09CC}"/>
    <hyperlink ref="R162" r:id="rId83" xr:uid="{47E8A806-CD94-5045-9E31-1822971F8655}"/>
    <hyperlink ref="R27" r:id="rId84" xr:uid="{BC5FD611-69EE-468A-91C8-D3CD693A3739}"/>
    <hyperlink ref="R22" r:id="rId85" xr:uid="{23D6FCA8-F534-4BD5-8A3C-963D5BDCE182}"/>
    <hyperlink ref="R20" r:id="rId86" xr:uid="{B461021E-D7EC-43AB-8887-C9A2D649DA64}"/>
    <hyperlink ref="R268" r:id="rId87" xr:uid="{245C1D22-D473-4AA7-8BF5-DA6B2377DBCF}"/>
    <hyperlink ref="R149" r:id="rId88" xr:uid="{2A6D0D8B-0991-4051-B5FE-BDB427CD91A9}"/>
    <hyperlink ref="R120" r:id="rId89" xr:uid="{5D43885D-6734-CF46-962C-E6AF7DBCF2EB}"/>
    <hyperlink ref="R49" r:id="rId90" xr:uid="{2BE00F8E-8673-4A59-A55F-797924AF60FF}"/>
    <hyperlink ref="R159" r:id="rId91" xr:uid="{5D609FCC-DA5E-4D8C-A282-3B5FA1EBE8D1}"/>
    <hyperlink ref="R4" r:id="rId92" xr:uid="{41D6E13F-201B-8646-989B-BA3587D193B1}"/>
    <hyperlink ref="R201" r:id="rId93" xr:uid="{EE820C93-5C6E-6049-B0EF-B33DAF889F88}"/>
    <hyperlink ref="R73" r:id="rId94" xr:uid="{1402D98E-056C-D940-BFF7-8A9C82531D41}"/>
    <hyperlink ref="R241" r:id="rId95" xr:uid="{1B125568-00C7-8E40-98E4-2483A70965F4}"/>
    <hyperlink ref="R167" r:id="rId96" xr:uid="{19DA342C-C4FE-6E47-938F-4214AEE9F0A3}"/>
    <hyperlink ref="R165" r:id="rId97" xr:uid="{7E39F9B8-BDC7-4047-955E-20168BFD0930}"/>
    <hyperlink ref="R269" r:id="rId98" xr:uid="{49FFA036-18C5-7645-BD8B-2EDFFE2A5728}"/>
    <hyperlink ref="R233" r:id="rId99" xr:uid="{0B778178-479C-46A6-B51D-8AFF62450751}"/>
    <hyperlink ref="R230" r:id="rId100" xr:uid="{843CB213-5D39-4355-A948-A21B0D53F084}"/>
    <hyperlink ref="R53" r:id="rId101" xr:uid="{05E514FD-2DB6-43F8-9806-D9D79552C40B}"/>
    <hyperlink ref="R83" r:id="rId102" xr:uid="{7C4B98B6-D84D-4EBF-A003-2EE3622B8587}"/>
    <hyperlink ref="R261" r:id="rId103" xr:uid="{C003964B-09D6-4D35-806A-2543DB129977}"/>
    <hyperlink ref="R11" r:id="rId104" xr:uid="{8BDD882D-9A0D-2C4A-B294-8DD4B3738F5E}"/>
    <hyperlink ref="R36" r:id="rId105" xr:uid="{90FEB05A-0C3B-6C42-AE9D-5DF3B5364CD2}"/>
    <hyperlink ref="R35" r:id="rId106" xr:uid="{0461AD09-9518-BF4F-A3AD-0F81259FC5E8}"/>
    <hyperlink ref="R113" r:id="rId107" xr:uid="{5F9EB228-9605-4BAE-A707-641A5B65504A}"/>
    <hyperlink ref="R125" r:id="rId108" xr:uid="{2D3BBA5B-B947-46BE-9089-388D6E6F0010}"/>
    <hyperlink ref="R252" r:id="rId109" xr:uid="{776C6C38-AF18-4A56-B090-C8255609C6BC}"/>
    <hyperlink ref="R175" r:id="rId110" xr:uid="{DADC2000-A7F1-44D6-A3A0-CB095A21A2B7}"/>
    <hyperlink ref="R152" r:id="rId111" xr:uid="{3F5F53BC-F94C-4651-AE89-C7F2447BC723}"/>
    <hyperlink ref="R160" r:id="rId112" xr:uid="{FD5C29C5-3C96-9641-9163-D0F00C1CCCBC}"/>
    <hyperlink ref="R202" r:id="rId113" xr:uid="{A5150399-EFD8-4B46-9CB9-FFB7104B50F8}"/>
    <hyperlink ref="R240" r:id="rId114" xr:uid="{6FF2A941-D537-C242-825C-078CD221EADA}"/>
    <hyperlink ref="R150" r:id="rId115" xr:uid="{CD5AFDD5-2960-4406-8858-33EB98C6D920}"/>
    <hyperlink ref="R37" r:id="rId116" xr:uid="{4B04F5BB-8DEC-48F4-9D2E-38923F15256F}"/>
    <hyperlink ref="R163" r:id="rId117" xr:uid="{4F6253E9-5D24-405B-86E2-B00DC8A50FE1}"/>
    <hyperlink ref="R9" r:id="rId118" xr:uid="{DC375073-87D2-410B-B683-14FDC32AA976}"/>
    <hyperlink ref="R10" r:id="rId119" xr:uid="{A7063D96-EFB5-4A8D-967D-1D70ACF2281E}"/>
    <hyperlink ref="R164" r:id="rId120" xr:uid="{BBA9D185-3BEF-4789-819B-E9C57B170C1E}"/>
    <hyperlink ref="R281" r:id="rId121" xr:uid="{1E1D2B33-0E25-4ECC-8EE9-9E1CE1DC0DCE}"/>
  </hyperlinks>
  <pageMargins left="0.7" right="0.7" top="0.75" bottom="0.75" header="0.3" footer="0.3"/>
  <pageSetup paperSize="9" orientation="portrait" r:id="rId12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878C2-FBA0-4A0D-9879-1F0C093FEC15}">
  <dimension ref="A1:C28"/>
  <sheetViews>
    <sheetView workbookViewId="0">
      <selection activeCell="B5" sqref="B5"/>
    </sheetView>
  </sheetViews>
  <sheetFormatPr defaultColWidth="8.875" defaultRowHeight="14.45"/>
  <cols>
    <col min="1" max="1" width="20.125" bestFit="1" customWidth="1"/>
    <col min="2" max="2" width="40.625" bestFit="1" customWidth="1"/>
    <col min="3" max="3" width="19.875" bestFit="1" customWidth="1"/>
  </cols>
  <sheetData>
    <row r="1" spans="1:3">
      <c r="A1" t="s">
        <v>1564</v>
      </c>
      <c r="B1" s="21" t="s">
        <v>1565</v>
      </c>
    </row>
    <row r="2" spans="1:3">
      <c r="B2" s="21" t="s">
        <v>1566</v>
      </c>
    </row>
    <row r="4" spans="1:3">
      <c r="A4" s="22" t="s">
        <v>1567</v>
      </c>
      <c r="B4" s="22" t="s">
        <v>1568</v>
      </c>
      <c r="C4" s="22" t="s">
        <v>1569</v>
      </c>
    </row>
    <row r="5" spans="1:3">
      <c r="A5" t="s">
        <v>1570</v>
      </c>
      <c r="B5" t="s">
        <v>1571</v>
      </c>
    </row>
    <row r="6" spans="1:3">
      <c r="A6" t="s">
        <v>1572</v>
      </c>
      <c r="B6" t="s">
        <v>1573</v>
      </c>
    </row>
    <row r="7" spans="1:3">
      <c r="A7" t="s">
        <v>1574</v>
      </c>
      <c r="B7" t="s">
        <v>1575</v>
      </c>
    </row>
    <row r="8" spans="1:3">
      <c r="A8" t="s">
        <v>1576</v>
      </c>
      <c r="B8" t="s">
        <v>1577</v>
      </c>
    </row>
    <row r="9" spans="1:3">
      <c r="A9" t="s">
        <v>1578</v>
      </c>
      <c r="B9" t="s">
        <v>1579</v>
      </c>
      <c r="C9" t="s">
        <v>1580</v>
      </c>
    </row>
    <row r="10" spans="1:3">
      <c r="A10" t="s">
        <v>1581</v>
      </c>
      <c r="B10" t="s">
        <v>1582</v>
      </c>
      <c r="C10" t="s">
        <v>1583</v>
      </c>
    </row>
    <row r="11" spans="1:3">
      <c r="A11" t="s">
        <v>1584</v>
      </c>
      <c r="B11" t="s">
        <v>1585</v>
      </c>
      <c r="C11" t="s">
        <v>1586</v>
      </c>
    </row>
    <row r="12" spans="1:3">
      <c r="A12" s="23" t="s">
        <v>1587</v>
      </c>
      <c r="B12" t="s">
        <v>1588</v>
      </c>
      <c r="C12" t="s">
        <v>1589</v>
      </c>
    </row>
    <row r="13" spans="1:3">
      <c r="A13" s="23" t="s">
        <v>1590</v>
      </c>
      <c r="B13" t="s">
        <v>1591</v>
      </c>
      <c r="C13" t="s">
        <v>1580</v>
      </c>
    </row>
    <row r="14" spans="1:3">
      <c r="A14" t="s">
        <v>1592</v>
      </c>
      <c r="B14" t="s">
        <v>1593</v>
      </c>
      <c r="C14" t="s">
        <v>1594</v>
      </c>
    </row>
    <row r="16" spans="1:3">
      <c r="A16" t="s">
        <v>1595</v>
      </c>
      <c r="B16" s="21" t="s">
        <v>1596</v>
      </c>
    </row>
    <row r="17" spans="1:3">
      <c r="B17" s="21" t="s">
        <v>1597</v>
      </c>
    </row>
    <row r="18" spans="1:3">
      <c r="B18" s="21"/>
    </row>
    <row r="19" spans="1:3">
      <c r="A19" s="22" t="s">
        <v>1567</v>
      </c>
      <c r="B19" s="22" t="s">
        <v>1568</v>
      </c>
      <c r="C19" s="22" t="s">
        <v>1569</v>
      </c>
    </row>
    <row r="20" spans="1:3">
      <c r="A20" t="s">
        <v>1598</v>
      </c>
      <c r="B20" t="s">
        <v>1599</v>
      </c>
    </row>
    <row r="21" spans="1:3">
      <c r="A21" s="23" t="s">
        <v>1600</v>
      </c>
      <c r="B21" t="s">
        <v>1601</v>
      </c>
    </row>
    <row r="22" spans="1:3">
      <c r="A22" s="23" t="s">
        <v>1602</v>
      </c>
      <c r="B22" t="s">
        <v>1603</v>
      </c>
    </row>
    <row r="23" spans="1:3">
      <c r="A23" s="23" t="s">
        <v>1604</v>
      </c>
      <c r="B23" t="s">
        <v>1605</v>
      </c>
    </row>
    <row r="24" spans="1:3">
      <c r="A24" t="s">
        <v>1606</v>
      </c>
      <c r="B24" s="30" t="s">
        <v>1607</v>
      </c>
    </row>
    <row r="25" spans="1:3">
      <c r="A25" s="23"/>
    </row>
    <row r="27" spans="1:3">
      <c r="A27" t="s">
        <v>1608</v>
      </c>
      <c r="B27" t="s">
        <v>1609</v>
      </c>
    </row>
    <row r="28" spans="1:3">
      <c r="A28" t="s">
        <v>1592</v>
      </c>
      <c r="B28" t="s">
        <v>1610</v>
      </c>
    </row>
  </sheetData>
  <hyperlinks>
    <hyperlink ref="B1" r:id="rId1" xr:uid="{6BAC3024-FCD0-4501-B09C-30A1F4C9BD8C}"/>
    <hyperlink ref="B16" r:id="rId2" xr:uid="{4D8711AC-1617-4631-85C0-2A2E6A3E690A}"/>
    <hyperlink ref="B17" r:id="rId3" xr:uid="{79E5C68F-3DDE-47F9-A6A5-7A079D1067E6}"/>
    <hyperlink ref="B2" r:id="rId4" xr:uid="{2105871F-5DEC-4ED9-B74F-7FDC48CDED77}"/>
  </hyperlinks>
  <pageMargins left="0.7" right="0.7" top="0.75" bottom="0.75" header="0.3" footer="0.3"/>
  <pageSetup paperSize="9" orientation="portrait"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0F8E457411954D95622C53B0F01B76" ma:contentTypeVersion="19" ma:contentTypeDescription="Create a new document." ma:contentTypeScope="" ma:versionID="7bf2fcc8d94b6527b54107cfd249a4a0">
  <xsd:schema xmlns:xsd="http://www.w3.org/2001/XMLSchema" xmlns:xs="http://www.w3.org/2001/XMLSchema" xmlns:p="http://schemas.microsoft.com/office/2006/metadata/properties" xmlns:ns2="bd039ef1-dc28-4fd0-8faf-43df493ef0c5" xmlns:ns3="5d9431fc-835d-4a6d-8cf1-a9900da5d5a6" targetNamespace="http://schemas.microsoft.com/office/2006/metadata/properties" ma:root="true" ma:fieldsID="067fb60814f5e8fcd57e1f8824e4e9e3" ns2:_="" ns3:_="">
    <xsd:import namespace="bd039ef1-dc28-4fd0-8faf-43df493ef0c5"/>
    <xsd:import namespace="5d9431fc-835d-4a6d-8cf1-a9900da5d5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Dateandtim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039ef1-dc28-4fd0-8faf-43df493ef0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36ca033b-8fd8-4ccf-a050-b908e88d82c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Dateandtime" ma:index="25" nillable="true" ma:displayName="Date and time" ma:format="DateOnly" ma:internalName="Dateandtime">
      <xsd:simpleType>
        <xsd:restriction base="dms:DateTime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9431fc-835d-4a6d-8cf1-a9900da5d5a6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d608ddc-e690-4b02-950d-e7bb6ec5850f}" ma:internalName="TaxCatchAll" ma:showField="CatchAllData" ma:web="5d9431fc-835d-4a6d-8cf1-a9900da5d5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9431fc-835d-4a6d-8cf1-a9900da5d5a6" xsi:nil="true"/>
    <lcf76f155ced4ddcb4097134ff3c332f xmlns="bd039ef1-dc28-4fd0-8faf-43df493ef0c5">
      <Terms xmlns="http://schemas.microsoft.com/office/infopath/2007/PartnerControls"/>
    </lcf76f155ced4ddcb4097134ff3c332f>
    <Dateandtime xmlns="bd039ef1-dc28-4fd0-8faf-43df493ef0c5" xsi:nil="true"/>
    <MediaLengthInSeconds xmlns="bd039ef1-dc28-4fd0-8faf-43df493ef0c5" xsi:nil="true"/>
    <SharedWithUsers xmlns="5d9431fc-835d-4a6d-8cf1-a9900da5d5a6">
      <UserInfo>
        <DisplayName>Boyoung Kim</DisplayName>
        <AccountId>357</AccountId>
        <AccountType/>
      </UserInfo>
      <UserInfo>
        <DisplayName>JongKyu Jang</DisplayName>
        <AccountId>9</AccountId>
        <AccountType/>
      </UserInfo>
      <UserInfo>
        <DisplayName>Fintan Cannon</DisplayName>
        <AccountId>256</AccountId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39672F7-4A9F-4328-BCA4-6ABDD4498375}"/>
</file>

<file path=customXml/itemProps2.xml><?xml version="1.0" encoding="utf-8"?>
<ds:datastoreItem xmlns:ds="http://schemas.openxmlformats.org/officeDocument/2006/customXml" ds:itemID="{46896FA6-4B05-489D-9BE2-D96E86EA0DB2}"/>
</file>

<file path=customXml/itemProps3.xml><?xml version="1.0" encoding="utf-8"?>
<ds:datastoreItem xmlns:ds="http://schemas.openxmlformats.org/officeDocument/2006/customXml" ds:itemID="{635C963C-898C-4D12-8C5C-A04AE9DDAB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jongkyu@atlatitude.com</dc:creator>
  <cp:keywords/>
  <dc:description/>
  <cp:lastModifiedBy>JongKyu Jang</cp:lastModifiedBy>
  <cp:revision/>
  <dcterms:created xsi:type="dcterms:W3CDTF">2020-01-30T07:39:18Z</dcterms:created>
  <dcterms:modified xsi:type="dcterms:W3CDTF">2026-07-06T06:03:02Z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0x010100940F8E457411954D95622C53B0F01B76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