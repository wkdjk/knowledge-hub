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eernz-my.sharepoint.com/personal/jongkyu_jang_deernz_org/Documents/[DINZ Korea]/5. Reports &amp; Planning/Quarterly reports/"/>
    </mc:Choice>
  </mc:AlternateContent>
  <xr:revisionPtr revIDLastSave="1166" documentId="13_ncr:1_{6C1FFAC8-4A98-4E01-B377-019FF62BAEFB}" xr6:coauthVersionLast="47" xr6:coauthVersionMax="47" xr10:uidLastSave="{DB154B3A-7805-0543-B0FF-FA807540BCF8}"/>
  <bookViews>
    <workbookView xWindow="360" yWindow="1180" windowWidth="29040" windowHeight="15720" xr2:uid="{00000000-000D-0000-FFFF-FFFF00000000}"/>
  </bookViews>
  <sheets>
    <sheet name="Import" sheetId="8" r:id="rId1"/>
    <sheet name="Export" sheetId="7" r:id="rId2"/>
    <sheet name="import list" sheetId="1" r:id="rId3"/>
    <sheet name="Names for Vlookup" sheetId="6" r:id="rId4"/>
  </sheets>
  <definedNames>
    <definedName name="_xlnm._FilterDatabase" localSheetId="2" hidden="1">'import list'!$A$2:$P$599</definedName>
    <definedName name="_xlnm._FilterDatabase" localSheetId="3" hidden="1">'Names for Vlookup'!$B$25:$C$94</definedName>
    <definedName name="data">'import list'!$A$2:$P$599</definedName>
  </definedNames>
  <calcPr calcId="191028"/>
  <pivotCaches>
    <pivotCache cacheId="2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B3" i="1"/>
  <c r="C3" i="1"/>
  <c r="D3" i="1"/>
  <c r="E3" i="1"/>
  <c r="F3" i="1"/>
  <c r="G3" i="1"/>
  <c r="A4" i="1"/>
  <c r="B4" i="1"/>
  <c r="C4" i="1"/>
  <c r="D4" i="1"/>
  <c r="E4" i="1"/>
  <c r="F4" i="1"/>
  <c r="G4" i="1"/>
  <c r="A5" i="1"/>
  <c r="B5" i="1"/>
  <c r="C5" i="1"/>
  <c r="D5" i="1"/>
  <c r="E5" i="1"/>
  <c r="F5" i="1"/>
  <c r="G5" i="1"/>
  <c r="A6" i="1"/>
  <c r="B6" i="1"/>
  <c r="C6" i="1"/>
  <c r="D6" i="1"/>
  <c r="E6" i="1"/>
  <c r="F6" i="1"/>
  <c r="G6" i="1"/>
  <c r="G7" i="1"/>
  <c r="F7" i="1"/>
  <c r="E7" i="1"/>
  <c r="D7" i="1"/>
  <c r="C7" i="1"/>
  <c r="B7" i="1"/>
  <c r="A7" i="1"/>
  <c r="A8" i="1"/>
  <c r="B8" i="1"/>
  <c r="C8" i="1"/>
  <c r="D8" i="1"/>
  <c r="E8" i="1"/>
  <c r="F8" i="1"/>
  <c r="G8" i="1"/>
  <c r="A9" i="1"/>
  <c r="B9" i="1"/>
  <c r="C9" i="1"/>
  <c r="D9" i="1"/>
  <c r="E9" i="1"/>
  <c r="F9" i="1"/>
  <c r="G9" i="1"/>
  <c r="A10" i="1"/>
  <c r="B10" i="1"/>
  <c r="C10" i="1"/>
  <c r="D10" i="1"/>
  <c r="E10" i="1"/>
  <c r="F10" i="1"/>
  <c r="G10" i="1"/>
  <c r="A11" i="1"/>
  <c r="B11" i="1"/>
  <c r="C11" i="1"/>
  <c r="D11" i="1"/>
  <c r="E11" i="1"/>
  <c r="F11" i="1"/>
  <c r="G11" i="1"/>
  <c r="A12" i="1"/>
  <c r="B12" i="1"/>
  <c r="C12" i="1"/>
  <c r="D12" i="1"/>
  <c r="E12" i="1"/>
  <c r="F12" i="1"/>
  <c r="G12" i="1"/>
  <c r="A13" i="1"/>
  <c r="B13" i="1"/>
  <c r="C13" i="1"/>
  <c r="D13" i="1"/>
  <c r="E13" i="1"/>
  <c r="F13" i="1"/>
  <c r="G13" i="1"/>
  <c r="A14" i="1"/>
  <c r="B14" i="1"/>
  <c r="C14" i="1"/>
  <c r="D14" i="1"/>
  <c r="E14" i="1"/>
  <c r="F14" i="1"/>
  <c r="G14" i="1"/>
  <c r="A15" i="1"/>
  <c r="B15" i="1"/>
  <c r="C15" i="1"/>
  <c r="D15" i="1"/>
  <c r="E15" i="1"/>
  <c r="F15" i="1"/>
  <c r="G15" i="1"/>
  <c r="A16" i="1"/>
  <c r="B16" i="1"/>
  <c r="C16" i="1"/>
  <c r="D16" i="1"/>
  <c r="E16" i="1"/>
  <c r="F16" i="1"/>
  <c r="G16" i="1"/>
  <c r="A17" i="1"/>
  <c r="B17" i="1"/>
  <c r="C17" i="1"/>
  <c r="D17" i="1"/>
  <c r="E17" i="1"/>
  <c r="F17" i="1"/>
  <c r="G17" i="1"/>
  <c r="A18" i="1"/>
  <c r="B18" i="1"/>
  <c r="C18" i="1"/>
  <c r="D18" i="1"/>
  <c r="E18" i="1"/>
  <c r="F18" i="1"/>
  <c r="G18" i="1"/>
  <c r="A19" i="1"/>
  <c r="B19" i="1"/>
  <c r="C19" i="1"/>
  <c r="D19" i="1"/>
  <c r="E19" i="1"/>
  <c r="F19" i="1"/>
  <c r="G19" i="1"/>
  <c r="A20" i="1"/>
  <c r="B20" i="1"/>
  <c r="C20" i="1"/>
  <c r="D20" i="1"/>
  <c r="E20" i="1"/>
  <c r="F20" i="1"/>
  <c r="G20" i="1"/>
  <c r="A21" i="1"/>
  <c r="B21" i="1"/>
  <c r="C21" i="1"/>
  <c r="D21" i="1"/>
  <c r="E21" i="1"/>
  <c r="F21" i="1"/>
  <c r="G21" i="1"/>
  <c r="A22" i="1"/>
  <c r="B22" i="1"/>
  <c r="C22" i="1"/>
  <c r="D22" i="1"/>
  <c r="E22" i="1"/>
  <c r="F22" i="1"/>
  <c r="G22" i="1"/>
  <c r="A23" i="1"/>
  <c r="B23" i="1"/>
  <c r="C23" i="1"/>
  <c r="D23" i="1"/>
  <c r="E23" i="1"/>
  <c r="F23" i="1"/>
  <c r="G23" i="1"/>
  <c r="A24" i="1"/>
  <c r="B24" i="1"/>
  <c r="C24" i="1"/>
  <c r="D24" i="1"/>
  <c r="E24" i="1"/>
  <c r="F24" i="1"/>
  <c r="G24" i="1"/>
  <c r="A25" i="1"/>
  <c r="B25" i="1"/>
  <c r="C25" i="1"/>
  <c r="D25" i="1"/>
  <c r="E25" i="1"/>
  <c r="F25" i="1"/>
  <c r="G25" i="1"/>
  <c r="A26" i="1"/>
  <c r="B26" i="1"/>
  <c r="C26" i="1"/>
  <c r="D26" i="1"/>
  <c r="E26" i="1"/>
  <c r="F26" i="1"/>
  <c r="G26" i="1"/>
  <c r="A27" i="1"/>
  <c r="B27" i="1"/>
  <c r="C27" i="1"/>
  <c r="D27" i="1"/>
  <c r="E27" i="1"/>
  <c r="F27" i="1"/>
  <c r="G27" i="1"/>
  <c r="A28" i="1"/>
  <c r="B28" i="1"/>
  <c r="C28" i="1"/>
  <c r="D28" i="1"/>
  <c r="E28" i="1"/>
  <c r="F28" i="1"/>
  <c r="G28" i="1"/>
  <c r="A29" i="1"/>
  <c r="B29" i="1"/>
  <c r="C29" i="1"/>
  <c r="D29" i="1"/>
  <c r="E29" i="1"/>
  <c r="F29" i="1"/>
  <c r="G29" i="1"/>
  <c r="A30" i="1"/>
  <c r="B30" i="1"/>
  <c r="C30" i="1"/>
  <c r="D30" i="1"/>
  <c r="E30" i="1"/>
  <c r="F30" i="1"/>
  <c r="G30" i="1"/>
  <c r="A31" i="1"/>
  <c r="B31" i="1"/>
  <c r="C31" i="1"/>
  <c r="D31" i="1"/>
  <c r="E31" i="1"/>
  <c r="F31" i="1"/>
  <c r="G31" i="1"/>
  <c r="A32" i="1"/>
  <c r="B32" i="1"/>
  <c r="C32" i="1"/>
  <c r="D32" i="1"/>
  <c r="E32" i="1"/>
  <c r="F32" i="1"/>
  <c r="G32" i="1"/>
  <c r="A33" i="1"/>
  <c r="B33" i="1"/>
  <c r="C33" i="1"/>
  <c r="D33" i="1"/>
  <c r="E33" i="1"/>
  <c r="F33" i="1"/>
  <c r="G33" i="1"/>
  <c r="A34" i="1"/>
  <c r="B34" i="1"/>
  <c r="C34" i="1"/>
  <c r="D34" i="1"/>
  <c r="E34" i="1"/>
  <c r="F34" i="1"/>
  <c r="G34" i="1"/>
  <c r="A35" i="1"/>
  <c r="B35" i="1"/>
  <c r="C35" i="1"/>
  <c r="D35" i="1"/>
  <c r="E35" i="1"/>
  <c r="F35" i="1"/>
  <c r="G35" i="1"/>
  <c r="A36" i="1"/>
  <c r="B36" i="1"/>
  <c r="C36" i="1"/>
  <c r="D36" i="1"/>
  <c r="E36" i="1"/>
  <c r="F36" i="1"/>
  <c r="G36" i="1"/>
  <c r="A37" i="1"/>
  <c r="B37" i="1"/>
  <c r="C37" i="1"/>
  <c r="D37" i="1"/>
  <c r="E37" i="1"/>
  <c r="F37" i="1"/>
  <c r="G37" i="1"/>
  <c r="A38" i="1"/>
  <c r="B38" i="1"/>
  <c r="C38" i="1"/>
  <c r="D38" i="1"/>
  <c r="E38" i="1"/>
  <c r="F38" i="1"/>
  <c r="G38" i="1"/>
  <c r="A39" i="1"/>
  <c r="B39" i="1"/>
  <c r="C39" i="1"/>
  <c r="D39" i="1"/>
  <c r="E39" i="1"/>
  <c r="F39" i="1"/>
  <c r="G39" i="1"/>
  <c r="A40" i="1"/>
  <c r="B40" i="1"/>
  <c r="C40" i="1"/>
  <c r="D40" i="1"/>
  <c r="E40" i="1"/>
  <c r="F40" i="1"/>
  <c r="G40" i="1"/>
  <c r="A41" i="1"/>
  <c r="B41" i="1"/>
  <c r="C41" i="1"/>
  <c r="D41" i="1"/>
  <c r="E41" i="1"/>
  <c r="F41" i="1"/>
  <c r="G41" i="1"/>
  <c r="A42" i="1"/>
  <c r="B42" i="1"/>
  <c r="C42" i="1"/>
  <c r="D42" i="1"/>
  <c r="E42" i="1"/>
  <c r="F42" i="1"/>
  <c r="G42" i="1"/>
  <c r="A43" i="1"/>
  <c r="B43" i="1"/>
  <c r="C43" i="1"/>
  <c r="D43" i="1"/>
  <c r="E43" i="1"/>
  <c r="F43" i="1"/>
  <c r="G43" i="1"/>
  <c r="A44" i="1"/>
  <c r="B44" i="1"/>
  <c r="C44" i="1"/>
  <c r="D44" i="1"/>
  <c r="E44" i="1"/>
  <c r="F44" i="1"/>
  <c r="G44" i="1"/>
  <c r="A45" i="1"/>
  <c r="B45" i="1"/>
  <c r="C45" i="1"/>
  <c r="D45" i="1"/>
  <c r="E45" i="1"/>
  <c r="F45" i="1"/>
  <c r="G45" i="1"/>
  <c r="A46" i="1"/>
  <c r="B46" i="1"/>
  <c r="C46" i="1"/>
  <c r="D46" i="1"/>
  <c r="E46" i="1"/>
  <c r="F46" i="1"/>
  <c r="G46" i="1"/>
  <c r="A47" i="1"/>
  <c r="B47" i="1"/>
  <c r="C47" i="1"/>
  <c r="D47" i="1"/>
  <c r="E47" i="1"/>
  <c r="F47" i="1"/>
  <c r="G47" i="1"/>
  <c r="A48" i="1"/>
  <c r="B48" i="1"/>
  <c r="C48" i="1"/>
  <c r="D48" i="1"/>
  <c r="E48" i="1"/>
  <c r="F48" i="1"/>
  <c r="G48" i="1"/>
  <c r="A49" i="1"/>
  <c r="B49" i="1"/>
  <c r="C49" i="1"/>
  <c r="D49" i="1"/>
  <c r="E49" i="1"/>
  <c r="F49" i="1"/>
  <c r="G49" i="1"/>
  <c r="A50" i="1"/>
  <c r="B50" i="1"/>
  <c r="C50" i="1"/>
  <c r="D50" i="1"/>
  <c r="E50" i="1"/>
  <c r="F50" i="1"/>
  <c r="G50" i="1"/>
  <c r="A51" i="1"/>
  <c r="B51" i="1"/>
  <c r="C51" i="1"/>
  <c r="D51" i="1"/>
  <c r="E51" i="1"/>
  <c r="F51" i="1"/>
  <c r="G51" i="1"/>
  <c r="A52" i="1"/>
  <c r="B52" i="1"/>
  <c r="C52" i="1"/>
  <c r="D52" i="1"/>
  <c r="E52" i="1"/>
  <c r="F52" i="1"/>
  <c r="G52" i="1"/>
  <c r="A53" i="1"/>
  <c r="B53" i="1"/>
  <c r="C53" i="1"/>
  <c r="D53" i="1"/>
  <c r="E53" i="1"/>
  <c r="F53" i="1"/>
  <c r="G53" i="1"/>
  <c r="D54" i="1"/>
  <c r="E54" i="1"/>
  <c r="F54" i="1"/>
  <c r="G54" i="1"/>
  <c r="D55" i="1"/>
  <c r="E55" i="1"/>
  <c r="F55" i="1"/>
  <c r="G55" i="1"/>
  <c r="D56" i="1"/>
  <c r="E56" i="1"/>
  <c r="F56" i="1"/>
  <c r="G56" i="1"/>
  <c r="D57" i="1"/>
  <c r="E57" i="1"/>
  <c r="F57" i="1"/>
  <c r="G57" i="1"/>
  <c r="D58" i="1"/>
  <c r="E58" i="1"/>
  <c r="F58" i="1"/>
  <c r="G58" i="1"/>
  <c r="D59" i="1"/>
  <c r="E59" i="1"/>
  <c r="F59" i="1"/>
  <c r="G59" i="1"/>
  <c r="D60" i="1"/>
  <c r="E60" i="1"/>
  <c r="F60" i="1"/>
  <c r="G60" i="1"/>
  <c r="D61" i="1"/>
  <c r="E61" i="1"/>
  <c r="F61" i="1"/>
  <c r="G61" i="1"/>
  <c r="A54" i="1"/>
  <c r="B54" i="1"/>
  <c r="C54" i="1"/>
  <c r="A55" i="1"/>
  <c r="B55" i="1"/>
  <c r="C55" i="1"/>
  <c r="A56" i="1"/>
  <c r="B56" i="1"/>
  <c r="C56" i="1"/>
  <c r="A57" i="1"/>
  <c r="B57" i="1"/>
  <c r="C57" i="1"/>
  <c r="A58" i="1"/>
  <c r="B58" i="1"/>
  <c r="C58" i="1"/>
  <c r="A59" i="1"/>
  <c r="B59" i="1"/>
  <c r="C59" i="1"/>
  <c r="A60" i="1"/>
  <c r="B60" i="1"/>
  <c r="C60" i="1"/>
  <c r="A61" i="1"/>
  <c r="B61" i="1"/>
  <c r="C61" i="1"/>
  <c r="A62" i="1"/>
  <c r="B62" i="1"/>
  <c r="C62" i="1"/>
  <c r="D62" i="1"/>
  <c r="E62" i="1"/>
  <c r="F62" i="1"/>
  <c r="G62" i="1"/>
  <c r="A63" i="1"/>
  <c r="B63" i="1"/>
  <c r="C63" i="1"/>
  <c r="D63" i="1"/>
  <c r="E63" i="1"/>
  <c r="F63" i="1"/>
  <c r="G63" i="1"/>
  <c r="A64" i="1"/>
  <c r="B64" i="1"/>
  <c r="C64" i="1"/>
  <c r="D64" i="1"/>
  <c r="E64" i="1"/>
  <c r="F64" i="1"/>
  <c r="G64" i="1"/>
  <c r="A65" i="1"/>
  <c r="B65" i="1"/>
  <c r="C65" i="1"/>
  <c r="D65" i="1"/>
  <c r="E65" i="1"/>
  <c r="F65" i="1"/>
  <c r="G65" i="1"/>
  <c r="A66" i="1"/>
  <c r="B66" i="1"/>
  <c r="C66" i="1"/>
  <c r="D66" i="1"/>
  <c r="E66" i="1"/>
  <c r="F66" i="1"/>
  <c r="G66" i="1"/>
  <c r="A67" i="1"/>
  <c r="B67" i="1"/>
  <c r="C67" i="1"/>
  <c r="D67" i="1"/>
  <c r="E67" i="1"/>
  <c r="F67" i="1"/>
  <c r="G67" i="1"/>
  <c r="A68" i="1"/>
  <c r="B68" i="1"/>
  <c r="C68" i="1"/>
  <c r="D68" i="1"/>
  <c r="E68" i="1"/>
  <c r="F68" i="1"/>
  <c r="G68" i="1"/>
  <c r="A69" i="1"/>
  <c r="B69" i="1"/>
  <c r="C69" i="1"/>
  <c r="D69" i="1"/>
  <c r="E69" i="1"/>
  <c r="F69" i="1"/>
  <c r="G69" i="1"/>
  <c r="A70" i="1"/>
  <c r="B70" i="1"/>
  <c r="C70" i="1"/>
  <c r="D70" i="1"/>
  <c r="E70" i="1"/>
  <c r="F70" i="1"/>
  <c r="G70" i="1"/>
  <c r="D76" i="1" l="1"/>
  <c r="A71" i="1"/>
  <c r="B71" i="1"/>
  <c r="C71" i="1"/>
  <c r="D71" i="1"/>
  <c r="E71" i="1"/>
  <c r="F71" i="1"/>
  <c r="G71" i="1"/>
  <c r="A72" i="1"/>
  <c r="B72" i="1"/>
  <c r="C72" i="1"/>
  <c r="D72" i="1"/>
  <c r="E72" i="1"/>
  <c r="F72" i="1"/>
  <c r="G72" i="1"/>
  <c r="A73" i="1"/>
  <c r="B73" i="1"/>
  <c r="C73" i="1"/>
  <c r="D73" i="1"/>
  <c r="E73" i="1"/>
  <c r="F73" i="1"/>
  <c r="G73" i="1"/>
  <c r="A74" i="1"/>
  <c r="B74" i="1"/>
  <c r="C74" i="1"/>
  <c r="D74" i="1"/>
  <c r="E74" i="1"/>
  <c r="F74" i="1"/>
  <c r="G74" i="1"/>
  <c r="A75" i="1"/>
  <c r="B75" i="1"/>
  <c r="C75" i="1"/>
  <c r="D75" i="1"/>
  <c r="E75" i="1"/>
  <c r="F75" i="1"/>
  <c r="G75" i="1"/>
  <c r="A76" i="1"/>
  <c r="B76" i="1"/>
  <c r="C76" i="1"/>
  <c r="E76" i="1"/>
  <c r="F76" i="1"/>
  <c r="G76" i="1"/>
  <c r="A77" i="1"/>
  <c r="B77" i="1"/>
  <c r="C77" i="1"/>
  <c r="D77" i="1"/>
  <c r="E77" i="1"/>
  <c r="F77" i="1"/>
  <c r="G77" i="1"/>
  <c r="A78" i="1"/>
  <c r="B78" i="1"/>
  <c r="C78" i="1"/>
  <c r="D78" i="1"/>
  <c r="E78" i="1"/>
  <c r="F78" i="1"/>
  <c r="G78" i="1"/>
  <c r="A79" i="1"/>
  <c r="B79" i="1"/>
  <c r="C79" i="1"/>
  <c r="D79" i="1"/>
  <c r="E79" i="1"/>
  <c r="F79" i="1"/>
  <c r="G79" i="1"/>
  <c r="A80" i="1"/>
  <c r="B80" i="1"/>
  <c r="C80" i="1"/>
  <c r="D80" i="1"/>
  <c r="E80" i="1"/>
  <c r="F80" i="1"/>
  <c r="G80" i="1"/>
  <c r="A81" i="1"/>
  <c r="B81" i="1"/>
  <c r="C81" i="1"/>
  <c r="D81" i="1"/>
  <c r="E81" i="1"/>
  <c r="F81" i="1"/>
  <c r="G81" i="1"/>
  <c r="A82" i="1"/>
  <c r="B82" i="1"/>
  <c r="C82" i="1"/>
  <c r="D82" i="1"/>
  <c r="E82" i="1"/>
  <c r="F82" i="1"/>
  <c r="G82" i="1"/>
  <c r="A83" i="1"/>
  <c r="B83" i="1"/>
  <c r="C83" i="1"/>
  <c r="D83" i="1"/>
  <c r="E83" i="1"/>
  <c r="F83" i="1"/>
  <c r="G83" i="1"/>
  <c r="A84" i="1"/>
  <c r="B84" i="1"/>
  <c r="C84" i="1"/>
  <c r="D84" i="1"/>
  <c r="E84" i="1"/>
  <c r="F84" i="1"/>
  <c r="G84" i="1"/>
  <c r="A85" i="1"/>
  <c r="B85" i="1"/>
  <c r="C85" i="1"/>
  <c r="D85" i="1"/>
  <c r="E85" i="1"/>
  <c r="F85" i="1"/>
  <c r="G85" i="1"/>
  <c r="A86" i="1"/>
  <c r="B86" i="1"/>
  <c r="C86" i="1"/>
  <c r="D86" i="1"/>
  <c r="E86" i="1"/>
  <c r="F86" i="1"/>
  <c r="G86" i="1"/>
  <c r="A87" i="1"/>
  <c r="B87" i="1"/>
  <c r="C87" i="1"/>
  <c r="D87" i="1"/>
  <c r="E87" i="1"/>
  <c r="F87" i="1"/>
  <c r="G87" i="1"/>
  <c r="A88" i="1"/>
  <c r="B88" i="1"/>
  <c r="C88" i="1"/>
  <c r="D88" i="1"/>
  <c r="E88" i="1"/>
  <c r="F88" i="1"/>
  <c r="G88" i="1"/>
  <c r="A89" i="1"/>
  <c r="B89" i="1"/>
  <c r="C89" i="1"/>
  <c r="D89" i="1"/>
  <c r="E89" i="1"/>
  <c r="F89" i="1"/>
  <c r="G89" i="1"/>
  <c r="A90" i="1"/>
  <c r="B90" i="1"/>
  <c r="C90" i="1"/>
  <c r="A91" i="1"/>
  <c r="B91" i="1"/>
  <c r="C91" i="1"/>
  <c r="A92" i="1"/>
  <c r="B92" i="1"/>
  <c r="C92" i="1"/>
  <c r="A93" i="1"/>
  <c r="B93" i="1"/>
  <c r="C93" i="1"/>
  <c r="A94" i="1"/>
  <c r="B94" i="1"/>
  <c r="C94" i="1"/>
  <c r="A95" i="1"/>
  <c r="B95" i="1"/>
  <c r="C95" i="1"/>
  <c r="A96" i="1"/>
  <c r="B96" i="1"/>
  <c r="C96" i="1"/>
  <c r="A97" i="1"/>
  <c r="B97" i="1"/>
  <c r="C97" i="1"/>
  <c r="A98" i="1"/>
  <c r="B98" i="1"/>
  <c r="C98" i="1"/>
  <c r="A99" i="1"/>
  <c r="B99" i="1"/>
  <c r="C99" i="1"/>
  <c r="A100" i="1"/>
  <c r="B100" i="1"/>
  <c r="C100" i="1"/>
  <c r="A101" i="1"/>
  <c r="B101" i="1"/>
  <c r="C101" i="1"/>
  <c r="A102" i="1"/>
  <c r="B102" i="1"/>
  <c r="C102" i="1"/>
  <c r="A103" i="1"/>
  <c r="B103" i="1"/>
  <c r="C103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G104" i="1"/>
  <c r="F104" i="1"/>
  <c r="E104" i="1"/>
  <c r="D104" i="1"/>
  <c r="C104" i="1"/>
  <c r="B104" i="1"/>
  <c r="A104" i="1"/>
  <c r="A105" i="1"/>
  <c r="B105" i="1"/>
  <c r="C105" i="1"/>
  <c r="D105" i="1"/>
  <c r="E105" i="1"/>
  <c r="F105" i="1"/>
  <c r="G105" i="1"/>
  <c r="A106" i="1"/>
  <c r="B106" i="1"/>
  <c r="C106" i="1"/>
  <c r="D106" i="1"/>
  <c r="E106" i="1"/>
  <c r="F106" i="1"/>
  <c r="G106" i="1"/>
  <c r="A107" i="1"/>
  <c r="B107" i="1"/>
  <c r="C107" i="1"/>
  <c r="D107" i="1"/>
  <c r="E107" i="1"/>
  <c r="F107" i="1"/>
  <c r="G107" i="1"/>
  <c r="A108" i="1"/>
  <c r="B108" i="1"/>
  <c r="C108" i="1"/>
  <c r="D108" i="1"/>
  <c r="E108" i="1"/>
  <c r="F108" i="1"/>
  <c r="G108" i="1"/>
  <c r="A109" i="1"/>
  <c r="B109" i="1"/>
  <c r="C109" i="1"/>
  <c r="D109" i="1"/>
  <c r="E109" i="1"/>
  <c r="F109" i="1"/>
  <c r="G109" i="1"/>
  <c r="G110" i="1"/>
  <c r="F110" i="1"/>
  <c r="E110" i="1"/>
  <c r="D110" i="1"/>
  <c r="C110" i="1"/>
  <c r="B110" i="1"/>
  <c r="A110" i="1"/>
  <c r="A111" i="1"/>
  <c r="B111" i="1"/>
  <c r="C111" i="1"/>
  <c r="D111" i="1"/>
  <c r="E111" i="1"/>
  <c r="F111" i="1"/>
  <c r="G111" i="1"/>
  <c r="A112" i="1"/>
  <c r="B112" i="1"/>
  <c r="C112" i="1"/>
  <c r="D112" i="1"/>
  <c r="E112" i="1"/>
  <c r="F112" i="1"/>
  <c r="G112" i="1"/>
  <c r="A113" i="1"/>
  <c r="B113" i="1"/>
  <c r="C113" i="1"/>
  <c r="D113" i="1"/>
  <c r="E113" i="1"/>
  <c r="F113" i="1"/>
  <c r="G113" i="1"/>
  <c r="A114" i="1"/>
  <c r="B114" i="1"/>
  <c r="C114" i="1"/>
  <c r="D114" i="1"/>
  <c r="E114" i="1"/>
  <c r="F114" i="1"/>
  <c r="G114" i="1"/>
  <c r="A115" i="1"/>
  <c r="B115" i="1"/>
  <c r="C115" i="1"/>
  <c r="D115" i="1"/>
  <c r="E115" i="1"/>
  <c r="F115" i="1"/>
  <c r="G115" i="1"/>
  <c r="A116" i="1"/>
  <c r="B116" i="1"/>
  <c r="C116" i="1"/>
  <c r="D116" i="1"/>
  <c r="E116" i="1"/>
  <c r="F116" i="1"/>
  <c r="G116" i="1"/>
  <c r="A117" i="1"/>
  <c r="B117" i="1"/>
  <c r="C117" i="1"/>
  <c r="D117" i="1"/>
  <c r="E117" i="1"/>
  <c r="F117" i="1"/>
  <c r="G117" i="1"/>
  <c r="A118" i="1"/>
  <c r="B118" i="1"/>
  <c r="C118" i="1"/>
  <c r="D118" i="1"/>
  <c r="E118" i="1"/>
  <c r="F118" i="1"/>
  <c r="G118" i="1"/>
  <c r="A119" i="1"/>
  <c r="B119" i="1"/>
  <c r="C119" i="1"/>
  <c r="D119" i="1"/>
  <c r="E119" i="1"/>
  <c r="F119" i="1"/>
  <c r="G119" i="1"/>
  <c r="A120" i="1"/>
  <c r="B120" i="1"/>
  <c r="C120" i="1"/>
  <c r="D120" i="1"/>
  <c r="E120" i="1"/>
  <c r="F120" i="1"/>
  <c r="G120" i="1"/>
  <c r="A121" i="1"/>
  <c r="B121" i="1"/>
  <c r="C121" i="1"/>
  <c r="D121" i="1"/>
  <c r="E121" i="1"/>
  <c r="F121" i="1"/>
  <c r="G121" i="1"/>
  <c r="A122" i="1"/>
  <c r="B122" i="1"/>
  <c r="C122" i="1"/>
  <c r="D122" i="1"/>
  <c r="E122" i="1"/>
  <c r="F122" i="1"/>
  <c r="G122" i="1"/>
  <c r="A123" i="1"/>
  <c r="B123" i="1"/>
  <c r="C123" i="1"/>
  <c r="D123" i="1"/>
  <c r="E123" i="1"/>
  <c r="F123" i="1"/>
  <c r="G123" i="1"/>
  <c r="A124" i="1"/>
  <c r="B124" i="1"/>
  <c r="C124" i="1"/>
  <c r="D124" i="1"/>
  <c r="E124" i="1"/>
  <c r="F124" i="1"/>
  <c r="G124" i="1"/>
  <c r="A125" i="1"/>
  <c r="B125" i="1"/>
  <c r="C125" i="1"/>
  <c r="D125" i="1"/>
  <c r="E125" i="1"/>
  <c r="F125" i="1"/>
  <c r="A126" i="1"/>
  <c r="B126" i="1"/>
  <c r="C126" i="1"/>
  <c r="D126" i="1"/>
  <c r="E126" i="1"/>
  <c r="F126" i="1"/>
  <c r="G125" i="1"/>
  <c r="G126" i="1"/>
  <c r="A127" i="1"/>
  <c r="B127" i="1"/>
  <c r="C127" i="1"/>
  <c r="D127" i="1"/>
  <c r="E127" i="1"/>
  <c r="F127" i="1"/>
  <c r="G127" i="1"/>
  <c r="A128" i="1"/>
  <c r="B128" i="1"/>
  <c r="C128" i="1"/>
  <c r="D128" i="1"/>
  <c r="E128" i="1"/>
  <c r="F128" i="1"/>
  <c r="G128" i="1"/>
  <c r="A129" i="1"/>
  <c r="B129" i="1"/>
  <c r="C129" i="1"/>
  <c r="D129" i="1"/>
  <c r="E129" i="1"/>
  <c r="F129" i="1"/>
  <c r="G129" i="1"/>
  <c r="A130" i="1"/>
  <c r="B130" i="1"/>
  <c r="C130" i="1"/>
  <c r="D130" i="1"/>
  <c r="E130" i="1"/>
  <c r="F130" i="1"/>
  <c r="G130" i="1"/>
  <c r="A131" i="1"/>
  <c r="B131" i="1"/>
  <c r="C131" i="1"/>
  <c r="D131" i="1"/>
  <c r="E131" i="1"/>
  <c r="F131" i="1"/>
  <c r="G131" i="1"/>
  <c r="A132" i="1"/>
  <c r="B132" i="1"/>
  <c r="C132" i="1"/>
  <c r="D132" i="1"/>
  <c r="E132" i="1"/>
  <c r="F132" i="1"/>
  <c r="G132" i="1"/>
  <c r="A133" i="1"/>
  <c r="B133" i="1"/>
  <c r="C133" i="1"/>
  <c r="D133" i="1"/>
  <c r="E133" i="1"/>
  <c r="F133" i="1"/>
  <c r="G133" i="1"/>
  <c r="A134" i="1"/>
  <c r="B134" i="1"/>
  <c r="C134" i="1"/>
  <c r="D134" i="1"/>
  <c r="E134" i="1"/>
  <c r="F134" i="1"/>
  <c r="G134" i="1"/>
  <c r="A135" i="1"/>
  <c r="B135" i="1"/>
  <c r="C135" i="1"/>
  <c r="D135" i="1"/>
  <c r="E135" i="1"/>
  <c r="F135" i="1"/>
  <c r="G135" i="1"/>
  <c r="A136" i="1"/>
  <c r="B136" i="1"/>
  <c r="C136" i="1"/>
  <c r="D136" i="1"/>
  <c r="E136" i="1"/>
  <c r="F136" i="1"/>
  <c r="G136" i="1"/>
  <c r="A137" i="1"/>
  <c r="B137" i="1"/>
  <c r="C137" i="1"/>
  <c r="D137" i="1"/>
  <c r="E137" i="1"/>
  <c r="F137" i="1"/>
  <c r="G137" i="1"/>
  <c r="A138" i="1"/>
  <c r="B138" i="1"/>
  <c r="C138" i="1"/>
  <c r="D138" i="1"/>
  <c r="E138" i="1"/>
  <c r="F138" i="1"/>
  <c r="G138" i="1"/>
  <c r="A139" i="1"/>
  <c r="B139" i="1"/>
  <c r="C139" i="1"/>
  <c r="D139" i="1"/>
  <c r="E139" i="1"/>
  <c r="F139" i="1"/>
  <c r="G139" i="1"/>
  <c r="A140" i="1"/>
  <c r="B140" i="1"/>
  <c r="C140" i="1"/>
  <c r="D140" i="1"/>
  <c r="E140" i="1"/>
  <c r="F140" i="1"/>
  <c r="G140" i="1"/>
  <c r="A141" i="1"/>
  <c r="B141" i="1"/>
  <c r="C141" i="1"/>
  <c r="D141" i="1"/>
  <c r="E141" i="1"/>
  <c r="F141" i="1"/>
  <c r="G141" i="1"/>
  <c r="A142" i="1"/>
  <c r="B142" i="1"/>
  <c r="C142" i="1"/>
  <c r="D142" i="1"/>
  <c r="E142" i="1"/>
  <c r="F142" i="1"/>
  <c r="G142" i="1"/>
  <c r="A143" i="1"/>
  <c r="B143" i="1"/>
  <c r="C143" i="1"/>
  <c r="D143" i="1"/>
  <c r="E143" i="1"/>
  <c r="F143" i="1"/>
  <c r="G143" i="1"/>
  <c r="A144" i="1"/>
  <c r="B144" i="1"/>
  <c r="C144" i="1"/>
  <c r="D144" i="1"/>
  <c r="E144" i="1"/>
  <c r="F144" i="1"/>
  <c r="G144" i="1"/>
  <c r="A145" i="1"/>
  <c r="B145" i="1"/>
  <c r="C145" i="1"/>
  <c r="D145" i="1"/>
  <c r="E145" i="1"/>
  <c r="F145" i="1"/>
  <c r="G145" i="1"/>
  <c r="G146" i="1"/>
  <c r="F146" i="1"/>
  <c r="E146" i="1"/>
  <c r="D146" i="1"/>
  <c r="C146" i="1"/>
  <c r="B146" i="1"/>
  <c r="A146" i="1"/>
  <c r="A594" i="1"/>
  <c r="B594" i="1"/>
  <c r="C594" i="1"/>
  <c r="A595" i="1"/>
  <c r="B595" i="1"/>
  <c r="C595" i="1"/>
  <c r="A596" i="1"/>
  <c r="B596" i="1"/>
  <c r="C596" i="1"/>
  <c r="A597" i="1"/>
  <c r="B597" i="1"/>
  <c r="C597" i="1"/>
  <c r="A598" i="1"/>
  <c r="B598" i="1"/>
  <c r="C598" i="1"/>
  <c r="A599" i="1"/>
  <c r="B599" i="1"/>
  <c r="C599" i="1"/>
  <c r="A299" i="1"/>
  <c r="B299" i="1"/>
  <c r="C299" i="1"/>
  <c r="A300" i="1"/>
  <c r="B300" i="1"/>
  <c r="C300" i="1"/>
  <c r="A301" i="1"/>
  <c r="B301" i="1"/>
  <c r="C301" i="1"/>
  <c r="A302" i="1"/>
  <c r="B302" i="1"/>
  <c r="C302" i="1"/>
  <c r="A303" i="1"/>
  <c r="B303" i="1"/>
  <c r="C303" i="1"/>
  <c r="A304" i="1"/>
  <c r="B304" i="1"/>
  <c r="C304" i="1"/>
  <c r="A305" i="1"/>
  <c r="B305" i="1"/>
  <c r="C305" i="1"/>
  <c r="A306" i="1"/>
  <c r="B306" i="1"/>
  <c r="C306" i="1"/>
  <c r="A307" i="1"/>
  <c r="B307" i="1"/>
  <c r="C307" i="1"/>
  <c r="A308" i="1"/>
  <c r="B308" i="1"/>
  <c r="C308" i="1"/>
  <c r="A309" i="1"/>
  <c r="B309" i="1"/>
  <c r="C309" i="1"/>
  <c r="A310" i="1"/>
  <c r="B310" i="1"/>
  <c r="C310" i="1"/>
  <c r="A311" i="1"/>
  <c r="B311" i="1"/>
  <c r="C311" i="1"/>
  <c r="A312" i="1"/>
  <c r="B312" i="1"/>
  <c r="C312" i="1"/>
  <c r="A313" i="1"/>
  <c r="B313" i="1"/>
  <c r="C313" i="1"/>
  <c r="A314" i="1"/>
  <c r="B314" i="1"/>
  <c r="C314" i="1"/>
  <c r="A315" i="1"/>
  <c r="B315" i="1"/>
  <c r="C315" i="1"/>
  <c r="A316" i="1"/>
  <c r="B316" i="1"/>
  <c r="C316" i="1"/>
  <c r="A317" i="1"/>
  <c r="B317" i="1"/>
  <c r="C317" i="1"/>
  <c r="A318" i="1"/>
  <c r="B318" i="1"/>
  <c r="C318" i="1"/>
  <c r="A319" i="1"/>
  <c r="B319" i="1"/>
  <c r="C319" i="1"/>
  <c r="A320" i="1"/>
  <c r="B320" i="1"/>
  <c r="C320" i="1"/>
  <c r="A321" i="1"/>
  <c r="B321" i="1"/>
  <c r="C321" i="1"/>
  <c r="A322" i="1"/>
  <c r="B322" i="1"/>
  <c r="C322" i="1"/>
  <c r="A323" i="1"/>
  <c r="B323" i="1"/>
  <c r="C323" i="1"/>
  <c r="A324" i="1"/>
  <c r="B324" i="1"/>
  <c r="C324" i="1"/>
  <c r="A325" i="1"/>
  <c r="B325" i="1"/>
  <c r="C325" i="1"/>
  <c r="A326" i="1"/>
  <c r="B326" i="1"/>
  <c r="C326" i="1"/>
  <c r="A327" i="1"/>
  <c r="B327" i="1"/>
  <c r="C327" i="1"/>
  <c r="A328" i="1"/>
  <c r="B328" i="1"/>
  <c r="C328" i="1"/>
  <c r="A329" i="1"/>
  <c r="B329" i="1"/>
  <c r="C329" i="1"/>
  <c r="A330" i="1"/>
  <c r="B330" i="1"/>
  <c r="C330" i="1"/>
  <c r="A331" i="1"/>
  <c r="B331" i="1"/>
  <c r="C331" i="1"/>
  <c r="A332" i="1"/>
  <c r="B332" i="1"/>
  <c r="C332" i="1"/>
  <c r="A333" i="1"/>
  <c r="B333" i="1"/>
  <c r="C333" i="1"/>
  <c r="A334" i="1"/>
  <c r="B334" i="1"/>
  <c r="C334" i="1"/>
  <c r="A335" i="1"/>
  <c r="B335" i="1"/>
  <c r="C335" i="1"/>
  <c r="A336" i="1"/>
  <c r="B336" i="1"/>
  <c r="C336" i="1"/>
  <c r="A337" i="1"/>
  <c r="B337" i="1"/>
  <c r="C337" i="1"/>
  <c r="A338" i="1"/>
  <c r="B338" i="1"/>
  <c r="C338" i="1"/>
  <c r="A339" i="1"/>
  <c r="B339" i="1"/>
  <c r="C339" i="1"/>
  <c r="A340" i="1"/>
  <c r="B340" i="1"/>
  <c r="C340" i="1"/>
  <c r="A341" i="1"/>
  <c r="B341" i="1"/>
  <c r="C341" i="1"/>
  <c r="A342" i="1"/>
  <c r="B342" i="1"/>
  <c r="C342" i="1"/>
  <c r="A343" i="1"/>
  <c r="B343" i="1"/>
  <c r="C343" i="1"/>
  <c r="A344" i="1"/>
  <c r="B344" i="1"/>
  <c r="C344" i="1"/>
  <c r="A345" i="1"/>
  <c r="B345" i="1"/>
  <c r="C345" i="1"/>
  <c r="A346" i="1"/>
  <c r="B346" i="1"/>
  <c r="C346" i="1"/>
  <c r="A347" i="1"/>
  <c r="B347" i="1"/>
  <c r="C347" i="1"/>
  <c r="A348" i="1"/>
  <c r="B348" i="1"/>
  <c r="C348" i="1"/>
  <c r="A349" i="1"/>
  <c r="B349" i="1"/>
  <c r="C349" i="1"/>
  <c r="A350" i="1"/>
  <c r="B350" i="1"/>
  <c r="C350" i="1"/>
  <c r="A351" i="1"/>
  <c r="B351" i="1"/>
  <c r="C351" i="1"/>
  <c r="A352" i="1"/>
  <c r="B352" i="1"/>
  <c r="C352" i="1"/>
  <c r="A353" i="1"/>
  <c r="B353" i="1"/>
  <c r="C353" i="1"/>
  <c r="A354" i="1"/>
  <c r="B354" i="1"/>
  <c r="C354" i="1"/>
  <c r="A355" i="1"/>
  <c r="B355" i="1"/>
  <c r="C355" i="1"/>
  <c r="A356" i="1"/>
  <c r="B356" i="1"/>
  <c r="C356" i="1"/>
  <c r="A357" i="1"/>
  <c r="B357" i="1"/>
  <c r="C357" i="1"/>
  <c r="A358" i="1"/>
  <c r="B358" i="1"/>
  <c r="C358" i="1"/>
  <c r="A359" i="1"/>
  <c r="B359" i="1"/>
  <c r="C359" i="1"/>
  <c r="A360" i="1"/>
  <c r="B360" i="1"/>
  <c r="C360" i="1"/>
  <c r="A361" i="1"/>
  <c r="B361" i="1"/>
  <c r="C361" i="1"/>
  <c r="A362" i="1"/>
  <c r="B362" i="1"/>
  <c r="C362" i="1"/>
  <c r="A363" i="1"/>
  <c r="B363" i="1"/>
  <c r="C363" i="1"/>
  <c r="A364" i="1"/>
  <c r="B364" i="1"/>
  <c r="C364" i="1"/>
  <c r="A365" i="1"/>
  <c r="B365" i="1"/>
  <c r="C365" i="1"/>
  <c r="A366" i="1"/>
  <c r="B366" i="1"/>
  <c r="C366" i="1"/>
  <c r="A367" i="1"/>
  <c r="B367" i="1"/>
  <c r="C367" i="1"/>
  <c r="A368" i="1"/>
  <c r="B368" i="1"/>
  <c r="C368" i="1"/>
  <c r="A369" i="1"/>
  <c r="B369" i="1"/>
  <c r="C369" i="1"/>
  <c r="A370" i="1"/>
  <c r="B370" i="1"/>
  <c r="C370" i="1"/>
  <c r="A371" i="1"/>
  <c r="B371" i="1"/>
  <c r="C371" i="1"/>
  <c r="A372" i="1"/>
  <c r="B372" i="1"/>
  <c r="C372" i="1"/>
  <c r="A373" i="1"/>
  <c r="B373" i="1"/>
  <c r="C373" i="1"/>
  <c r="A374" i="1"/>
  <c r="B374" i="1"/>
  <c r="C374" i="1"/>
  <c r="A375" i="1"/>
  <c r="B375" i="1"/>
  <c r="C375" i="1"/>
  <c r="A376" i="1"/>
  <c r="B376" i="1"/>
  <c r="C376" i="1"/>
  <c r="A377" i="1"/>
  <c r="B377" i="1"/>
  <c r="C377" i="1"/>
  <c r="A378" i="1"/>
  <c r="B378" i="1"/>
  <c r="C378" i="1"/>
  <c r="A379" i="1"/>
  <c r="B379" i="1"/>
  <c r="C379" i="1"/>
  <c r="A380" i="1"/>
  <c r="B380" i="1"/>
  <c r="C380" i="1"/>
  <c r="A381" i="1"/>
  <c r="B381" i="1"/>
  <c r="C381" i="1"/>
  <c r="A382" i="1"/>
  <c r="B382" i="1"/>
  <c r="C382" i="1"/>
  <c r="A383" i="1"/>
  <c r="B383" i="1"/>
  <c r="C383" i="1"/>
  <c r="A384" i="1"/>
  <c r="B384" i="1"/>
  <c r="C384" i="1"/>
  <c r="A385" i="1"/>
  <c r="B385" i="1"/>
  <c r="C385" i="1"/>
  <c r="A386" i="1"/>
  <c r="B386" i="1"/>
  <c r="C386" i="1"/>
  <c r="A387" i="1"/>
  <c r="B387" i="1"/>
  <c r="C387" i="1"/>
  <c r="A388" i="1"/>
  <c r="B388" i="1"/>
  <c r="C388" i="1"/>
  <c r="A389" i="1"/>
  <c r="B389" i="1"/>
  <c r="C389" i="1"/>
  <c r="A390" i="1"/>
  <c r="B390" i="1"/>
  <c r="C390" i="1"/>
  <c r="A391" i="1"/>
  <c r="B391" i="1"/>
  <c r="C391" i="1"/>
  <c r="A392" i="1"/>
  <c r="B392" i="1"/>
  <c r="C392" i="1"/>
  <c r="A393" i="1"/>
  <c r="B393" i="1"/>
  <c r="C393" i="1"/>
  <c r="A394" i="1"/>
  <c r="B394" i="1"/>
  <c r="C394" i="1"/>
  <c r="A395" i="1"/>
  <c r="B395" i="1"/>
  <c r="C395" i="1"/>
  <c r="A396" i="1"/>
  <c r="B396" i="1"/>
  <c r="C396" i="1"/>
  <c r="A397" i="1"/>
  <c r="B397" i="1"/>
  <c r="C397" i="1"/>
  <c r="A398" i="1"/>
  <c r="B398" i="1"/>
  <c r="C398" i="1"/>
  <c r="A399" i="1"/>
  <c r="B399" i="1"/>
  <c r="C399" i="1"/>
  <c r="A400" i="1"/>
  <c r="B400" i="1"/>
  <c r="C400" i="1"/>
  <c r="A401" i="1"/>
  <c r="B401" i="1"/>
  <c r="C401" i="1"/>
  <c r="A402" i="1"/>
  <c r="B402" i="1"/>
  <c r="C402" i="1"/>
  <c r="A403" i="1"/>
  <c r="B403" i="1"/>
  <c r="C403" i="1"/>
  <c r="A404" i="1"/>
  <c r="B404" i="1"/>
  <c r="C404" i="1"/>
  <c r="A405" i="1"/>
  <c r="B405" i="1"/>
  <c r="C405" i="1"/>
  <c r="A406" i="1"/>
  <c r="B406" i="1"/>
  <c r="C406" i="1"/>
  <c r="A407" i="1"/>
  <c r="B407" i="1"/>
  <c r="C407" i="1"/>
  <c r="A408" i="1"/>
  <c r="B408" i="1"/>
  <c r="C408" i="1"/>
  <c r="A409" i="1"/>
  <c r="B409" i="1"/>
  <c r="C409" i="1"/>
  <c r="A410" i="1"/>
  <c r="B410" i="1"/>
  <c r="C410" i="1"/>
  <c r="A411" i="1"/>
  <c r="B411" i="1"/>
  <c r="C411" i="1"/>
  <c r="A412" i="1"/>
  <c r="B412" i="1"/>
  <c r="C412" i="1"/>
  <c r="A413" i="1"/>
  <c r="B413" i="1"/>
  <c r="C413" i="1"/>
  <c r="A414" i="1"/>
  <c r="B414" i="1"/>
  <c r="C414" i="1"/>
  <c r="A415" i="1"/>
  <c r="B415" i="1"/>
  <c r="C415" i="1"/>
  <c r="A416" i="1"/>
  <c r="B416" i="1"/>
  <c r="C416" i="1"/>
  <c r="A417" i="1"/>
  <c r="B417" i="1"/>
  <c r="C417" i="1"/>
  <c r="A418" i="1"/>
  <c r="B418" i="1"/>
  <c r="C418" i="1"/>
  <c r="A419" i="1"/>
  <c r="B419" i="1"/>
  <c r="C419" i="1"/>
  <c r="A420" i="1"/>
  <c r="B420" i="1"/>
  <c r="C420" i="1"/>
  <c r="A421" i="1"/>
  <c r="B421" i="1"/>
  <c r="C421" i="1"/>
  <c r="A422" i="1"/>
  <c r="B422" i="1"/>
  <c r="C422" i="1"/>
  <c r="A423" i="1"/>
  <c r="B423" i="1"/>
  <c r="C423" i="1"/>
  <c r="A424" i="1"/>
  <c r="B424" i="1"/>
  <c r="C424" i="1"/>
  <c r="A425" i="1"/>
  <c r="B425" i="1"/>
  <c r="C425" i="1"/>
  <c r="A426" i="1"/>
  <c r="B426" i="1"/>
  <c r="C426" i="1"/>
  <c r="A427" i="1"/>
  <c r="B427" i="1"/>
  <c r="C427" i="1"/>
  <c r="A428" i="1"/>
  <c r="B428" i="1"/>
  <c r="C428" i="1"/>
  <c r="A429" i="1"/>
  <c r="B429" i="1"/>
  <c r="C429" i="1"/>
  <c r="A430" i="1"/>
  <c r="B430" i="1"/>
  <c r="C430" i="1"/>
  <c r="A431" i="1"/>
  <c r="B431" i="1"/>
  <c r="C431" i="1"/>
  <c r="A432" i="1"/>
  <c r="B432" i="1"/>
  <c r="C432" i="1"/>
  <c r="A433" i="1"/>
  <c r="B433" i="1"/>
  <c r="C433" i="1"/>
  <c r="A434" i="1"/>
  <c r="B434" i="1"/>
  <c r="C434" i="1"/>
  <c r="A435" i="1"/>
  <c r="B435" i="1"/>
  <c r="C435" i="1"/>
  <c r="A436" i="1"/>
  <c r="B436" i="1"/>
  <c r="C436" i="1"/>
  <c r="A437" i="1"/>
  <c r="B437" i="1"/>
  <c r="C437" i="1"/>
  <c r="A438" i="1"/>
  <c r="B438" i="1"/>
  <c r="C438" i="1"/>
  <c r="A439" i="1"/>
  <c r="B439" i="1"/>
  <c r="C439" i="1"/>
  <c r="A440" i="1"/>
  <c r="B440" i="1"/>
  <c r="C440" i="1"/>
  <c r="A441" i="1"/>
  <c r="B441" i="1"/>
  <c r="C441" i="1"/>
  <c r="A442" i="1"/>
  <c r="B442" i="1"/>
  <c r="C442" i="1"/>
  <c r="A443" i="1"/>
  <c r="B443" i="1"/>
  <c r="C443" i="1"/>
  <c r="A444" i="1"/>
  <c r="B444" i="1"/>
  <c r="C444" i="1"/>
  <c r="A445" i="1"/>
  <c r="B445" i="1"/>
  <c r="C445" i="1"/>
  <c r="A446" i="1"/>
  <c r="B446" i="1"/>
  <c r="C446" i="1"/>
  <c r="A447" i="1"/>
  <c r="B447" i="1"/>
  <c r="C447" i="1"/>
  <c r="A448" i="1"/>
  <c r="B448" i="1"/>
  <c r="C448" i="1"/>
  <c r="A449" i="1"/>
  <c r="B449" i="1"/>
  <c r="C449" i="1"/>
  <c r="A450" i="1"/>
  <c r="B450" i="1"/>
  <c r="C450" i="1"/>
  <c r="A451" i="1"/>
  <c r="B451" i="1"/>
  <c r="C451" i="1"/>
  <c r="A452" i="1"/>
  <c r="B452" i="1"/>
  <c r="C452" i="1"/>
  <c r="A453" i="1"/>
  <c r="B453" i="1"/>
  <c r="C453" i="1"/>
  <c r="A454" i="1"/>
  <c r="B454" i="1"/>
  <c r="C454" i="1"/>
  <c r="A455" i="1"/>
  <c r="B455" i="1"/>
  <c r="C455" i="1"/>
  <c r="A456" i="1"/>
  <c r="B456" i="1"/>
  <c r="C456" i="1"/>
  <c r="A457" i="1"/>
  <c r="B457" i="1"/>
  <c r="C457" i="1"/>
  <c r="A458" i="1"/>
  <c r="B458" i="1"/>
  <c r="C458" i="1"/>
  <c r="A459" i="1"/>
  <c r="B459" i="1"/>
  <c r="C459" i="1"/>
  <c r="A460" i="1"/>
  <c r="B460" i="1"/>
  <c r="C460" i="1"/>
  <c r="A461" i="1"/>
  <c r="B461" i="1"/>
  <c r="C461" i="1"/>
  <c r="A462" i="1"/>
  <c r="B462" i="1"/>
  <c r="C462" i="1"/>
  <c r="A463" i="1"/>
  <c r="B463" i="1"/>
  <c r="C463" i="1"/>
  <c r="A464" i="1"/>
  <c r="B464" i="1"/>
  <c r="C464" i="1"/>
  <c r="A465" i="1"/>
  <c r="B465" i="1"/>
  <c r="C465" i="1"/>
  <c r="A466" i="1"/>
  <c r="B466" i="1"/>
  <c r="C466" i="1"/>
  <c r="A467" i="1"/>
  <c r="B467" i="1"/>
  <c r="C467" i="1"/>
  <c r="A468" i="1"/>
  <c r="B468" i="1"/>
  <c r="C468" i="1"/>
  <c r="A469" i="1"/>
  <c r="B469" i="1"/>
  <c r="C469" i="1"/>
  <c r="A470" i="1"/>
  <c r="B470" i="1"/>
  <c r="C470" i="1"/>
  <c r="A471" i="1"/>
  <c r="B471" i="1"/>
  <c r="C471" i="1"/>
  <c r="A472" i="1"/>
  <c r="B472" i="1"/>
  <c r="C472" i="1"/>
  <c r="A473" i="1"/>
  <c r="B473" i="1"/>
  <c r="C473" i="1"/>
  <c r="A474" i="1"/>
  <c r="B474" i="1"/>
  <c r="C474" i="1"/>
  <c r="A475" i="1"/>
  <c r="B475" i="1"/>
  <c r="C475" i="1"/>
  <c r="A476" i="1"/>
  <c r="B476" i="1"/>
  <c r="C476" i="1"/>
  <c r="A477" i="1"/>
  <c r="B477" i="1"/>
  <c r="C477" i="1"/>
  <c r="A478" i="1"/>
  <c r="B478" i="1"/>
  <c r="C478" i="1"/>
  <c r="A479" i="1"/>
  <c r="B479" i="1"/>
  <c r="C479" i="1"/>
  <c r="A480" i="1"/>
  <c r="B480" i="1"/>
  <c r="C480" i="1"/>
  <c r="A481" i="1"/>
  <c r="B481" i="1"/>
  <c r="C481" i="1"/>
  <c r="A482" i="1"/>
  <c r="B482" i="1"/>
  <c r="C482" i="1"/>
  <c r="A483" i="1"/>
  <c r="B483" i="1"/>
  <c r="C483" i="1"/>
  <c r="A484" i="1"/>
  <c r="B484" i="1"/>
  <c r="C484" i="1"/>
  <c r="A485" i="1"/>
  <c r="B485" i="1"/>
  <c r="C485" i="1"/>
  <c r="A486" i="1"/>
  <c r="B486" i="1"/>
  <c r="C486" i="1"/>
  <c r="A487" i="1"/>
  <c r="B487" i="1"/>
  <c r="C487" i="1"/>
  <c r="A488" i="1"/>
  <c r="B488" i="1"/>
  <c r="C488" i="1"/>
  <c r="A489" i="1"/>
  <c r="B489" i="1"/>
  <c r="C489" i="1"/>
  <c r="A490" i="1"/>
  <c r="B490" i="1"/>
  <c r="C490" i="1"/>
  <c r="A491" i="1"/>
  <c r="B491" i="1"/>
  <c r="C491" i="1"/>
  <c r="A492" i="1"/>
  <c r="B492" i="1"/>
  <c r="C492" i="1"/>
  <c r="A493" i="1"/>
  <c r="B493" i="1"/>
  <c r="C493" i="1"/>
  <c r="A494" i="1"/>
  <c r="B494" i="1"/>
  <c r="C494" i="1"/>
  <c r="A495" i="1"/>
  <c r="B495" i="1"/>
  <c r="C495" i="1"/>
  <c r="A496" i="1"/>
  <c r="B496" i="1"/>
  <c r="C496" i="1"/>
  <c r="A497" i="1"/>
  <c r="B497" i="1"/>
  <c r="C497" i="1"/>
  <c r="A498" i="1"/>
  <c r="B498" i="1"/>
  <c r="C498" i="1"/>
  <c r="A499" i="1"/>
  <c r="B499" i="1"/>
  <c r="C499" i="1"/>
  <c r="A500" i="1"/>
  <c r="B500" i="1"/>
  <c r="C500" i="1"/>
  <c r="A501" i="1"/>
  <c r="B501" i="1"/>
  <c r="C501" i="1"/>
  <c r="A502" i="1"/>
  <c r="B502" i="1"/>
  <c r="C502" i="1"/>
  <c r="A503" i="1"/>
  <c r="B503" i="1"/>
  <c r="C503" i="1"/>
  <c r="A504" i="1"/>
  <c r="B504" i="1"/>
  <c r="C504" i="1"/>
  <c r="A505" i="1"/>
  <c r="B505" i="1"/>
  <c r="C505" i="1"/>
  <c r="A506" i="1"/>
  <c r="B506" i="1"/>
  <c r="C506" i="1"/>
  <c r="A507" i="1"/>
  <c r="B507" i="1"/>
  <c r="C507" i="1"/>
  <c r="A508" i="1"/>
  <c r="B508" i="1"/>
  <c r="C508" i="1"/>
  <c r="A509" i="1"/>
  <c r="B509" i="1"/>
  <c r="C509" i="1"/>
  <c r="A510" i="1"/>
  <c r="B510" i="1"/>
  <c r="C510" i="1"/>
  <c r="A511" i="1"/>
  <c r="B511" i="1"/>
  <c r="C511" i="1"/>
  <c r="A512" i="1"/>
  <c r="B512" i="1"/>
  <c r="C512" i="1"/>
  <c r="A513" i="1"/>
  <c r="B513" i="1"/>
  <c r="C513" i="1"/>
  <c r="A514" i="1"/>
  <c r="B514" i="1"/>
  <c r="C514" i="1"/>
  <c r="A515" i="1"/>
  <c r="B515" i="1"/>
  <c r="C515" i="1"/>
  <c r="A516" i="1"/>
  <c r="B516" i="1"/>
  <c r="C516" i="1"/>
  <c r="A517" i="1"/>
  <c r="B517" i="1"/>
  <c r="C517" i="1"/>
  <c r="A518" i="1"/>
  <c r="B518" i="1"/>
  <c r="C518" i="1"/>
  <c r="A519" i="1"/>
  <c r="B519" i="1"/>
  <c r="C519" i="1"/>
  <c r="A520" i="1"/>
  <c r="B520" i="1"/>
  <c r="C520" i="1"/>
  <c r="A521" i="1"/>
  <c r="B521" i="1"/>
  <c r="C521" i="1"/>
  <c r="A522" i="1"/>
  <c r="B522" i="1"/>
  <c r="C522" i="1"/>
  <c r="A523" i="1"/>
  <c r="B523" i="1"/>
  <c r="C523" i="1"/>
  <c r="A524" i="1"/>
  <c r="B524" i="1"/>
  <c r="C524" i="1"/>
  <c r="A525" i="1"/>
  <c r="B525" i="1"/>
  <c r="C525" i="1"/>
  <c r="A526" i="1"/>
  <c r="B526" i="1"/>
  <c r="C526" i="1"/>
  <c r="A527" i="1"/>
  <c r="B527" i="1"/>
  <c r="C527" i="1"/>
  <c r="A528" i="1"/>
  <c r="B528" i="1"/>
  <c r="C528" i="1"/>
  <c r="A529" i="1"/>
  <c r="B529" i="1"/>
  <c r="C529" i="1"/>
  <c r="A530" i="1"/>
  <c r="B530" i="1"/>
  <c r="C530" i="1"/>
  <c r="A531" i="1"/>
  <c r="B531" i="1"/>
  <c r="C531" i="1"/>
  <c r="A532" i="1"/>
  <c r="B532" i="1"/>
  <c r="C532" i="1"/>
  <c r="A533" i="1"/>
  <c r="B533" i="1"/>
  <c r="C533" i="1"/>
  <c r="A534" i="1"/>
  <c r="B534" i="1"/>
  <c r="C534" i="1"/>
  <c r="A535" i="1"/>
  <c r="B535" i="1"/>
  <c r="C535" i="1"/>
  <c r="A536" i="1"/>
  <c r="B536" i="1"/>
  <c r="C536" i="1"/>
  <c r="A537" i="1"/>
  <c r="B537" i="1"/>
  <c r="C537" i="1"/>
  <c r="A538" i="1"/>
  <c r="B538" i="1"/>
  <c r="C538" i="1"/>
  <c r="A539" i="1"/>
  <c r="B539" i="1"/>
  <c r="C539" i="1"/>
  <c r="A540" i="1"/>
  <c r="B540" i="1"/>
  <c r="C540" i="1"/>
  <c r="A541" i="1"/>
  <c r="B541" i="1"/>
  <c r="C541" i="1"/>
  <c r="A542" i="1"/>
  <c r="B542" i="1"/>
  <c r="C542" i="1"/>
  <c r="A543" i="1"/>
  <c r="B543" i="1"/>
  <c r="C543" i="1"/>
  <c r="A544" i="1"/>
  <c r="B544" i="1"/>
  <c r="C544" i="1"/>
  <c r="A545" i="1"/>
  <c r="B545" i="1"/>
  <c r="C545" i="1"/>
  <c r="A546" i="1"/>
  <c r="B546" i="1"/>
  <c r="C546" i="1"/>
  <c r="A547" i="1"/>
  <c r="B547" i="1"/>
  <c r="C547" i="1"/>
  <c r="A548" i="1"/>
  <c r="B548" i="1"/>
  <c r="C548" i="1"/>
  <c r="A549" i="1"/>
  <c r="B549" i="1"/>
  <c r="C549" i="1"/>
  <c r="A550" i="1"/>
  <c r="B550" i="1"/>
  <c r="C550" i="1"/>
  <c r="A551" i="1"/>
  <c r="B551" i="1"/>
  <c r="C551" i="1"/>
  <c r="A552" i="1"/>
  <c r="B552" i="1"/>
  <c r="C552" i="1"/>
  <c r="A553" i="1"/>
  <c r="B553" i="1"/>
  <c r="C553" i="1"/>
  <c r="A554" i="1"/>
  <c r="B554" i="1"/>
  <c r="C554" i="1"/>
  <c r="A555" i="1"/>
  <c r="B555" i="1"/>
  <c r="C555" i="1"/>
  <c r="A556" i="1"/>
  <c r="B556" i="1"/>
  <c r="C556" i="1"/>
  <c r="A557" i="1"/>
  <c r="B557" i="1"/>
  <c r="C557" i="1"/>
  <c r="A558" i="1"/>
  <c r="B558" i="1"/>
  <c r="C558" i="1"/>
  <c r="A559" i="1"/>
  <c r="B559" i="1"/>
  <c r="C559" i="1"/>
  <c r="A560" i="1"/>
  <c r="B560" i="1"/>
  <c r="C560" i="1"/>
  <c r="A561" i="1"/>
  <c r="B561" i="1"/>
  <c r="C561" i="1"/>
  <c r="A562" i="1"/>
  <c r="B562" i="1"/>
  <c r="C562" i="1"/>
  <c r="A563" i="1"/>
  <c r="B563" i="1"/>
  <c r="C563" i="1"/>
  <c r="A564" i="1"/>
  <c r="B564" i="1"/>
  <c r="C564" i="1"/>
  <c r="A565" i="1"/>
  <c r="B565" i="1"/>
  <c r="C565" i="1"/>
  <c r="A566" i="1"/>
  <c r="B566" i="1"/>
  <c r="C566" i="1"/>
  <c r="A567" i="1"/>
  <c r="B567" i="1"/>
  <c r="C567" i="1"/>
  <c r="A568" i="1"/>
  <c r="B568" i="1"/>
  <c r="C568" i="1"/>
  <c r="A569" i="1"/>
  <c r="B569" i="1"/>
  <c r="C569" i="1"/>
  <c r="A570" i="1"/>
  <c r="B570" i="1"/>
  <c r="C570" i="1"/>
  <c r="A571" i="1"/>
  <c r="B571" i="1"/>
  <c r="C571" i="1"/>
  <c r="A572" i="1"/>
  <c r="B572" i="1"/>
  <c r="C572" i="1"/>
  <c r="A573" i="1"/>
  <c r="B573" i="1"/>
  <c r="C573" i="1"/>
  <c r="A574" i="1"/>
  <c r="B574" i="1"/>
  <c r="C574" i="1"/>
  <c r="A575" i="1"/>
  <c r="B575" i="1"/>
  <c r="C575" i="1"/>
  <c r="A576" i="1"/>
  <c r="B576" i="1"/>
  <c r="C576" i="1"/>
  <c r="A577" i="1"/>
  <c r="B577" i="1"/>
  <c r="C577" i="1"/>
  <c r="A578" i="1"/>
  <c r="B578" i="1"/>
  <c r="C578" i="1"/>
  <c r="A579" i="1"/>
  <c r="B579" i="1"/>
  <c r="C579" i="1"/>
  <c r="A580" i="1"/>
  <c r="B580" i="1"/>
  <c r="C580" i="1"/>
  <c r="A581" i="1"/>
  <c r="B581" i="1"/>
  <c r="C581" i="1"/>
  <c r="A582" i="1"/>
  <c r="B582" i="1"/>
  <c r="C582" i="1"/>
  <c r="A583" i="1"/>
  <c r="B583" i="1"/>
  <c r="C583" i="1"/>
  <c r="A584" i="1"/>
  <c r="B584" i="1"/>
  <c r="C584" i="1"/>
  <c r="A585" i="1"/>
  <c r="B585" i="1"/>
  <c r="C585" i="1"/>
  <c r="A586" i="1"/>
  <c r="B586" i="1"/>
  <c r="C586" i="1"/>
  <c r="A587" i="1"/>
  <c r="B587" i="1"/>
  <c r="C587" i="1"/>
  <c r="A588" i="1"/>
  <c r="B588" i="1"/>
  <c r="C588" i="1"/>
  <c r="A589" i="1"/>
  <c r="B589" i="1"/>
  <c r="C589" i="1"/>
  <c r="A590" i="1"/>
  <c r="B590" i="1"/>
  <c r="C590" i="1"/>
  <c r="A591" i="1"/>
  <c r="B591" i="1"/>
  <c r="C591" i="1"/>
  <c r="A592" i="1"/>
  <c r="B592" i="1"/>
  <c r="C592" i="1"/>
  <c r="A593" i="1"/>
  <c r="B593" i="1"/>
  <c r="C593" i="1"/>
  <c r="A208" i="1"/>
  <c r="B208" i="1"/>
  <c r="C208" i="1"/>
  <c r="A209" i="1"/>
  <c r="B209" i="1"/>
  <c r="C209" i="1"/>
  <c r="A210" i="1"/>
  <c r="B210" i="1"/>
  <c r="C210" i="1"/>
  <c r="A211" i="1"/>
  <c r="B211" i="1"/>
  <c r="C211" i="1"/>
  <c r="A212" i="1"/>
  <c r="B212" i="1"/>
  <c r="C212" i="1"/>
  <c r="A213" i="1"/>
  <c r="B213" i="1"/>
  <c r="C213" i="1"/>
  <c r="A214" i="1"/>
  <c r="B214" i="1"/>
  <c r="C214" i="1"/>
  <c r="A215" i="1"/>
  <c r="B215" i="1"/>
  <c r="C215" i="1"/>
  <c r="A216" i="1"/>
  <c r="B216" i="1"/>
  <c r="C216" i="1"/>
  <c r="A217" i="1"/>
  <c r="B217" i="1"/>
  <c r="C217" i="1"/>
  <c r="A218" i="1"/>
  <c r="B218" i="1"/>
  <c r="C218" i="1"/>
  <c r="A219" i="1"/>
  <c r="B219" i="1"/>
  <c r="C219" i="1"/>
  <c r="A220" i="1"/>
  <c r="B220" i="1"/>
  <c r="C220" i="1"/>
  <c r="A221" i="1"/>
  <c r="B221" i="1"/>
  <c r="C221" i="1"/>
  <c r="A222" i="1"/>
  <c r="B222" i="1"/>
  <c r="C222" i="1"/>
  <c r="A223" i="1"/>
  <c r="B223" i="1"/>
  <c r="C223" i="1"/>
  <c r="A224" i="1"/>
  <c r="B224" i="1"/>
  <c r="C224" i="1"/>
  <c r="A225" i="1"/>
  <c r="B225" i="1"/>
  <c r="C225" i="1"/>
  <c r="A226" i="1"/>
  <c r="B226" i="1"/>
  <c r="C226" i="1"/>
  <c r="A227" i="1"/>
  <c r="B227" i="1"/>
  <c r="C227" i="1"/>
  <c r="A228" i="1"/>
  <c r="B228" i="1"/>
  <c r="C228" i="1"/>
  <c r="A229" i="1"/>
  <c r="B229" i="1"/>
  <c r="C229" i="1"/>
  <c r="A230" i="1"/>
  <c r="B230" i="1"/>
  <c r="C230" i="1"/>
  <c r="A231" i="1"/>
  <c r="B231" i="1"/>
  <c r="C231" i="1"/>
  <c r="A232" i="1"/>
  <c r="B232" i="1"/>
  <c r="C232" i="1"/>
  <c r="A233" i="1"/>
  <c r="B233" i="1"/>
  <c r="C233" i="1"/>
  <c r="A234" i="1"/>
  <c r="B234" i="1"/>
  <c r="C234" i="1"/>
  <c r="A235" i="1"/>
  <c r="B235" i="1"/>
  <c r="C235" i="1"/>
  <c r="A236" i="1"/>
  <c r="B236" i="1"/>
  <c r="C236" i="1"/>
  <c r="A237" i="1"/>
  <c r="B237" i="1"/>
  <c r="C237" i="1"/>
  <c r="A238" i="1"/>
  <c r="B238" i="1"/>
  <c r="C238" i="1"/>
  <c r="A239" i="1"/>
  <c r="B239" i="1"/>
  <c r="C239" i="1"/>
  <c r="A240" i="1"/>
  <c r="B240" i="1"/>
  <c r="C240" i="1"/>
  <c r="A241" i="1"/>
  <c r="B241" i="1"/>
  <c r="C241" i="1"/>
  <c r="A242" i="1"/>
  <c r="B242" i="1"/>
  <c r="C242" i="1"/>
  <c r="A243" i="1"/>
  <c r="B243" i="1"/>
  <c r="C243" i="1"/>
  <c r="A244" i="1"/>
  <c r="B244" i="1"/>
  <c r="C244" i="1"/>
  <c r="A245" i="1"/>
  <c r="B245" i="1"/>
  <c r="C245" i="1"/>
  <c r="A246" i="1"/>
  <c r="B246" i="1"/>
  <c r="C246" i="1"/>
  <c r="A247" i="1"/>
  <c r="B247" i="1"/>
  <c r="C247" i="1"/>
  <c r="A248" i="1"/>
  <c r="B248" i="1"/>
  <c r="C248" i="1"/>
  <c r="A249" i="1"/>
  <c r="B249" i="1"/>
  <c r="C249" i="1"/>
  <c r="A250" i="1"/>
  <c r="B250" i="1"/>
  <c r="C250" i="1"/>
  <c r="A251" i="1"/>
  <c r="B251" i="1"/>
  <c r="C251" i="1"/>
  <c r="A252" i="1"/>
  <c r="B252" i="1"/>
  <c r="C252" i="1"/>
  <c r="A253" i="1"/>
  <c r="B253" i="1"/>
  <c r="C253" i="1"/>
  <c r="A254" i="1"/>
  <c r="B254" i="1"/>
  <c r="C254" i="1"/>
  <c r="A255" i="1"/>
  <c r="B255" i="1"/>
  <c r="C255" i="1"/>
  <c r="A256" i="1"/>
  <c r="B256" i="1"/>
  <c r="C256" i="1"/>
  <c r="A257" i="1"/>
  <c r="B257" i="1"/>
  <c r="C257" i="1"/>
  <c r="A258" i="1"/>
  <c r="B258" i="1"/>
  <c r="C258" i="1"/>
  <c r="A259" i="1"/>
  <c r="B259" i="1"/>
  <c r="C259" i="1"/>
  <c r="A260" i="1"/>
  <c r="B260" i="1"/>
  <c r="C260" i="1"/>
  <c r="A261" i="1"/>
  <c r="B261" i="1"/>
  <c r="C261" i="1"/>
  <c r="A262" i="1"/>
  <c r="B262" i="1"/>
  <c r="C262" i="1"/>
  <c r="A263" i="1"/>
  <c r="B263" i="1"/>
  <c r="C263" i="1"/>
  <c r="A264" i="1"/>
  <c r="B264" i="1"/>
  <c r="C264" i="1"/>
  <c r="A265" i="1"/>
  <c r="B265" i="1"/>
  <c r="C265" i="1"/>
  <c r="A266" i="1"/>
  <c r="B266" i="1"/>
  <c r="C266" i="1"/>
  <c r="A267" i="1"/>
  <c r="B267" i="1"/>
  <c r="C267" i="1"/>
  <c r="A268" i="1"/>
  <c r="B268" i="1"/>
  <c r="C268" i="1"/>
  <c r="A269" i="1"/>
  <c r="B269" i="1"/>
  <c r="C269" i="1"/>
  <c r="A270" i="1"/>
  <c r="B270" i="1"/>
  <c r="C270" i="1"/>
  <c r="A271" i="1"/>
  <c r="B271" i="1"/>
  <c r="C271" i="1"/>
  <c r="A272" i="1"/>
  <c r="B272" i="1"/>
  <c r="C272" i="1"/>
  <c r="A273" i="1"/>
  <c r="B273" i="1"/>
  <c r="C273" i="1"/>
  <c r="A274" i="1"/>
  <c r="B274" i="1"/>
  <c r="C274" i="1"/>
  <c r="A275" i="1"/>
  <c r="B275" i="1"/>
  <c r="C275" i="1"/>
  <c r="A276" i="1"/>
  <c r="B276" i="1"/>
  <c r="C276" i="1"/>
  <c r="A277" i="1"/>
  <c r="B277" i="1"/>
  <c r="C277" i="1"/>
  <c r="A278" i="1"/>
  <c r="B278" i="1"/>
  <c r="C278" i="1"/>
  <c r="A279" i="1"/>
  <c r="B279" i="1"/>
  <c r="C279" i="1"/>
  <c r="A280" i="1"/>
  <c r="B280" i="1"/>
  <c r="C280" i="1"/>
  <c r="A281" i="1"/>
  <c r="B281" i="1"/>
  <c r="C281" i="1"/>
  <c r="A282" i="1"/>
  <c r="B282" i="1"/>
  <c r="C282" i="1"/>
  <c r="A283" i="1"/>
  <c r="B283" i="1"/>
  <c r="C283" i="1"/>
  <c r="A284" i="1"/>
  <c r="B284" i="1"/>
  <c r="C284" i="1"/>
  <c r="A285" i="1"/>
  <c r="B285" i="1"/>
  <c r="C285" i="1"/>
  <c r="A286" i="1"/>
  <c r="B286" i="1"/>
  <c r="C286" i="1"/>
  <c r="A287" i="1"/>
  <c r="B287" i="1"/>
  <c r="C287" i="1"/>
  <c r="A288" i="1"/>
  <c r="B288" i="1"/>
  <c r="C288" i="1"/>
  <c r="A289" i="1"/>
  <c r="B289" i="1"/>
  <c r="C289" i="1"/>
  <c r="A290" i="1"/>
  <c r="B290" i="1"/>
  <c r="C290" i="1"/>
  <c r="A291" i="1"/>
  <c r="B291" i="1"/>
  <c r="C291" i="1"/>
  <c r="A292" i="1"/>
  <c r="B292" i="1"/>
  <c r="C292" i="1"/>
  <c r="A293" i="1"/>
  <c r="B293" i="1"/>
  <c r="C293" i="1"/>
  <c r="A294" i="1"/>
  <c r="B294" i="1"/>
  <c r="C294" i="1"/>
  <c r="A295" i="1"/>
  <c r="B295" i="1"/>
  <c r="C295" i="1"/>
  <c r="A296" i="1"/>
  <c r="B296" i="1"/>
  <c r="C296" i="1"/>
  <c r="A297" i="1"/>
  <c r="B297" i="1"/>
  <c r="C297" i="1"/>
  <c r="A298" i="1"/>
  <c r="B298" i="1"/>
  <c r="C298" i="1"/>
  <c r="A176" i="1"/>
  <c r="B176" i="1"/>
  <c r="C176" i="1"/>
  <c r="A177" i="1"/>
  <c r="B177" i="1"/>
  <c r="C177" i="1"/>
  <c r="A178" i="1"/>
  <c r="B178" i="1"/>
  <c r="C178" i="1"/>
  <c r="A179" i="1"/>
  <c r="B179" i="1"/>
  <c r="C179" i="1"/>
  <c r="A180" i="1"/>
  <c r="B180" i="1"/>
  <c r="C180" i="1"/>
  <c r="A181" i="1"/>
  <c r="B181" i="1"/>
  <c r="C181" i="1"/>
  <c r="A182" i="1"/>
  <c r="B182" i="1"/>
  <c r="C182" i="1"/>
  <c r="A183" i="1"/>
  <c r="B183" i="1"/>
  <c r="C183" i="1"/>
  <c r="A184" i="1"/>
  <c r="B184" i="1"/>
  <c r="C184" i="1"/>
  <c r="A185" i="1"/>
  <c r="B185" i="1"/>
  <c r="C185" i="1"/>
  <c r="A186" i="1"/>
  <c r="B186" i="1"/>
  <c r="C186" i="1"/>
  <c r="A187" i="1"/>
  <c r="B187" i="1"/>
  <c r="C187" i="1"/>
  <c r="A188" i="1"/>
  <c r="B188" i="1"/>
  <c r="C188" i="1"/>
  <c r="A189" i="1"/>
  <c r="B189" i="1"/>
  <c r="C189" i="1"/>
  <c r="A190" i="1"/>
  <c r="B190" i="1"/>
  <c r="C190" i="1"/>
  <c r="A191" i="1"/>
  <c r="B191" i="1"/>
  <c r="C191" i="1"/>
  <c r="A192" i="1"/>
  <c r="B192" i="1"/>
  <c r="C192" i="1"/>
  <c r="A193" i="1"/>
  <c r="B193" i="1"/>
  <c r="C193" i="1"/>
  <c r="A194" i="1"/>
  <c r="B194" i="1"/>
  <c r="C194" i="1"/>
  <c r="A195" i="1"/>
  <c r="B195" i="1"/>
  <c r="C195" i="1"/>
  <c r="A196" i="1"/>
  <c r="B196" i="1"/>
  <c r="C196" i="1"/>
  <c r="A197" i="1"/>
  <c r="B197" i="1"/>
  <c r="C197" i="1"/>
  <c r="A198" i="1"/>
  <c r="B198" i="1"/>
  <c r="C198" i="1"/>
  <c r="A199" i="1"/>
  <c r="B199" i="1"/>
  <c r="C199" i="1"/>
  <c r="A200" i="1"/>
  <c r="B200" i="1"/>
  <c r="C200" i="1"/>
  <c r="A201" i="1"/>
  <c r="B201" i="1"/>
  <c r="C201" i="1"/>
  <c r="A202" i="1"/>
  <c r="B202" i="1"/>
  <c r="C202" i="1"/>
  <c r="A203" i="1"/>
  <c r="B203" i="1"/>
  <c r="C203" i="1"/>
  <c r="A204" i="1"/>
  <c r="B204" i="1"/>
  <c r="C204" i="1"/>
  <c r="A205" i="1"/>
  <c r="B205" i="1"/>
  <c r="C205" i="1"/>
  <c r="A206" i="1"/>
  <c r="B206" i="1"/>
  <c r="C206" i="1"/>
  <c r="A207" i="1"/>
  <c r="B207" i="1"/>
  <c r="C207" i="1"/>
  <c r="A161" i="1"/>
  <c r="B161" i="1"/>
  <c r="C161" i="1"/>
  <c r="A162" i="1"/>
  <c r="B162" i="1"/>
  <c r="C162" i="1"/>
  <c r="A163" i="1"/>
  <c r="B163" i="1"/>
  <c r="C163" i="1"/>
  <c r="A164" i="1"/>
  <c r="B164" i="1"/>
  <c r="C164" i="1"/>
  <c r="A165" i="1"/>
  <c r="B165" i="1"/>
  <c r="C165" i="1"/>
  <c r="A166" i="1"/>
  <c r="B166" i="1"/>
  <c r="C166" i="1"/>
  <c r="A167" i="1"/>
  <c r="B167" i="1"/>
  <c r="C167" i="1"/>
  <c r="A168" i="1"/>
  <c r="B168" i="1"/>
  <c r="C168" i="1"/>
  <c r="A169" i="1"/>
  <c r="B169" i="1"/>
  <c r="C169" i="1"/>
  <c r="A170" i="1"/>
  <c r="B170" i="1"/>
  <c r="C170" i="1"/>
  <c r="A171" i="1"/>
  <c r="B171" i="1"/>
  <c r="C171" i="1"/>
  <c r="A172" i="1"/>
  <c r="B172" i="1"/>
  <c r="C172" i="1"/>
  <c r="A173" i="1"/>
  <c r="B173" i="1"/>
  <c r="C173" i="1"/>
  <c r="A174" i="1"/>
  <c r="B174" i="1"/>
  <c r="C174" i="1"/>
  <c r="A175" i="1"/>
  <c r="B175" i="1"/>
  <c r="C175" i="1"/>
  <c r="A147" i="1"/>
  <c r="B147" i="1"/>
  <c r="C147" i="1"/>
  <c r="A148" i="1"/>
  <c r="B148" i="1"/>
  <c r="C148" i="1"/>
  <c r="A149" i="1"/>
  <c r="B149" i="1"/>
  <c r="C149" i="1"/>
  <c r="A150" i="1"/>
  <c r="B150" i="1"/>
  <c r="C150" i="1"/>
  <c r="A151" i="1"/>
  <c r="B151" i="1"/>
  <c r="C151" i="1"/>
  <c r="A152" i="1"/>
  <c r="B152" i="1"/>
  <c r="C152" i="1"/>
  <c r="A153" i="1"/>
  <c r="B153" i="1"/>
  <c r="C153" i="1"/>
  <c r="A154" i="1"/>
  <c r="B154" i="1"/>
  <c r="C154" i="1"/>
  <c r="A155" i="1"/>
  <c r="B155" i="1"/>
  <c r="C155" i="1"/>
  <c r="A156" i="1"/>
  <c r="B156" i="1"/>
  <c r="C156" i="1"/>
  <c r="A157" i="1"/>
  <c r="B157" i="1"/>
  <c r="C157" i="1"/>
  <c r="A158" i="1"/>
  <c r="B158" i="1"/>
  <c r="C158" i="1"/>
  <c r="A159" i="1"/>
  <c r="B159" i="1"/>
  <c r="C159" i="1"/>
  <c r="A160" i="1"/>
  <c r="B160" i="1"/>
  <c r="C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D147" i="1"/>
  <c r="E147" i="1"/>
  <c r="F147" i="1"/>
  <c r="D148" i="1"/>
  <c r="E148" i="1"/>
  <c r="F148" i="1"/>
  <c r="D149" i="1"/>
  <c r="E149" i="1"/>
  <c r="F149" i="1"/>
  <c r="D150" i="1"/>
  <c r="E150" i="1"/>
  <c r="F150" i="1"/>
  <c r="D151" i="1"/>
  <c r="E151" i="1"/>
  <c r="F151" i="1"/>
  <c r="D152" i="1"/>
  <c r="E152" i="1"/>
  <c r="F152" i="1"/>
  <c r="D153" i="1"/>
  <c r="E153" i="1"/>
  <c r="F153" i="1"/>
  <c r="D154" i="1"/>
  <c r="E154" i="1"/>
  <c r="F154" i="1"/>
  <c r="D155" i="1"/>
  <c r="E155" i="1"/>
  <c r="F155" i="1"/>
  <c r="D156" i="1"/>
  <c r="E156" i="1"/>
  <c r="F156" i="1"/>
  <c r="D157" i="1"/>
  <c r="E157" i="1"/>
  <c r="F157" i="1"/>
  <c r="D158" i="1"/>
  <c r="E158" i="1"/>
  <c r="F158" i="1"/>
  <c r="D159" i="1"/>
  <c r="E159" i="1"/>
  <c r="F159" i="1"/>
  <c r="D160" i="1"/>
  <c r="E160" i="1"/>
  <c r="F160" i="1"/>
  <c r="F161" i="1"/>
  <c r="E161" i="1"/>
  <c r="D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G229" i="1"/>
  <c r="E229" i="1"/>
  <c r="E230" i="1"/>
  <c r="G230" i="1"/>
  <c r="E231" i="1"/>
  <c r="G231" i="1"/>
  <c r="E232" i="1"/>
  <c r="G232" i="1"/>
  <c r="D233" i="1"/>
  <c r="E233" i="1"/>
  <c r="G233" i="1"/>
  <c r="D234" i="1"/>
  <c r="E234" i="1"/>
  <c r="G234" i="1"/>
  <c r="D235" i="1"/>
  <c r="E235" i="1"/>
  <c r="G235" i="1"/>
  <c r="D236" i="1"/>
  <c r="E236" i="1"/>
  <c r="G236" i="1"/>
  <c r="D237" i="1"/>
  <c r="E237" i="1"/>
  <c r="G237" i="1"/>
  <c r="D238" i="1"/>
  <c r="E238" i="1"/>
  <c r="G238" i="1"/>
  <c r="D239" i="1"/>
  <c r="E239" i="1"/>
  <c r="G239" i="1"/>
  <c r="D240" i="1"/>
  <c r="E240" i="1"/>
  <c r="G240" i="1"/>
  <c r="D241" i="1"/>
  <c r="E241" i="1"/>
  <c r="G241" i="1"/>
  <c r="D242" i="1"/>
  <c r="E242" i="1"/>
  <c r="G242" i="1"/>
  <c r="D243" i="1"/>
  <c r="E243" i="1"/>
  <c r="G243" i="1"/>
  <c r="D244" i="1"/>
  <c r="E244" i="1"/>
  <c r="G244" i="1"/>
  <c r="D245" i="1"/>
  <c r="E245" i="1"/>
  <c r="G245" i="1"/>
  <c r="D246" i="1"/>
  <c r="E246" i="1"/>
  <c r="G246" i="1"/>
  <c r="D247" i="1"/>
  <c r="E247" i="1"/>
  <c r="G247" i="1"/>
  <c r="D248" i="1"/>
  <c r="E248" i="1"/>
  <c r="G248" i="1"/>
  <c r="D249" i="1"/>
  <c r="E249" i="1"/>
  <c r="G249" i="1"/>
  <c r="D250" i="1"/>
  <c r="E250" i="1"/>
  <c r="G250" i="1"/>
  <c r="D251" i="1"/>
  <c r="E251" i="1"/>
  <c r="G251" i="1"/>
  <c r="D252" i="1"/>
  <c r="E252" i="1"/>
  <c r="G252" i="1"/>
  <c r="D253" i="1"/>
  <c r="E253" i="1"/>
  <c r="G253" i="1"/>
  <c r="D254" i="1"/>
  <c r="E254" i="1"/>
  <c r="G254" i="1"/>
  <c r="D255" i="1"/>
  <c r="E255" i="1"/>
  <c r="G255" i="1"/>
  <c r="D256" i="1"/>
  <c r="E256" i="1"/>
  <c r="G256" i="1"/>
  <c r="D257" i="1"/>
  <c r="E257" i="1"/>
  <c r="G257" i="1"/>
  <c r="D258" i="1"/>
  <c r="E258" i="1"/>
  <c r="G258" i="1"/>
  <c r="D259" i="1"/>
  <c r="E259" i="1"/>
  <c r="G259" i="1"/>
  <c r="D260" i="1"/>
  <c r="E260" i="1"/>
  <c r="G260" i="1"/>
  <c r="D261" i="1"/>
  <c r="E261" i="1"/>
  <c r="G261" i="1"/>
  <c r="D262" i="1"/>
  <c r="E262" i="1"/>
  <c r="G262" i="1"/>
  <c r="D263" i="1"/>
  <c r="E263" i="1"/>
  <c r="G263" i="1"/>
  <c r="D264" i="1"/>
  <c r="E264" i="1"/>
  <c r="G264" i="1"/>
  <c r="D265" i="1"/>
  <c r="E265" i="1"/>
  <c r="G265" i="1"/>
  <c r="D266" i="1"/>
  <c r="E266" i="1"/>
  <c r="G266" i="1"/>
  <c r="D267" i="1"/>
  <c r="E267" i="1"/>
  <c r="G267" i="1"/>
  <c r="D268" i="1"/>
  <c r="E268" i="1"/>
  <c r="G268" i="1"/>
  <c r="D269" i="1"/>
  <c r="E269" i="1"/>
  <c r="G269" i="1"/>
  <c r="D270" i="1"/>
  <c r="E270" i="1"/>
  <c r="G270" i="1"/>
  <c r="D271" i="1"/>
  <c r="E271" i="1"/>
  <c r="G271" i="1"/>
  <c r="D272" i="1"/>
  <c r="E272" i="1"/>
  <c r="G272" i="1"/>
  <c r="D273" i="1"/>
  <c r="E273" i="1"/>
  <c r="G273" i="1"/>
  <c r="D274" i="1"/>
  <c r="E274" i="1"/>
  <c r="G274" i="1"/>
  <c r="D275" i="1"/>
  <c r="E275" i="1"/>
  <c r="G275" i="1"/>
  <c r="D276" i="1"/>
  <c r="E276" i="1"/>
  <c r="G276" i="1"/>
  <c r="D277" i="1"/>
  <c r="E277" i="1"/>
  <c r="G277" i="1"/>
  <c r="D278" i="1"/>
  <c r="E278" i="1"/>
  <c r="G278" i="1"/>
  <c r="D279" i="1"/>
  <c r="E279" i="1"/>
  <c r="G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E280" i="1" l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G375" i="1" l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374" i="1"/>
</calcChain>
</file>

<file path=xl/sharedStrings.xml><?xml version="1.0" encoding="utf-8"?>
<sst xmlns="http://schemas.openxmlformats.org/spreadsheetml/2006/main" count="4296" uniqueCount="843">
  <si>
    <t>Year</t>
  </si>
  <si>
    <t>Count of Exporter (English)</t>
  </si>
  <si>
    <t>Column Labels</t>
  </si>
  <si>
    <t>Row Labels</t>
  </si>
  <si>
    <t>New Zealand</t>
  </si>
  <si>
    <t>Russia</t>
  </si>
  <si>
    <t>Grand Total</t>
  </si>
  <si>
    <t>Deer velvet (dried)</t>
  </si>
  <si>
    <t>Geonhyang Pharm.</t>
  </si>
  <si>
    <t>KNC Deertrade</t>
  </si>
  <si>
    <t xml:space="preserve">WooSung (Mr Bang) </t>
  </si>
  <si>
    <t>Yujin Trade</t>
  </si>
  <si>
    <t>Deer velvet (frozen)</t>
  </si>
  <si>
    <t>Bio Dot (Han Dong Herb)</t>
  </si>
  <si>
    <t>Eryong Pharm.</t>
  </si>
  <si>
    <t>HwaYong Pharm.</t>
  </si>
  <si>
    <t>KGC</t>
  </si>
  <si>
    <t>OnBio</t>
  </si>
  <si>
    <t>YW International</t>
  </si>
  <si>
    <t>GaOn Pharm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</si>
  <si>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</si>
  <si>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</si>
  <si>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</si>
  <si>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</si>
  <si>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</si>
  <si>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</si>
  <si>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</si>
  <si>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</si>
  <si>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</si>
  <si>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</si>
  <si>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</si>
  <si>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</si>
  <si>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DALIAN HENGLU DEER INDUSTRY CO LTD</t>
  </si>
  <si>
    <t>XIFENG MINHE DEER PRODUCTS CO.,LTD</t>
  </si>
  <si>
    <t>DALIAN F.T.Z. JUNFENG INTERNATIONAL INDUSTRIAL &amp; TRADE CO.,LTD.</t>
  </si>
  <si>
    <t>C K IMPORT EXPORT CO (NZ) LTD</t>
  </si>
  <si>
    <t>CK IMPORT EXPORT CO.(NZ) LTD</t>
  </si>
  <si>
    <t>PAREX INTERNATIONAL LTD</t>
  </si>
  <si>
    <t>ROKLAND CORPORATION LIMITED</t>
  </si>
  <si>
    <t>YIK LUNG TONG(NZ) INTERNAIONAL LIMITED</t>
  </si>
  <si>
    <t>PROVELCO LTD</t>
  </si>
  <si>
    <t>CK IMPORT-EXPORT COMPANY NZ LIMITED</t>
  </si>
  <si>
    <t>IP SHPILEKOV ALEXEY MIKHAILOVICH</t>
  </si>
  <si>
    <t>Company list for velvet imported as a food</t>
  </si>
  <si>
    <t>홈 &gt; 안전정보 &gt; 제품 및 업체검색 &gt; 수입식품조회 (mfds.go.kr)</t>
  </si>
  <si>
    <t>https://impfood.mfds.go.kr/CFCCC01F01</t>
  </si>
  <si>
    <t>Month</t>
  </si>
  <si>
    <t>Day</t>
  </si>
  <si>
    <t>Importer</t>
    <phoneticPr fontId="1" type="noConversion"/>
  </si>
  <si>
    <t>Translation of type</t>
  </si>
  <si>
    <t>Country of origin</t>
  </si>
  <si>
    <t>Country of export</t>
  </si>
  <si>
    <t>Importer (Korean)</t>
    <phoneticPr fontId="1" type="noConversion"/>
  </si>
  <si>
    <t>Product name (Korean)</t>
    <phoneticPr fontId="1" type="noConversion"/>
  </si>
  <si>
    <t>Product name (English)</t>
    <phoneticPr fontId="1" type="noConversion"/>
  </si>
  <si>
    <t>Product type (Korean)</t>
  </si>
  <si>
    <t>Exporter (English)</t>
  </si>
  <si>
    <t>Date</t>
  </si>
  <si>
    <t>Expire date start from</t>
  </si>
  <si>
    <t>Country of origin (KR)</t>
  </si>
  <si>
    <t>Country of export (KR)</t>
  </si>
  <si>
    <t>(주)온누리바이오생약</t>
  </si>
  <si>
    <t>녹용</t>
  </si>
  <si>
    <t>DEER HORN</t>
  </si>
  <si>
    <t>녹용(건조)</t>
  </si>
  <si>
    <t>TIELING AOLU TRADE CO.,LTD</t>
  </si>
  <si>
    <t>-</t>
  </si>
  <si>
    <t>뉴질랜드</t>
  </si>
  <si>
    <t>중국</t>
  </si>
  <si>
    <t>(주)우성생약</t>
  </si>
  <si>
    <t>DRIED RED DEER VELVET ANTLER</t>
  </si>
  <si>
    <t>주식회사 가온제약</t>
  </si>
  <si>
    <t>냉동녹용</t>
  </si>
  <si>
    <t>FROZEN RED DEER VELVET ANTLER</t>
  </si>
  <si>
    <t>생녹용(냉동)</t>
  </si>
  <si>
    <t>(주)케이앤씨디어트레이드</t>
  </si>
  <si>
    <t>생녹용</t>
  </si>
  <si>
    <t>WHOLE FROZEN DEER VELVET</t>
  </si>
  <si>
    <t>2026-04-03</t>
  </si>
  <si>
    <t xml:space="preserve">2026-02-25 ~ </t>
  </si>
  <si>
    <t>화용제약</t>
  </si>
  <si>
    <t>FROZEN DEER HORN</t>
  </si>
  <si>
    <t>온바이오</t>
  </si>
  <si>
    <t>FROZEN DEER VELVET</t>
  </si>
  <si>
    <t>2026-03-25</t>
  </si>
  <si>
    <t xml:space="preserve">2026-01-21 ~ </t>
  </si>
  <si>
    <t>(주)바이오닷</t>
  </si>
  <si>
    <t>2026-01-27 ~ 2029-01-27</t>
  </si>
  <si>
    <t>와이더블유 인터내셔날</t>
  </si>
  <si>
    <t>FROZEN WHOLE DEER VELVET ANTLER</t>
  </si>
  <si>
    <t>(주)한국인삼공사</t>
  </si>
  <si>
    <t>유진통상</t>
  </si>
  <si>
    <t>주식회사 이룡제약</t>
  </si>
  <si>
    <t>건향제약주식회사</t>
  </si>
  <si>
    <t>DEER HORNS VELVET ANTLER</t>
  </si>
  <si>
    <t>러시아</t>
  </si>
  <si>
    <t>2025-12-09 ~ 2028-12-09</t>
  </si>
  <si>
    <t>DALIAN SHENG EN DEER PRODUCTS CO LTD</t>
  </si>
  <si>
    <t>(주)용보제약</t>
  </si>
  <si>
    <t>조은생약</t>
  </si>
  <si>
    <t>UIMON CO.,LTD</t>
  </si>
  <si>
    <t>ORIENTAL DEER HOLDINGS LIMITED</t>
  </si>
  <si>
    <t>(주)대원알디티</t>
  </si>
  <si>
    <t>SPK ABAISKI</t>
  </si>
  <si>
    <t>흥수녹용</t>
  </si>
  <si>
    <t>MARAL DEER HORNS</t>
  </si>
  <si>
    <t>DALIAN CHANG LU DEER INDUSTRY CO., LTD</t>
  </si>
  <si>
    <t xml:space="preserve">2025-10-09 ~ </t>
  </si>
  <si>
    <t xml:space="preserve">2025-09-08 ~ </t>
  </si>
  <si>
    <t>2025-09-23</t>
  </si>
  <si>
    <t>2025-09-09</t>
  </si>
  <si>
    <t>향나바이오 주식회사</t>
  </si>
  <si>
    <t>2025-09-02</t>
  </si>
  <si>
    <t>2025-08-29</t>
  </si>
  <si>
    <t>시베리안앤틀러팜스 주식회사</t>
  </si>
  <si>
    <t>OOO "SEMINSKY"</t>
  </si>
  <si>
    <t>2025-08-27</t>
  </si>
  <si>
    <t>2025-07-01</t>
  </si>
  <si>
    <t>2025-06-26</t>
  </si>
  <si>
    <t>2025-06-04</t>
  </si>
  <si>
    <t>FROZEN RED DEER VELVET ANTLER(WHOLE)</t>
  </si>
  <si>
    <t>TASMAN VELVETPROCESSORS LTD</t>
  </si>
  <si>
    <t>TEN-EXPORT LTD,</t>
  </si>
  <si>
    <t>2025-05-27</t>
  </si>
  <si>
    <t>2025-05-22</t>
  </si>
  <si>
    <t>2025-05-01</t>
  </si>
  <si>
    <t>2025-04-25</t>
  </si>
  <si>
    <t xml:space="preserve">2025-02-20 ~ </t>
  </si>
  <si>
    <t>(주)천호엔케어</t>
  </si>
  <si>
    <t>STREAMLANDS EXPORTS NZ LTD</t>
  </si>
  <si>
    <t>2025-04-18</t>
  </si>
  <si>
    <t xml:space="preserve">2025-03-24 ~ </t>
  </si>
  <si>
    <t>2025-04-11</t>
  </si>
  <si>
    <t>2025-04-02</t>
  </si>
  <si>
    <t xml:space="preserve">2025-02-10 ~ </t>
  </si>
  <si>
    <t>주식회사 비봉허브</t>
  </si>
  <si>
    <t>2025-03-28</t>
  </si>
  <si>
    <t xml:space="preserve">2025-03-06 ~ </t>
  </si>
  <si>
    <t>2025-03-26</t>
  </si>
  <si>
    <t>2025-03-17</t>
  </si>
  <si>
    <t>2025-03-13</t>
  </si>
  <si>
    <t>2025-03-12</t>
  </si>
  <si>
    <t xml:space="preserve">2025-01-30 ~ </t>
  </si>
  <si>
    <t>대호제약주식회사</t>
  </si>
  <si>
    <t>TIELING HUANGJIA YIPIN FOODS CO LTD</t>
  </si>
  <si>
    <t>2025-03-10</t>
  </si>
  <si>
    <t>2025-03-07</t>
  </si>
  <si>
    <t>록원</t>
  </si>
  <si>
    <t>2025-03-05</t>
  </si>
  <si>
    <t>2025-03-04</t>
  </si>
  <si>
    <t>2025-02-28</t>
  </si>
  <si>
    <t>태안약업(주)</t>
  </si>
  <si>
    <t>DRIED RED DEER VELVET ANTLER(WHOLE)</t>
  </si>
  <si>
    <t>2025-02-26</t>
  </si>
  <si>
    <t>WONALTAY INTERNATIONAL</t>
  </si>
  <si>
    <t>2025-02-25</t>
  </si>
  <si>
    <t>2025-02-18</t>
  </si>
  <si>
    <t>2025-02-14</t>
  </si>
  <si>
    <t>주식회사 유한건강생활</t>
  </si>
  <si>
    <t>FROZEN WHOLE STICK VELVET</t>
  </si>
  <si>
    <t>ALPINE DEER NZLP</t>
  </si>
  <si>
    <t>2025-01-24</t>
  </si>
  <si>
    <t>2025-01-15</t>
  </si>
  <si>
    <t>(주)진수녹용</t>
  </si>
  <si>
    <t>2025-01-09</t>
  </si>
  <si>
    <t xml:space="preserve">2024-12-10 ~ </t>
  </si>
  <si>
    <t>2024-12-27</t>
  </si>
  <si>
    <t>2024-12-19</t>
  </si>
  <si>
    <t>2024-12-12</t>
  </si>
  <si>
    <t>2024-12-09</t>
  </si>
  <si>
    <t>한스약품주식회사</t>
  </si>
  <si>
    <t>건조녹용</t>
  </si>
  <si>
    <t>DRIED REDDEER VELVET ANTLER</t>
  </si>
  <si>
    <t>DALIAN ZHUOFENG DEER PRODUCTS CO.,LTD</t>
  </si>
  <si>
    <t>2024-12-04</t>
  </si>
  <si>
    <t>2024-11-21</t>
  </si>
  <si>
    <t xml:space="preserve">2024-05-15 ~ </t>
  </si>
  <si>
    <t>2024-11-20</t>
  </si>
  <si>
    <t>2024-11-04</t>
  </si>
  <si>
    <t>KARYAKINA A.F</t>
  </si>
  <si>
    <t>녹용분말</t>
  </si>
  <si>
    <t>DRIED DEER VELVET POWDER</t>
  </si>
  <si>
    <t>기타 동물성가공식품</t>
  </si>
  <si>
    <t>ALPINE DEER NZ LP</t>
  </si>
  <si>
    <t>2024-11-01</t>
  </si>
  <si>
    <t>2024-07-23 ~ 2029-07-23</t>
  </si>
  <si>
    <t>DRIED REDDEER VELVET ANTLER(WHOLE)</t>
  </si>
  <si>
    <t>DALIAN FTZ JINGHUI DEER PRODUCTS CO LTD</t>
  </si>
  <si>
    <t>2024-10-04</t>
  </si>
  <si>
    <t>2024-08-06</t>
  </si>
  <si>
    <t>DRIED RED DEER VELVET ANTLEK</t>
  </si>
  <si>
    <t>LIAONING WANLU PHARMACEUTICALCO LTD</t>
  </si>
  <si>
    <t>2024-07-26</t>
  </si>
  <si>
    <t xml:space="preserve">2024-07-09 ~ </t>
  </si>
  <si>
    <t>2024-07-17</t>
  </si>
  <si>
    <t>2023-08-04 ~ 2028-08-04</t>
  </si>
  <si>
    <t>(주)디에이치지글로벌</t>
  </si>
  <si>
    <t>AYULA CO.,LTD</t>
  </si>
  <si>
    <t>2024-07-08</t>
  </si>
  <si>
    <t xml:space="preserve">2024-05-29 ~ </t>
  </si>
  <si>
    <t>DEER HORNS</t>
  </si>
  <si>
    <t xml:space="preserve">2024-06-06 ~ </t>
  </si>
  <si>
    <t xml:space="preserve">2024-05-20 ~ </t>
  </si>
  <si>
    <t>UB BIO LIMITED</t>
  </si>
  <si>
    <t xml:space="preserve">2024-04-17 ~ </t>
  </si>
  <si>
    <t xml:space="preserve">2024-05-17 ~ </t>
  </si>
  <si>
    <t>(주)대덕제약</t>
  </si>
  <si>
    <t>DEER HORNS (CERVUS ELAPHUS SIBIRICUS)</t>
  </si>
  <si>
    <t>명가녹용 주식회사</t>
  </si>
  <si>
    <t xml:space="preserve">2024-04-18 ~ </t>
  </si>
  <si>
    <t xml:space="preserve">2024-04-03 ~ </t>
  </si>
  <si>
    <t xml:space="preserve">2024-04-11 ~ </t>
  </si>
  <si>
    <t>OOO MARAL-ASOHRA</t>
  </si>
  <si>
    <t xml:space="preserve">2024-03-28 ~ </t>
  </si>
  <si>
    <t>천지담은 바이오</t>
  </si>
  <si>
    <t xml:space="preserve">2024-04-01 ~ </t>
  </si>
  <si>
    <t xml:space="preserve">2024-02-28 ~ </t>
  </si>
  <si>
    <t>DRIED REDDEER VELVER ANTLER</t>
  </si>
  <si>
    <t>2024-03-26</t>
  </si>
  <si>
    <t>2024-03-12</t>
  </si>
  <si>
    <t>2024-02-27</t>
  </si>
  <si>
    <t xml:space="preserve">2024-02-05 ~ </t>
  </si>
  <si>
    <t>2024-02-22</t>
  </si>
  <si>
    <t>2024-02-21</t>
  </si>
  <si>
    <t>2024-02-15</t>
  </si>
  <si>
    <t xml:space="preserve">2024-01-25 ~ </t>
  </si>
  <si>
    <t>DALIAN F.T.Z. JUN FENG INTERNATIONAL  INDUSTRTAL TRADE CO LTD</t>
  </si>
  <si>
    <t xml:space="preserve">2024-01-22 ~ </t>
  </si>
  <si>
    <t>2024-02-14</t>
  </si>
  <si>
    <t xml:space="preserve">2024-01-31 ~ </t>
  </si>
  <si>
    <t>2024-02-07</t>
  </si>
  <si>
    <t>2024-01-31</t>
  </si>
  <si>
    <t>녹용(냉동)</t>
  </si>
  <si>
    <t xml:space="preserve">2024-01-15 ~ </t>
  </si>
  <si>
    <t>TSENGS ENTERPRISES (N.Z.) LIMITED</t>
  </si>
  <si>
    <t>2024-01-23</t>
  </si>
  <si>
    <t xml:space="preserve">2024-01-08 ~ </t>
  </si>
  <si>
    <t>SHUN SHING INTERNATIONAL DEVELOPMENT COMPANY</t>
  </si>
  <si>
    <t>2024-01-19</t>
  </si>
  <si>
    <t xml:space="preserve">2023-12-30 ~ </t>
  </si>
  <si>
    <t>홍콩</t>
  </si>
  <si>
    <t xml:space="preserve">2023-12-15 ~ </t>
  </si>
  <si>
    <t>ANZ FOOD TRADING CO</t>
  </si>
  <si>
    <t xml:space="preserve">2023-11-10 ~ </t>
  </si>
  <si>
    <t xml:space="preserve">2023-11-02 ~ </t>
  </si>
  <si>
    <t>DALIAN F.T.Z MINGWEI INDUTRY TRADE CO.,LTD</t>
  </si>
  <si>
    <t xml:space="preserve">2023-11-01 ~ </t>
  </si>
  <si>
    <t>TIELING JIDA DEER PRODUCTS PROCESSING CO., LTD.</t>
  </si>
  <si>
    <t xml:space="preserve">2023-10-24 ~ </t>
  </si>
  <si>
    <t xml:space="preserve">2023-10-16 ~ </t>
  </si>
  <si>
    <t>PGG WRIGHTSON LTD-VELVET</t>
  </si>
  <si>
    <t xml:space="preserve">2023-10-10 ~ </t>
  </si>
  <si>
    <t>밀리언 무역</t>
  </si>
  <si>
    <t xml:space="preserve">2023-09-11 ~ </t>
  </si>
  <si>
    <t>2023-10-05</t>
  </si>
  <si>
    <t xml:space="preserve">2023-08-28 ~ </t>
  </si>
  <si>
    <t xml:space="preserve">2023-08-23 ~ </t>
  </si>
  <si>
    <t>2023-09-05</t>
  </si>
  <si>
    <t xml:space="preserve">2023-08-09 ~ </t>
  </si>
  <si>
    <t>2023-08-29</t>
  </si>
  <si>
    <t>PROVELCO CO OPERATIVE LTD</t>
  </si>
  <si>
    <t>2023-08-14</t>
  </si>
  <si>
    <t xml:space="preserve">2023-07-28 ~ </t>
  </si>
  <si>
    <t xml:space="preserve">2023-07-21 ~ </t>
  </si>
  <si>
    <t xml:space="preserve">2023-07-13 ~ </t>
  </si>
  <si>
    <t>2023-08-02</t>
  </si>
  <si>
    <t xml:space="preserve">2023-07-10 ~ </t>
  </si>
  <si>
    <t>2023-07-25</t>
  </si>
  <si>
    <t xml:space="preserve">2023-07-04 ~ </t>
  </si>
  <si>
    <t xml:space="preserve">2023-07-03 ~ </t>
  </si>
  <si>
    <t xml:space="preserve">2023-06-28 ~ </t>
  </si>
  <si>
    <t xml:space="preserve">2023-06-09 ~ </t>
  </si>
  <si>
    <t>FROZEN RED DEER VELVET (WHOLE)</t>
  </si>
  <si>
    <t>2023-07-14</t>
  </si>
  <si>
    <t xml:space="preserve">2023-06-18 ~ </t>
  </si>
  <si>
    <t>2023-07-12</t>
  </si>
  <si>
    <t xml:space="preserve">2023-06-29 ~ </t>
  </si>
  <si>
    <t>2023-07-11</t>
  </si>
  <si>
    <t>2023-07-03</t>
  </si>
  <si>
    <t>ROKLAND CORPORATION LTD</t>
  </si>
  <si>
    <t>2023-06-28</t>
  </si>
  <si>
    <t>2023-06-07</t>
  </si>
  <si>
    <t xml:space="preserve">2023-05-12 ~ </t>
  </si>
  <si>
    <t>2023-06-02</t>
  </si>
  <si>
    <t xml:space="preserve">2023-05-17 ~ </t>
  </si>
  <si>
    <t>2023-05-23</t>
  </si>
  <si>
    <t xml:space="preserve">2023-05-10 ~ </t>
  </si>
  <si>
    <t>2023-05-08</t>
  </si>
  <si>
    <t xml:space="preserve">2023-03-04 ~ </t>
  </si>
  <si>
    <t>2023-04-25</t>
  </si>
  <si>
    <t xml:space="preserve">2023-03-29 ~ </t>
  </si>
  <si>
    <t xml:space="preserve">2023-04-09 ~ </t>
  </si>
  <si>
    <t>2023-04-11</t>
  </si>
  <si>
    <t xml:space="preserve">2023-03-28 ~ </t>
  </si>
  <si>
    <t>케이앤씨(K&amp;C)</t>
  </si>
  <si>
    <t xml:space="preserve">2023-03-26 ~ </t>
  </si>
  <si>
    <t xml:space="preserve">2023-02-16 ~ </t>
  </si>
  <si>
    <t>2023-04-04</t>
  </si>
  <si>
    <t xml:space="preserve">2023-03-09 ~ </t>
  </si>
  <si>
    <t xml:space="preserve">2023-03-21 ~ </t>
  </si>
  <si>
    <t>2023-03-30</t>
  </si>
  <si>
    <t>2023-03-28</t>
  </si>
  <si>
    <t xml:space="preserve">2023-03-06 ~ </t>
  </si>
  <si>
    <t>(주)시원생약</t>
  </si>
  <si>
    <t>2023-03-24</t>
  </si>
  <si>
    <t>2023-03-21</t>
  </si>
  <si>
    <t>LTD TEN-EXPORT</t>
  </si>
  <si>
    <t>2023-03-13</t>
  </si>
  <si>
    <t xml:space="preserve">2023-02-15 ~ </t>
  </si>
  <si>
    <t>2023-03-07</t>
  </si>
  <si>
    <t>2023-02-28</t>
  </si>
  <si>
    <t xml:space="preserve">2023-02-07 ~ </t>
  </si>
  <si>
    <t xml:space="preserve">2023-02-13 ~ </t>
  </si>
  <si>
    <t>2023-02-17</t>
  </si>
  <si>
    <t>2023-02-08</t>
  </si>
  <si>
    <t>2023-02-03</t>
  </si>
  <si>
    <t xml:space="preserve">2023-01-11 ~ </t>
  </si>
  <si>
    <t>2023-01-31</t>
  </si>
  <si>
    <t xml:space="preserve">2022-12-22 ~ </t>
  </si>
  <si>
    <t>2023-01-25</t>
  </si>
  <si>
    <t>(주)이룸제약법인</t>
  </si>
  <si>
    <t xml:space="preserve">2023-01-04 ~ </t>
  </si>
  <si>
    <t>2023-01-17</t>
  </si>
  <si>
    <t>2023-01-10</t>
  </si>
  <si>
    <t>2023-01-03</t>
  </si>
  <si>
    <t xml:space="preserve">2022-12-16 ~ </t>
  </si>
  <si>
    <t>OOOEXPO PANT</t>
  </si>
  <si>
    <t>2022-12-21</t>
  </si>
  <si>
    <t xml:space="preserve">2022-11-30 ~ </t>
  </si>
  <si>
    <t xml:space="preserve">2022-12-05 ~ </t>
  </si>
  <si>
    <t>2022-12-15</t>
  </si>
  <si>
    <t xml:space="preserve">2022-12-08 ~ </t>
  </si>
  <si>
    <t>2022-12-13</t>
  </si>
  <si>
    <t xml:space="preserve">2022-12-07 ~ </t>
  </si>
  <si>
    <t xml:space="preserve">2022-12-01 ~ </t>
  </si>
  <si>
    <t>일성식품</t>
  </si>
  <si>
    <t>DALIAN F.T.Z MINGWEI INDUSTRY TRADE CO.,LTD</t>
  </si>
  <si>
    <t xml:space="preserve">2022-11-16 ~ </t>
  </si>
  <si>
    <t>2022-12-07</t>
  </si>
  <si>
    <t xml:space="preserve">2022-10-24 ~ </t>
  </si>
  <si>
    <t>2022-11-21</t>
  </si>
  <si>
    <t xml:space="preserve">2022-10-18 ~ </t>
  </si>
  <si>
    <t xml:space="preserve">2022-11-02 ~ </t>
  </si>
  <si>
    <t>2022-11-03</t>
  </si>
  <si>
    <t>삼보제약</t>
  </si>
  <si>
    <t>DRIED RED DEER VELVET ANTLER (WHOLE)</t>
  </si>
  <si>
    <t xml:space="preserve">2022-10-14 ~ </t>
  </si>
  <si>
    <t>XIFENG COUNTRY TIANYU LOCAL PRODUCT OF PANAX AND PILOSE PROCESSING CO., LTD</t>
  </si>
  <si>
    <t>2022-10-26</t>
  </si>
  <si>
    <t xml:space="preserve">2022-09-13 ~ </t>
  </si>
  <si>
    <t>2022-10-18</t>
  </si>
  <si>
    <t>2022-10-04</t>
  </si>
  <si>
    <t>2022-09-23</t>
  </si>
  <si>
    <t>FROZEN WHOLE RED DEER VELVET ANTLER</t>
  </si>
  <si>
    <t>2022-09-15</t>
  </si>
  <si>
    <t>2022-09-02</t>
  </si>
  <si>
    <t>2022-08-29</t>
  </si>
  <si>
    <t>2022-08-24</t>
  </si>
  <si>
    <t>2022-08-08</t>
  </si>
  <si>
    <t>2022-08-05</t>
  </si>
  <si>
    <t>2022-08-04</t>
  </si>
  <si>
    <t>2022-07-29</t>
  </si>
  <si>
    <t>2022-07-12</t>
  </si>
  <si>
    <t>2022-07-07</t>
  </si>
  <si>
    <t>2022-07-05</t>
  </si>
  <si>
    <t>주식회사 한방인 농업법인회사</t>
  </si>
  <si>
    <t>2022-06-30</t>
  </si>
  <si>
    <t>2022-06-22</t>
  </si>
  <si>
    <t>2022-06-15</t>
  </si>
  <si>
    <t>2022-06-07</t>
  </si>
  <si>
    <t>2022-05-19</t>
  </si>
  <si>
    <t>2022-05-11</t>
  </si>
  <si>
    <t>2022-05-09</t>
  </si>
  <si>
    <t>하랑무약</t>
  </si>
  <si>
    <t>한선트레이딩 주식회사</t>
  </si>
  <si>
    <t>2022-04-25</t>
  </si>
  <si>
    <t>2022-04-18</t>
  </si>
  <si>
    <t>2022-04-12</t>
  </si>
  <si>
    <t>2022-04-06</t>
  </si>
  <si>
    <t>2022-04-01</t>
  </si>
  <si>
    <t>2022-03-18</t>
  </si>
  <si>
    <t>2022-03-15</t>
  </si>
  <si>
    <t>2022-03-10</t>
  </si>
  <si>
    <t>2022-02-21</t>
  </si>
  <si>
    <t>비아텍주식회사</t>
  </si>
  <si>
    <t>DRIED MARAL VELVET ANTLER</t>
  </si>
  <si>
    <t>LLC GEYA</t>
  </si>
  <si>
    <t>2022-02-16</t>
  </si>
  <si>
    <t>2022-02-15</t>
  </si>
  <si>
    <t>2022-02-10</t>
  </si>
  <si>
    <t>2022-02-03</t>
  </si>
  <si>
    <t>2022-01-27</t>
  </si>
  <si>
    <t>2022-01-26</t>
  </si>
  <si>
    <t>2022-01-25</t>
  </si>
  <si>
    <t>2022-01-24</t>
  </si>
  <si>
    <t>2022-01-20</t>
  </si>
  <si>
    <t>2022-01-17</t>
  </si>
  <si>
    <t>2022-01-11</t>
  </si>
  <si>
    <t>2021-12-28</t>
  </si>
  <si>
    <t>2021-12-24</t>
  </si>
  <si>
    <t>2021-11-24</t>
  </si>
  <si>
    <t>2021-11-22</t>
  </si>
  <si>
    <t>DRIED WHOLE DEER VELVET</t>
  </si>
  <si>
    <t>2021-11-15</t>
  </si>
  <si>
    <t>2021-11-09</t>
  </si>
  <si>
    <t>2021-11-05</t>
  </si>
  <si>
    <t>(주)대흥제약</t>
  </si>
  <si>
    <t>2021-11-02</t>
  </si>
  <si>
    <t>2021-10-25</t>
  </si>
  <si>
    <t>2021-10-19</t>
  </si>
  <si>
    <t>2021-10-01</t>
  </si>
  <si>
    <t>우성생약(주)</t>
  </si>
  <si>
    <t>2021-09-24</t>
  </si>
  <si>
    <t>2021-09-13</t>
  </si>
  <si>
    <t>2021-09-06</t>
  </si>
  <si>
    <t>2021-08-31</t>
  </si>
  <si>
    <t>2021-08-23</t>
  </si>
  <si>
    <t>PROVELCO CO-OPERATIVE LTD</t>
  </si>
  <si>
    <t>2021-08-18</t>
  </si>
  <si>
    <t>2021-08-09</t>
  </si>
  <si>
    <t>PGG WRIGHTSON</t>
  </si>
  <si>
    <t>2021-07-20</t>
  </si>
  <si>
    <t>APPLIED BIOTECHNOLOGY LTD</t>
  </si>
  <si>
    <t>TASMAN VELVET PROCESSORS LTD</t>
  </si>
  <si>
    <t>2021-07-14</t>
  </si>
  <si>
    <t>2021-07-12</t>
  </si>
  <si>
    <t>ALPINE DEER NZ LP - LUGGATE</t>
  </si>
  <si>
    <t>2021-06-30</t>
  </si>
  <si>
    <t>UBBIO LTD</t>
  </si>
  <si>
    <t>2021-06-28</t>
  </si>
  <si>
    <t>(주)대한녹용수출입법인</t>
  </si>
  <si>
    <t>XIFENG MINHE DEER PRODUCTS PROCESSING CO LTD</t>
  </si>
  <si>
    <t>2021-06-01</t>
  </si>
  <si>
    <t>XIFENG COUNTY JIYUAN DEER PRODUCTS PROCESSING CO.,LTD</t>
  </si>
  <si>
    <t>OOO&lt;&lt;EXPOPANT&gt;&gt;</t>
  </si>
  <si>
    <t>2021-05-31</t>
  </si>
  <si>
    <t>2021-05-26</t>
  </si>
  <si>
    <t>2021-05-18</t>
  </si>
  <si>
    <t>2021-05-14</t>
  </si>
  <si>
    <t>REVITAL LTD</t>
  </si>
  <si>
    <t>2021-04-29</t>
  </si>
  <si>
    <t>2021-04-09</t>
  </si>
  <si>
    <t>PROVELCO CO-OPERATIVE LIMITED</t>
  </si>
  <si>
    <t>2021-04-06</t>
  </si>
  <si>
    <t>2021-03-30</t>
  </si>
  <si>
    <t>DRIED MARAL VELVET ANTLER(WHOLE)</t>
  </si>
  <si>
    <t>2021-03-26</t>
  </si>
  <si>
    <t>2021-03-24</t>
  </si>
  <si>
    <t>2021-03-17</t>
  </si>
  <si>
    <t>2021-02-25</t>
  </si>
  <si>
    <t>한네이처(Hannature)</t>
  </si>
  <si>
    <t>LTD TEN EXPORT</t>
  </si>
  <si>
    <t>2021-02-24</t>
  </si>
  <si>
    <t>YIK LUNG TONG (NZ) INTERNATIONAL LIMITED</t>
  </si>
  <si>
    <t>2021-02-16</t>
  </si>
  <si>
    <t>(주)한동허브</t>
  </si>
  <si>
    <t>TSENGS ENTERPRISES (NZ) LIMITED</t>
  </si>
  <si>
    <t>2021-02-02</t>
  </si>
  <si>
    <t>2021-02-01</t>
  </si>
  <si>
    <t>2021-01-27</t>
  </si>
  <si>
    <t>2021-01-26</t>
  </si>
  <si>
    <t>2021-01-22</t>
  </si>
  <si>
    <t>APK &lt;&lt;ABAISKY&gt;&gt;</t>
  </si>
  <si>
    <t>2021-01-05</t>
  </si>
  <si>
    <t>2021-01-04</t>
  </si>
  <si>
    <t>2020-12-17</t>
  </si>
  <si>
    <t>진가식품</t>
  </si>
  <si>
    <t>2020-12-09</t>
  </si>
  <si>
    <t>원용본가</t>
  </si>
  <si>
    <t>건조녹용(전지)</t>
  </si>
  <si>
    <t>DRIED HORN VELVET ANTLER</t>
  </si>
  <si>
    <t>2020-11-27</t>
  </si>
  <si>
    <t>OOO SEMUNSKIY</t>
  </si>
  <si>
    <t>DRIED MAROK VELVET ANTLER</t>
  </si>
  <si>
    <t>DALIAN F T Z JUNFENG INTERNATIONAL INDUSTRIAL &amp; TRADE CO LTD</t>
  </si>
  <si>
    <t>2020-11-23</t>
  </si>
  <si>
    <t>2020-11-09</t>
  </si>
  <si>
    <t>2020-11-04</t>
  </si>
  <si>
    <t>2020-10-19</t>
  </si>
  <si>
    <t>2020-09-25</t>
  </si>
  <si>
    <t>주식회사 한국인삼공사</t>
  </si>
  <si>
    <t>PGGWRIGHTSON</t>
  </si>
  <si>
    <t>2020-09-04</t>
  </si>
  <si>
    <t>DRIED RED DEER VELVET</t>
  </si>
  <si>
    <t>2020-09-02</t>
  </si>
  <si>
    <t>2020-08-26</t>
  </si>
  <si>
    <t>2020-08-13</t>
  </si>
  <si>
    <t>2020-08-05</t>
  </si>
  <si>
    <t>2020-07-21</t>
  </si>
  <si>
    <t>2020-07-20</t>
  </si>
  <si>
    <t>2020-07-01</t>
  </si>
  <si>
    <t>2020-06-22</t>
  </si>
  <si>
    <t>2020-06-09</t>
  </si>
  <si>
    <t>HYUN DAE DEER PRODUCTS LTD</t>
  </si>
  <si>
    <t>2020-06-05</t>
  </si>
  <si>
    <t>2020-06-04</t>
  </si>
  <si>
    <t>2020-05-27</t>
  </si>
  <si>
    <t>2020-05-25</t>
  </si>
  <si>
    <t>DALIAN F.T.Z INDUSTRY TRADE CO.,LTD.</t>
  </si>
  <si>
    <t>2020-04-28</t>
  </si>
  <si>
    <t>2020-03-25</t>
  </si>
  <si>
    <t>2020-03-23</t>
  </si>
  <si>
    <t>2020-03-16</t>
  </si>
  <si>
    <t>2020-03-03</t>
  </si>
  <si>
    <t>2020-02-25</t>
  </si>
  <si>
    <t>2020-02-21</t>
  </si>
  <si>
    <t>2020-02-14</t>
  </si>
  <si>
    <t>(주)원경약업사</t>
  </si>
  <si>
    <t>2020-02-13</t>
  </si>
  <si>
    <t>2020-01-21</t>
  </si>
  <si>
    <t>2020-01-10</t>
  </si>
  <si>
    <t>2020-01-08</t>
  </si>
  <si>
    <t>건녹용</t>
  </si>
  <si>
    <t>2020-01-06</t>
  </si>
  <si>
    <t>SPK "TALITSA"</t>
  </si>
  <si>
    <t>2019-12-31</t>
  </si>
  <si>
    <t>2019-12-18</t>
  </si>
  <si>
    <t>2019-12-13</t>
  </si>
  <si>
    <t>2019-12-03</t>
  </si>
  <si>
    <t>2019-11-28</t>
  </si>
  <si>
    <t>2019-10-28</t>
  </si>
  <si>
    <t>2019-10-21</t>
  </si>
  <si>
    <t>OOO"MARAL-ASOHRA"</t>
  </si>
  <si>
    <t>2019-10-17</t>
  </si>
  <si>
    <t>OOO ALTAI-SAD</t>
  </si>
  <si>
    <t>2019-10-15</t>
  </si>
  <si>
    <t>한동허브</t>
  </si>
  <si>
    <t>2019-10-02</t>
  </si>
  <si>
    <t>2019-09-25</t>
  </si>
  <si>
    <t>2019-08-28</t>
  </si>
  <si>
    <t>2019-08-06</t>
  </si>
  <si>
    <t>TIELING GANGTONG DEER PRODUCTS PROCESSING CO.,LTD</t>
  </si>
  <si>
    <t>2019-07-29</t>
  </si>
  <si>
    <t>2019-07-25</t>
  </si>
  <si>
    <t>2019-07-12</t>
  </si>
  <si>
    <t>2019-07-02</t>
  </si>
  <si>
    <t>PAREX INTERNATIONAL LTD.</t>
  </si>
  <si>
    <t>ROZEN RED DEER VELVET ANTLER</t>
  </si>
  <si>
    <t>2019-06-28</t>
  </si>
  <si>
    <t>2019-06-25</t>
  </si>
  <si>
    <t>DEER VELVET</t>
  </si>
  <si>
    <t>DALIAN F.T.Z. BAOHUA INTERNATIONAL INDUSTRY TRADE CO., LTD.</t>
  </si>
  <si>
    <t>2019-06-04</t>
  </si>
  <si>
    <t>2019-05-21</t>
  </si>
  <si>
    <t>2019-05-09</t>
  </si>
  <si>
    <t>2019-05-01</t>
  </si>
  <si>
    <t>2019-04-23</t>
  </si>
  <si>
    <t>2019-04-22</t>
  </si>
  <si>
    <t>2019-04-17</t>
  </si>
  <si>
    <t>2019-04-16</t>
  </si>
  <si>
    <t>2019-04-04</t>
  </si>
  <si>
    <t>2019-03-28</t>
  </si>
  <si>
    <t>2019-03-27</t>
  </si>
  <si>
    <t>2019-03-15</t>
  </si>
  <si>
    <t>FROZEN RED DEER VELVET ANTLER(WHOLE)</t>
    <phoneticPr fontId="1" type="noConversion"/>
  </si>
  <si>
    <t>2019-02-27</t>
  </si>
  <si>
    <t>2019-02-15</t>
  </si>
  <si>
    <t>DEER HORN</t>
    <phoneticPr fontId="1" type="noConversion"/>
  </si>
  <si>
    <t>FORTUNE METROPOLIS INVESTMENT COMPANY</t>
  </si>
  <si>
    <t>2019-02-12</t>
  </si>
  <si>
    <t>FROZEN RED DEER VELVET</t>
  </si>
  <si>
    <t>2019-02-08</t>
  </si>
  <si>
    <t>냉동녹용</t>
    <phoneticPr fontId="1" type="noConversion"/>
  </si>
  <si>
    <t>2019-01-31</t>
  </si>
  <si>
    <t>녹용</t>
    <phoneticPr fontId="1" type="noConversion"/>
  </si>
  <si>
    <t>2019-01-28</t>
  </si>
  <si>
    <t>건조녹용</t>
    <phoneticPr fontId="1" type="noConversion"/>
  </si>
  <si>
    <t>2019-01-24</t>
  </si>
  <si>
    <t>일성식품</t>
    <phoneticPr fontId="1" type="noConversion"/>
  </si>
  <si>
    <t>2019-01-15</t>
  </si>
  <si>
    <t>신송강무역</t>
    <phoneticPr fontId="1" type="noConversion"/>
  </si>
  <si>
    <t>2018-12-26</t>
  </si>
  <si>
    <t>생녹용</t>
    <phoneticPr fontId="1" type="noConversion"/>
  </si>
  <si>
    <t>2018-12-21</t>
  </si>
  <si>
    <t>2018-12-18</t>
  </si>
  <si>
    <t>2018-12-14</t>
  </si>
  <si>
    <t>2018-12-13</t>
  </si>
  <si>
    <t>2018-12-06</t>
  </si>
  <si>
    <t>㈜대흥제약</t>
    <phoneticPr fontId="1" type="noConversion"/>
  </si>
  <si>
    <t>OOO "SEMINSKY"</t>
    <phoneticPr fontId="1" type="noConversion"/>
  </si>
  <si>
    <t>2018-12-05</t>
  </si>
  <si>
    <t>(주)한국온누리제약</t>
  </si>
  <si>
    <t>FROZEN RED DEER VELVET ANTLER</t>
    <phoneticPr fontId="1" type="noConversion"/>
  </si>
  <si>
    <t>TASMAN VELVET PROCESSORS LTD</t>
    <phoneticPr fontId="1" type="noConversion"/>
  </si>
  <si>
    <t>2018-11-23</t>
  </si>
  <si>
    <t>OOO MARAL-ASOHRA</t>
    <phoneticPr fontId="1" type="noConversion"/>
  </si>
  <si>
    <t>2018-11-09</t>
  </si>
  <si>
    <t>2018-10-17</t>
  </si>
  <si>
    <t>2018-10-16</t>
  </si>
  <si>
    <t>DRIED RED DEER VELVET ANTLER</t>
    <phoneticPr fontId="1" type="noConversion"/>
  </si>
  <si>
    <t>PGG WRIGHTSON LTD-VELVET</t>
    <phoneticPr fontId="1" type="noConversion"/>
  </si>
  <si>
    <t>2018-10-11</t>
  </si>
  <si>
    <t>FROZEN DEER HORN</t>
    <phoneticPr fontId="1" type="noConversion"/>
  </si>
  <si>
    <t>ALPINE DEER NZLP</t>
    <phoneticPr fontId="1" type="noConversion"/>
  </si>
  <si>
    <t>2018-10-10</t>
  </si>
  <si>
    <t>주식회사 한국인삼공사</t>
    <phoneticPr fontId="1" type="noConversion"/>
  </si>
  <si>
    <t>2018-09-13</t>
  </si>
  <si>
    <t>PROVELCO CO OPERATIVE LTD</t>
    <phoneticPr fontId="1" type="noConversion"/>
  </si>
  <si>
    <t>2018-08-30</t>
  </si>
  <si>
    <t>주식회사 비봉허브</t>
    <phoneticPr fontId="1" type="noConversion"/>
  </si>
  <si>
    <t>(주)유한양행</t>
  </si>
  <si>
    <t>FROZEN WHOLE STICK VELVET</t>
    <phoneticPr fontId="1" type="noConversion"/>
  </si>
  <si>
    <t>2018-08-21</t>
  </si>
  <si>
    <t>2018-08-14</t>
  </si>
  <si>
    <t>2018-07-31</t>
  </si>
  <si>
    <t>2018-07-24</t>
  </si>
  <si>
    <t>2018-07-18</t>
  </si>
  <si>
    <t>2018-07-16</t>
  </si>
  <si>
    <t>2018-07-10</t>
  </si>
  <si>
    <t>2018-06-29</t>
  </si>
  <si>
    <t>2018-06-21</t>
  </si>
  <si>
    <t>2018-06-05</t>
  </si>
  <si>
    <t>2018-05-29</t>
  </si>
  <si>
    <t>YIK LUNG TONG (H.K)</t>
  </si>
  <si>
    <t>2018-05-23</t>
  </si>
  <si>
    <t>2018-05-15</t>
  </si>
  <si>
    <t>2018-05-11</t>
  </si>
  <si>
    <t>ALIAN F.T.Z. JUN FENG INTERNATIONAL INDUSTRTAL TRADE CO LTD</t>
  </si>
  <si>
    <t>2018-05-08</t>
  </si>
  <si>
    <t>2018-05-01</t>
  </si>
  <si>
    <t>2018-04-20</t>
  </si>
  <si>
    <t>2018-04-16</t>
  </si>
  <si>
    <t>천호식품(주)양산공장</t>
  </si>
  <si>
    <t>2018-03-30</t>
  </si>
  <si>
    <t>2018-03-27</t>
  </si>
  <si>
    <t>2018-03-22</t>
  </si>
  <si>
    <t>2018-03-21</t>
  </si>
  <si>
    <t>2018-03-14</t>
  </si>
  <si>
    <t>2018-03-13</t>
  </si>
  <si>
    <t>2018-03-05</t>
  </si>
  <si>
    <t>2018-03-02</t>
  </si>
  <si>
    <t>2018-02-28</t>
  </si>
  <si>
    <t>2018-02-26</t>
  </si>
  <si>
    <t>2018-02-14</t>
  </si>
  <si>
    <t>주식회사 허브앤솔루션</t>
  </si>
  <si>
    <t>2018-02-09</t>
  </si>
  <si>
    <t>2018-02-06</t>
  </si>
  <si>
    <t>2018-01-25</t>
  </si>
  <si>
    <t>2018-01-17</t>
  </si>
  <si>
    <t>2018-01-10</t>
  </si>
  <si>
    <t>2018-01-05</t>
  </si>
  <si>
    <t>2018-01-02</t>
  </si>
  <si>
    <t>연구용 건조 녹용</t>
  </si>
  <si>
    <t>DRIED DEER VELVET</t>
  </si>
  <si>
    <t>2017-12-28</t>
  </si>
  <si>
    <t>2017-12-27</t>
  </si>
  <si>
    <t>DRIED MARAL VELVET ANTLER ( CERVUS ELAPHUS )</t>
  </si>
  <si>
    <t>2017-11-15</t>
  </si>
  <si>
    <t>2017-11-14</t>
  </si>
  <si>
    <t>APK ABAISKY</t>
  </si>
  <si>
    <t>2017-11-08</t>
  </si>
  <si>
    <t>2017-10-26</t>
  </si>
  <si>
    <t>2017-10-24</t>
  </si>
  <si>
    <t>100% SLICED DRIED DEER ANTLER VELVET</t>
  </si>
  <si>
    <t>CK IMPORT EXPORT CO.,LTD</t>
  </si>
  <si>
    <t>2017-10-19</t>
  </si>
  <si>
    <t>(주)서화제약</t>
  </si>
  <si>
    <t>녹각</t>
  </si>
  <si>
    <t>DEER HARD ANTLER(CERVUS ELAPHUS)</t>
  </si>
  <si>
    <t>EASTERNWARD TRADING CO.</t>
  </si>
  <si>
    <t>2017-09-18</t>
  </si>
  <si>
    <t>GOLDEN FIELD(FAR EAST)LTD</t>
  </si>
  <si>
    <t>2017-09-11</t>
  </si>
  <si>
    <t>MARAL HARD ANTLER ( CERVUS ELAPHUS )</t>
  </si>
  <si>
    <t>HAN GANG GROUP INT'L TRADE CO LIMITED</t>
  </si>
  <si>
    <t>2017-09-06</t>
  </si>
  <si>
    <t>2017-08-22</t>
  </si>
  <si>
    <t>주신제약(주)</t>
  </si>
  <si>
    <t>DEER HARD HORN (CERVUS ELAPHUS)</t>
  </si>
  <si>
    <t>2017-08-08</t>
  </si>
  <si>
    <t>2017-07-20</t>
  </si>
  <si>
    <t>2017-07-19</t>
  </si>
  <si>
    <t>2017-07-18</t>
  </si>
  <si>
    <t>2017-07-11</t>
  </si>
  <si>
    <t>2017-07-04</t>
  </si>
  <si>
    <t>2017-06-21</t>
  </si>
  <si>
    <t>2017-06-20</t>
  </si>
  <si>
    <t>2017-06-19</t>
  </si>
  <si>
    <t>2017-06-14</t>
  </si>
  <si>
    <t>2017-06-05</t>
  </si>
  <si>
    <t>동화무약</t>
  </si>
  <si>
    <t>2017-06-01</t>
  </si>
  <si>
    <t>2017-05-24</t>
  </si>
  <si>
    <t>2017-05-12</t>
  </si>
  <si>
    <t>2017-05-08</t>
  </si>
  <si>
    <t>2017-04-27</t>
  </si>
  <si>
    <t>(주)수식품</t>
  </si>
  <si>
    <t>2017-04-12</t>
  </si>
  <si>
    <t>2017-04-05</t>
  </si>
  <si>
    <t>허브앤솔루션</t>
  </si>
  <si>
    <t>MARAL DEER HORN(CERVUS ELAPHUS SIBIRICUS)</t>
    <phoneticPr fontId="1" type="noConversion"/>
  </si>
  <si>
    <t>2017-04-04</t>
  </si>
  <si>
    <t>2017-03-09</t>
  </si>
  <si>
    <t>2017-03-08</t>
  </si>
  <si>
    <t>2017-02-22</t>
  </si>
  <si>
    <t>2017-02-14</t>
  </si>
  <si>
    <t>DRIED DEER HORN(CERVUS ELAPHUS SIBIRICUS) (WHOLE)</t>
  </si>
  <si>
    <t>2017-02-07</t>
  </si>
  <si>
    <t>2017-01-31</t>
  </si>
  <si>
    <t>2017-01-18</t>
  </si>
  <si>
    <t>2017-01-16</t>
  </si>
  <si>
    <t>2017-01-03</t>
  </si>
  <si>
    <t>(주)한국허브</t>
  </si>
  <si>
    <t>2016-12-30</t>
  </si>
  <si>
    <t>2016-12-20</t>
  </si>
  <si>
    <t>2016-12-05</t>
  </si>
  <si>
    <t>바이칼허브</t>
  </si>
  <si>
    <t>DEER HARD HORNS</t>
  </si>
  <si>
    <t>LLC ASIA GROUP</t>
  </si>
  <si>
    <t>2016-11-29</t>
  </si>
  <si>
    <t>BILLION WORLD TRADING LIMITED</t>
  </si>
  <si>
    <t>2016-11-28</t>
  </si>
  <si>
    <t>한선무역</t>
  </si>
  <si>
    <t>2016-11-18</t>
  </si>
  <si>
    <t>OOO EXPOPANT</t>
  </si>
  <si>
    <t>건조절편녹용</t>
  </si>
  <si>
    <t>DRIED RED DEER VELVET ANTLER (SLICED)</t>
  </si>
  <si>
    <t>2016-11-17</t>
  </si>
  <si>
    <t>2016-11-16</t>
  </si>
  <si>
    <t>2016-11-11</t>
  </si>
  <si>
    <t>2016-10-26</t>
  </si>
  <si>
    <t>GORIZONT LLC</t>
  </si>
  <si>
    <t>2016-10-17</t>
  </si>
  <si>
    <t>2016-10-11</t>
  </si>
  <si>
    <t>ANTLER (DRY DEER HORN)</t>
  </si>
  <si>
    <t>LIMITED PARTNERSHIP MARALENOK</t>
  </si>
  <si>
    <t>2016-10-10</t>
  </si>
  <si>
    <t>2016-09-28</t>
  </si>
  <si>
    <t>2016-09-07</t>
  </si>
  <si>
    <t>2016-08-05</t>
  </si>
  <si>
    <t>상대녹용절편</t>
  </si>
  <si>
    <t>100% DRIED RED DEER SLICED VELVET (SANGDAE)</t>
  </si>
  <si>
    <t>2016-08-01</t>
  </si>
  <si>
    <t>2016-07-27</t>
  </si>
  <si>
    <t>상녹제약(주)</t>
  </si>
  <si>
    <t>DEER HARD ANTLERS</t>
  </si>
  <si>
    <t>GUANGTIANDI HONG</t>
  </si>
  <si>
    <t>2016-07-21</t>
  </si>
  <si>
    <t>2016-07-05</t>
  </si>
  <si>
    <t>2016-07-04</t>
  </si>
  <si>
    <t>2016-06-29</t>
  </si>
  <si>
    <t>2016-06-28</t>
  </si>
  <si>
    <t>DEER HARD HORN (CERVUS ELAPHUS SIBIRICUS)</t>
  </si>
  <si>
    <t>2016-06-24</t>
  </si>
  <si>
    <t>2016-06-21</t>
  </si>
  <si>
    <t>2016-06-20</t>
  </si>
  <si>
    <t>2016-06-15</t>
  </si>
  <si>
    <t>2016-05-27</t>
  </si>
  <si>
    <t>2016-05-26</t>
  </si>
  <si>
    <t>2016-05-20</t>
  </si>
  <si>
    <t>2016-05-16</t>
  </si>
  <si>
    <t>2016-05-04</t>
  </si>
  <si>
    <t>2016-04-25</t>
  </si>
  <si>
    <t>(주)루스마르코</t>
  </si>
  <si>
    <t>OOO MORAUM-2</t>
  </si>
  <si>
    <t>2016-04-15</t>
  </si>
  <si>
    <t>DRY DEER HORN</t>
  </si>
  <si>
    <t>GOLDEN FIELD(FAR EAST)LIMITED</t>
  </si>
  <si>
    <t>2016-04-14</t>
  </si>
  <si>
    <t>2016-03-30</t>
  </si>
  <si>
    <t>녹용(DEER VELVET)</t>
  </si>
  <si>
    <t>2016-03-24</t>
  </si>
  <si>
    <t>2016-03-04</t>
  </si>
  <si>
    <t>2016-02-25</t>
  </si>
  <si>
    <t>OOO EXPOPANT</t>
    <phoneticPr fontId="1" type="noConversion"/>
  </si>
  <si>
    <t>2016-02-23</t>
  </si>
  <si>
    <t>Hong Kong</t>
  </si>
  <si>
    <t>China</t>
  </si>
  <si>
    <t>Product name (Korean)</t>
  </si>
  <si>
    <t>Translation</t>
  </si>
  <si>
    <t>Dried deer velvet (whole stick)</t>
  </si>
  <si>
    <t>Dried sliced deer velvet</t>
  </si>
  <si>
    <t>Animal based processed food</t>
  </si>
  <si>
    <t>Hard antlers</t>
  </si>
  <si>
    <t>Deer velvet</t>
  </si>
  <si>
    <t>Dried sliced deer velvet - Sangdae</t>
  </si>
  <si>
    <t>Dried deer velvet - for research</t>
  </si>
  <si>
    <t>Company Korean name</t>
    <phoneticPr fontId="1" type="noConversion"/>
  </si>
  <si>
    <t>Company English name</t>
    <phoneticPr fontId="1" type="noConversion"/>
  </si>
  <si>
    <t>Baikal Herb</t>
  </si>
  <si>
    <t>Siberian Antlers Pharms Inc.</t>
  </si>
  <si>
    <t>Bia Tech</t>
  </si>
  <si>
    <t>Bibong Herb</t>
  </si>
  <si>
    <t>Chunho N Care</t>
  </si>
  <si>
    <t>Chunho Food</t>
  </si>
  <si>
    <t>Daedeok Pharm.</t>
  </si>
  <si>
    <t>Daeheung Pharm</t>
  </si>
  <si>
    <t>㈜대흥제약</t>
  </si>
  <si>
    <t>Daeho Pharm.</t>
  </si>
  <si>
    <t>DaeWon RTD</t>
  </si>
  <si>
    <t>DHG Global</t>
  </si>
  <si>
    <t>DongWha Pharmaceutical Trading Co.</t>
  </si>
  <si>
    <t>Rokone</t>
  </si>
  <si>
    <t>Ee Room Pharm.</t>
  </si>
  <si>
    <t>주식회사 이룡제약</t>
    <phoneticPr fontId="1" type="noConversion"/>
  </si>
  <si>
    <t>Eryong Pharm.</t>
    <phoneticPr fontId="1" type="noConversion"/>
  </si>
  <si>
    <t>Hanbangin</t>
  </si>
  <si>
    <t>Handong Herb</t>
  </si>
  <si>
    <t>HanKook Herb</t>
  </si>
  <si>
    <t>Hankook Onnuri Pharm</t>
  </si>
  <si>
    <t>Hannature</t>
    <phoneticPr fontId="1" type="noConversion"/>
  </si>
  <si>
    <t>Hansun Trading</t>
  </si>
  <si>
    <t>Harang Muyak</t>
  </si>
  <si>
    <t>Herb&amp;Solution</t>
  </si>
  <si>
    <t>Heungsoo Nogyong</t>
    <phoneticPr fontId="1" type="noConversion"/>
  </si>
  <si>
    <t>Hyangna Bio</t>
  </si>
  <si>
    <t>Ilseong Food</t>
  </si>
  <si>
    <t>Jinka Food</t>
  </si>
  <si>
    <t>Jinsoo Deer Co., Ltd.</t>
  </si>
  <si>
    <t xml:space="preserve">JoEun Pharm </t>
  </si>
  <si>
    <t>JooShin Pharm</t>
  </si>
  <si>
    <t>K&amp;C</t>
  </si>
  <si>
    <t>KVIE (Alex, HanPure)</t>
  </si>
  <si>
    <t>Looce Masco</t>
  </si>
  <si>
    <t>MyungGa (Mr.Lee in Daegu)</t>
  </si>
  <si>
    <t>Onnuri Bio</t>
  </si>
  <si>
    <t>SamBo (Mr. Kang in Busan)</t>
  </si>
  <si>
    <t>SangNok Pharm.</t>
  </si>
  <si>
    <t>SeoHwa Pharm.</t>
  </si>
  <si>
    <t>신송강무역</t>
  </si>
  <si>
    <t>ShinSongGang Trade</t>
  </si>
  <si>
    <t>Siwon Pharmaceutical</t>
  </si>
  <si>
    <t>Su Food (Mr. Choi)</t>
  </si>
  <si>
    <t>Taeahn (Mr. Ahn)</t>
  </si>
  <si>
    <t>Wonkyung Yakup</t>
  </si>
  <si>
    <t>원용 본가</t>
  </si>
  <si>
    <t>WonYong Bonga</t>
  </si>
  <si>
    <t>WooSung (Mr. Bang)</t>
  </si>
  <si>
    <t>YongBo (Mr. Woljin Kim)</t>
  </si>
  <si>
    <t>CheonJi Bio</t>
  </si>
  <si>
    <t>Yuhan Care</t>
  </si>
  <si>
    <t>Yuhan Corporation.</t>
  </si>
  <si>
    <t>Hans Pharm Inc</t>
  </si>
  <si>
    <t>Million Trade</t>
  </si>
  <si>
    <t>Company</t>
    <phoneticPr fontId="1" type="noConversion"/>
  </si>
  <si>
    <t>Country</t>
    <phoneticPr fontId="1" type="noConversion"/>
  </si>
  <si>
    <t>China ,Hong Kong</t>
  </si>
  <si>
    <t>Kazakhstan</t>
  </si>
  <si>
    <t xml:space="preserve">2026-04-10 ~ </t>
  </si>
  <si>
    <t>2026-06-29</t>
  </si>
  <si>
    <t>2026-06-17</t>
  </si>
  <si>
    <t>VEXCO LIMITED</t>
  </si>
  <si>
    <t>2026-06-04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</si>
</sst>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u/>
      <sz val="11"/>
      <color theme="10"/>
      <name val="Calibri"/>
      <family val="2"/>
      <charset val="129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4"/>
      <name val="Calibri"/>
      <family val="2"/>
      <scheme val="minor"/>
    </font>
    <font>
      <sz val="10"/>
      <color theme="1"/>
      <name val="Calibri"/>
      <family val="2"/>
      <charset val="129"/>
      <scheme val="minor"/>
    </font>
    <font>
      <sz val="10"/>
      <color indexed="8"/>
      <name val="Calibri"/>
      <family val="2"/>
      <charset val="129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3"/>
      <charset val="129"/>
      <scheme val="minor"/>
    </font>
    <font>
      <sz val="10"/>
      <color rgb="FF000000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0" fillId="0" borderId="1" xfId="0" applyFont="1" applyBorder="1" applyAlignment="1"/>
    <xf numFmtId="0" fontId="11" fillId="0" borderId="0" xfId="0" applyFont="1" applyAlignment="1"/>
    <xf numFmtId="0" fontId="11" fillId="0" borderId="1" xfId="0" applyFont="1" applyBorder="1" applyAlignment="1"/>
    <xf numFmtId="0" fontId="12" fillId="0" borderId="1" xfId="0" applyFont="1" applyBorder="1" applyAlignment="1"/>
    <xf numFmtId="0" fontId="13" fillId="0" borderId="1" xfId="0" applyFont="1" applyBorder="1">
      <alignment vertical="center"/>
    </xf>
    <xf numFmtId="0" fontId="13" fillId="0" borderId="1" xfId="0" applyFont="1" applyBorder="1" applyAlignment="1"/>
    <xf numFmtId="0" fontId="13" fillId="0" borderId="0" xfId="0" applyFont="1" applyAlignment="1"/>
    <xf numFmtId="0" fontId="11" fillId="0" borderId="1" xfId="0" applyFont="1" applyBorder="1">
      <alignment vertical="center"/>
    </xf>
    <xf numFmtId="0" fontId="6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0" xfId="1" applyAlignment="1">
      <alignment horizontal="left" vertical="top"/>
    </xf>
    <xf numFmtId="49" fontId="14" fillId="0" borderId="0" xfId="0" applyNumberFormat="1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16" fillId="0" borderId="0" xfId="2" applyFont="1" applyAlignment="1">
      <alignment horizontal="left" vertical="top"/>
    </xf>
    <xf numFmtId="14" fontId="16" fillId="0" borderId="0" xfId="2" applyNumberFormat="1" applyFont="1" applyAlignment="1">
      <alignment horizontal="left" vertical="top"/>
    </xf>
    <xf numFmtId="0" fontId="9" fillId="0" borderId="0" xfId="2" applyFont="1" applyAlignment="1">
      <alignment horizontal="left" vertical="top"/>
    </xf>
    <xf numFmtId="14" fontId="9" fillId="0" borderId="0" xfId="2" applyNumberFormat="1" applyFont="1" applyAlignment="1">
      <alignment horizontal="left" vertical="top"/>
    </xf>
    <xf numFmtId="164" fontId="4" fillId="0" borderId="0" xfId="0" applyNumberFormat="1" applyFont="1" applyAlignment="1">
      <alignment horizontal="left" vertical="top"/>
    </xf>
    <xf numFmtId="164" fontId="4" fillId="0" borderId="0" xfId="0" quotePrefix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5" fillId="0" borderId="0" xfId="1" applyFont="1" applyFill="1" applyAlignment="1">
      <alignment horizontal="left" vertical="top"/>
    </xf>
    <xf numFmtId="14" fontId="4" fillId="0" borderId="0" xfId="0" applyNumberFormat="1" applyFont="1" applyAlignment="1">
      <alignment horizontal="left" vertical="top"/>
    </xf>
    <xf numFmtId="0" fontId="18" fillId="0" borderId="0" xfId="0" applyFont="1" applyAlignment="1">
      <alignment horizontal="left" vertical="top"/>
    </xf>
    <xf numFmtId="14" fontId="18" fillId="0" borderId="0" xfId="0" applyNumberFormat="1" applyFont="1" applyAlignment="1">
      <alignment horizontal="left" vertical="top"/>
    </xf>
    <xf numFmtId="0" fontId="19" fillId="0" borderId="0" xfId="0" applyFont="1" applyAlignment="1">
      <alignment horizontal="left" vertical="top"/>
    </xf>
  </cellXfs>
  <cellStyles count="4">
    <cellStyle name="Hyperlink" xfId="1" builtinId="8"/>
    <cellStyle name="Normal" xfId="0" builtinId="0"/>
    <cellStyle name="Normal 2" xfId="2" xr:uid="{4EC75752-424E-406B-AC2C-EC2E08769134}"/>
    <cellStyle name="표준 2" xfId="3" xr:uid="{46E3059A-382A-4385-B654-799FF215E8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" refreshedDate="46209.623210879632" createdVersion="8" refreshedVersion="8" minRefreshableVersion="3" recordCount="597" xr:uid="{7EB98C5A-86EE-4762-9D9E-A1E4415AC9B9}">
  <cacheSource type="worksheet">
    <worksheetSource name="_xlnm._FilterDatabase" sheet="import list"/>
  </cacheSource>
  <cacheFields count="16">
    <cacheField name="Year" numFmtId="0">
      <sharedItems containsSemiMixedTypes="0" containsString="0" containsNumber="1" containsInteger="1" minValue="2016" maxValue="2026" count="11">
        <n v="2026"/>
        <n v="2025"/>
        <n v="2024"/>
        <n v="2023"/>
        <n v="2022"/>
        <n v="2021"/>
        <n v="2020"/>
        <n v="2019"/>
        <n v="2018"/>
        <n v="2017"/>
        <n v="2016"/>
      </sharedItems>
    </cacheField>
    <cacheField name="Month" numFmtId="0">
      <sharedItems containsBlank="1" count="13">
        <s v="06"/>
        <s v="05"/>
        <s v="04"/>
        <s v="03"/>
        <s v="02"/>
        <s v="01"/>
        <s v="12"/>
        <s v="11"/>
        <s v="10"/>
        <s v="09"/>
        <s v="08"/>
        <s v="07"/>
        <m u="1"/>
      </sharedItems>
    </cacheField>
    <cacheField name="Day" numFmtId="0">
      <sharedItems/>
    </cacheField>
    <cacheField name="Importer" numFmtId="0">
      <sharedItems containsBlank="1" count="62">
        <s v="Chunho N Care"/>
        <s v="Eryong Pharm."/>
        <s v="Bibong Herb"/>
        <s v="KNC Deertrade"/>
        <s v="YW International"/>
        <s v="OnBio"/>
        <s v="Onnuri Bio"/>
        <s v="WooSung (Mr Bang) "/>
        <s v="GaOn Pharm"/>
        <s v="HwaYong Pharm."/>
        <s v="Bio Dot (Han Dong Herb)"/>
        <s v="KGC"/>
        <s v="Yujin Trade"/>
        <s v="Geonhyang Pharm."/>
        <s v="YongBo (Mr. Woljin Kim)"/>
        <s v="JoEun Pharm "/>
        <s v="DaeWon RTD"/>
        <s v="Heungsoo Nogyong"/>
        <s v="Hyangna Bio"/>
        <s v="Siberian Antlers Pharms Inc."/>
        <s v="Daeho Pharm."/>
        <s v="Rokone"/>
        <s v="Taeahn (Mr. Ahn)"/>
        <s v="Yuhan Care"/>
        <s v="Jinsoo Deer Co., Ltd."/>
        <s v="Hans Pharm Inc"/>
        <s v="DHG Global"/>
        <s v="Daedeok Pharm."/>
        <s v="MyungGa (Mr.Lee in Daegu)"/>
        <s v="CheonJi Bio"/>
        <s v="Million Trade"/>
        <s v="K&amp;C"/>
        <s v="Siwon Pharmaceutical"/>
        <s v="Ee Room Pharm."/>
        <s v="Ilseong Food"/>
        <s v="SamBo (Mr. Kang in Busan)"/>
        <s v="Hanbangin"/>
        <s v="Harang Muyak"/>
        <s v="Hansun Trading"/>
        <s v="Bia Tech"/>
        <s v="Daeheung Pharm"/>
        <s v="WooSung (Mr. Bang)"/>
        <s v="KVIE (Alex, HanPure)"/>
        <s v="Hannature"/>
        <s v="Handong Herb"/>
        <s v="Jinka Food"/>
        <s v="WonYong Bonga"/>
        <s v="Wonkyung Yakup"/>
        <s v="ShinSongGang Trade"/>
        <s v="Hankook Onnuri Pharm"/>
        <s v="Yuhan Corporation."/>
        <s v="Chunho Food"/>
        <s v="Herb&amp;Solution"/>
        <s v="SeoHwa Pharm."/>
        <s v="JooShin Pharm"/>
        <s v="DongWha Pharmaceutical Trading Co."/>
        <s v="Su Food (Mr. Choi)"/>
        <s v="HanKook Herb"/>
        <s v="Baikal Herb"/>
        <s v="SangNok Pharm."/>
        <s v="Looce Masco"/>
        <m u="1"/>
      </sharedItems>
    </cacheField>
    <cacheField name="Translation of type" numFmtId="0">
      <sharedItems containsBlank="1" count="10">
        <s v="Deer velvet (dried)"/>
        <s v="Deer velvet (frozen)"/>
        <s v="Animal based processed food"/>
        <s v="Deer velvet"/>
        <s v="Dried deer velvet (whole stick)"/>
        <s v="Dried deer velvet - for research"/>
        <s v="Hard antlers"/>
        <s v="Dried sliced deer velvet"/>
        <s v="Dried sliced deer velvet - Sangdae"/>
        <m u="1"/>
      </sharedItems>
    </cacheField>
    <cacheField name="Country of origin" numFmtId="0">
      <sharedItems containsBlank="1" count="4">
        <s v="New Zealand"/>
        <s v="China"/>
        <s v="Russia"/>
        <m/>
      </sharedItems>
    </cacheField>
    <cacheField name="Country of export" numFmtId="0">
      <sharedItems/>
    </cacheField>
    <cacheField name="Importer (Korean)" numFmtId="0">
      <sharedItems/>
    </cacheField>
    <cacheField name="Product name (Korean)" numFmtId="0">
      <sharedItems/>
    </cacheField>
    <cacheField name="Product name (English)" numFmtId="0">
      <sharedItems/>
    </cacheField>
    <cacheField name="Product type (Korean)" numFmtId="0">
      <sharedItems containsBlank="1"/>
    </cacheField>
    <cacheField name="Exporter (English)" numFmtId="0">
      <sharedItems containsBlank="1" count="90">
        <s v="STREAMLANDS EXPORTS NZ LTD"/>
        <s v="ORIENTAL DEER HOLDINGS LIMITED"/>
        <s v="VEXCO LIMITED"/>
        <s v="DALIAN CHANG LU DEER INDUSTRY CO., LTD"/>
        <s v="UB BIO LIMITED"/>
        <s v="ROKLAND CORPORATION LIMITED"/>
        <s v="TIELING AOLU TRADE CO.,LTD"/>
        <s v="DALIAN F.T.Z. JUNFENG INTERNATIONAL INDUSTRIAL &amp; TRADE CO.,LTD."/>
        <s v="XIFENG MINHE DEER PRODUCTS CO.,LTD"/>
        <s v="CK IMPORT-EXPORT COMPANY NZ LIMITED"/>
        <s v="CK IMPORT EXPORT CO.(NZ) LTD"/>
        <s v="YIK LUNG TONG(NZ) INTERNAIONAL LIMITED"/>
        <s v="PROVELCO LTD"/>
        <s v="C K IMPORT EXPORT CO (NZ) LTD"/>
        <s v="PAREX INTERNATIONAL LTD"/>
        <s v="DALIAN HENGLU DEER INDUSTRY CO LTD"/>
        <s v="IP SHPILEKOV ALEXEY MIKHAILOVICH"/>
        <s v="DALIAN SHENG EN DEER PRODUCTS CO LTD"/>
        <s v="UIMON CO.,LTD"/>
        <s v="SPK ABAISKI"/>
        <s v="OOO &quot;SEMINSKY&quot;"/>
        <s v="TASMAN VELVETPROCESSORS LTD"/>
        <s v="TEN-EXPORT LTD,"/>
        <s v="TIELING HUANGJIA YIPIN FOODS CO LTD"/>
        <s v="WONALTAY INTERNATIONAL"/>
        <s v="ALPINE DEER NZLP"/>
        <s v="DALIAN ZHUOFENG DEER PRODUCTS CO.,LTD"/>
        <s v="KARYAKINA A.F"/>
        <s v="ALPINE DEER NZ LP"/>
        <s v="DALIAN FTZ JINGHUI DEER PRODUCTS CO LTD"/>
        <s v="LIAONING WANLU PHARMACEUTICALCO LTD"/>
        <s v="AYULA CO.,LTD"/>
        <s v="OOO MARAL-ASOHRA"/>
        <s v="DALIAN F.T.Z. JUN FENG INTERNATIONAL  INDUSTRTAL TRADE CO LTD"/>
        <s v="TSENGS ENTERPRISES (N.Z.) LIMITED"/>
        <s v="SHUN SHING INTERNATIONAL DEVELOPMENT COMPANY"/>
        <s v="ANZ FOOD TRADING CO"/>
        <s v="DALIAN F.T.Z MINGWEI INDUTRY TRADE CO.,LTD"/>
        <s v="TIELING JIDA DEER PRODUCTS PROCESSING CO., LTD."/>
        <s v="PGG WRIGHTSON LTD-VELVET"/>
        <s v="PROVELCO CO OPERATIVE LTD"/>
        <s v="ROKLAND CORPORATION LTD"/>
        <s v="LTD TEN-EXPORT"/>
        <s v="OOOEXPO PANT"/>
        <s v="DALIAN F.T.Z MINGWEI INDUSTRY TRADE CO.,LTD"/>
        <s v="XIFENG COUNTRY TIANYU LOCAL PRODUCT OF PANAX AND PILOSE PROCESSING CO., LTD"/>
        <s v="LLC GEYA"/>
        <s v="PROVELCO CO-OPERATIVE LTD"/>
        <s v="PGG WRIGHTSON"/>
        <s v="APPLIED BIOTECHNOLOGY LTD"/>
        <s v="TASMAN VELVET PROCESSORS LTD"/>
        <s v="ALPINE DEER NZ LP - LUGGATE"/>
        <s v="UBBIO LTD"/>
        <s v="XIFENG MINHE DEER PRODUCTS PROCESSING CO LTD"/>
        <s v="XIFENG COUNTY JIYUAN DEER PRODUCTS PROCESSING CO.,LTD"/>
        <s v="OOO&lt;&lt;EXPOPANT&gt;&gt;"/>
        <s v="REVITAL LTD"/>
        <s v="PROVELCO CO-OPERATIVE LIMITED"/>
        <s v="LTD TEN EXPORT"/>
        <s v="YIK LUNG TONG (NZ) INTERNATIONAL LIMITED"/>
        <s v="TSENGS ENTERPRISES (NZ) LIMITED"/>
        <s v="APK &lt;&lt;ABAISKY&gt;&gt;"/>
        <s v="OOO SEMUNSKIY"/>
        <s v="DALIAN F T Z JUNFENG INTERNATIONAL INDUSTRIAL &amp; TRADE CO LTD"/>
        <s v="PGGWRIGHTSON"/>
        <s v="HYUN DAE DEER PRODUCTS LTD"/>
        <s v="DALIAN F.T.Z INDUSTRY TRADE CO.,LTD."/>
        <s v="SPK &quot;TALITSA&quot;"/>
        <s v="OOO&quot;MARAL-ASOHRA&quot;"/>
        <s v="OOO ALTAI-SAD"/>
        <s v="TIELING GANGTONG DEER PRODUCTS PROCESSING CO.,LTD"/>
        <s v="PAREX INTERNATIONAL LTD."/>
        <s v="DALIAN F.T.Z. BAOHUA INTERNATIONAL INDUSTRY TRADE CO., LTD."/>
        <s v="FORTUNE METROPOLIS INVESTMENT COMPANY"/>
        <s v="YIK LUNG TONG (H.K)"/>
        <s v="ALIAN F.T.Z. JUN FENG INTERNATIONAL INDUSTRTAL TRADE CO LTD"/>
        <s v="APK ABAISKY"/>
        <s v="CK IMPORT EXPORT CO.,LTD"/>
        <s v="EASTERNWARD TRADING CO."/>
        <s v="GOLDEN FIELD(FAR EAST)LTD"/>
        <s v="HAN GANG GROUP INT'L TRADE CO LIMITED"/>
        <s v="LLC ASIA GROUP"/>
        <s v="BILLION WORLD TRADING LIMITED"/>
        <s v="OOO EXPOPANT"/>
        <s v="GORIZONT LLC"/>
        <s v="LIMITED PARTNERSHIP MARALENOK"/>
        <s v="GUANGTIANDI HONG"/>
        <s v="OOO MORAUM-2"/>
        <s v="GOLDEN FIELD(FAR EAST)LIMITED"/>
        <m u="1"/>
      </sharedItems>
    </cacheField>
    <cacheField name="Date" numFmtId="0">
      <sharedItems containsDate="1" containsMixedTypes="1" minDate="2023-10-12T00:00:00" maxDate="2026-05-30T00:00:00"/>
    </cacheField>
    <cacheField name="Expire date start from" numFmtId="0">
      <sharedItems containsBlank="1"/>
    </cacheField>
    <cacheField name="Country of origin (KR)" numFmtId="0">
      <sharedItems containsBlank="1"/>
    </cacheField>
    <cacheField name="Country of export (KR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7">
  <r>
    <x v="0"/>
    <x v="0"/>
    <s v="29"/>
    <x v="0"/>
    <x v="0"/>
    <x v="0"/>
    <s v="New Zealand"/>
    <s v="(주)천호엔케어"/>
    <s v="녹용"/>
    <s v="DEER HORN"/>
    <s v="녹용(건조)"/>
    <x v="0"/>
    <s v="2026-06-29"/>
    <s v="-"/>
    <s v="뉴질랜드"/>
    <s v="뉴질랜드"/>
  </r>
  <r>
    <x v="0"/>
    <x v="0"/>
    <s v="17"/>
    <x v="1"/>
    <x v="1"/>
    <x v="0"/>
    <s v="New Zealand"/>
    <s v="주식회사 이룡제약"/>
    <s v="생녹용(냉동)"/>
    <s v="FROZEN DEER VELVET"/>
    <s v="생녹용(냉동)"/>
    <x v="1"/>
    <s v="2026-06-17"/>
    <s v="-"/>
    <s v="뉴질랜드"/>
    <s v="뉴질랜드"/>
  </r>
  <r>
    <x v="0"/>
    <x v="0"/>
    <s v="04"/>
    <x v="2"/>
    <x v="0"/>
    <x v="0"/>
    <s v="New Zealand"/>
    <s v="주식회사 비봉허브"/>
    <s v="녹용"/>
    <s v="DEER HORN"/>
    <s v="녹용(건조)"/>
    <x v="2"/>
    <s v="2026-06-04"/>
    <s v="-"/>
    <s v="뉴질랜드"/>
    <s v="뉴질랜드"/>
  </r>
  <r>
    <x v="0"/>
    <x v="0"/>
    <s v="04"/>
    <x v="3"/>
    <x v="0"/>
    <x v="0"/>
    <s v="China"/>
    <s v="(주)케이앤씨디어트레이드"/>
    <s v="녹용(건조)"/>
    <s v="DRIED RED DEER VELVET ANTLER"/>
    <s v="녹용(건조)"/>
    <x v="3"/>
    <s v="2026-06-04"/>
    <s v="-"/>
    <s v="뉴질랜드"/>
    <s v="중국"/>
  </r>
  <r>
    <x v="0"/>
    <x v="1"/>
    <s v="29"/>
    <x v="3"/>
    <x v="1"/>
    <x v="0"/>
    <s v="New Zealand"/>
    <s v="(주)케이앤씨디어트레이드"/>
    <s v="생녹용"/>
    <s v="FROZEN RED DEER VELVET ANTLER"/>
    <s v="생녹용(냉동)"/>
    <x v="4"/>
    <d v="2026-05-29T00:00:00"/>
    <s v="2026-04-10 ~ "/>
    <s v="뉴질랜드"/>
    <s v="뉴질랜드"/>
  </r>
  <r>
    <x v="0"/>
    <x v="1"/>
    <s v="27"/>
    <x v="3"/>
    <x v="0"/>
    <x v="0"/>
    <s v="China"/>
    <s v="(주)케이앤씨디어트레이드"/>
    <s v="녹용(건조)"/>
    <s v="DRIED RED DEER VELVET ANTLER"/>
    <s v="녹용(건조)"/>
    <x v="3"/>
    <d v="2026-05-27T00:00:00"/>
    <s v="-"/>
    <s v="뉴질랜드"/>
    <s v="중국"/>
  </r>
  <r>
    <x v="0"/>
    <x v="1"/>
    <s v="19"/>
    <x v="4"/>
    <x v="1"/>
    <x v="0"/>
    <s v="New Zealand"/>
    <s v="와이더블유 인터내셔날"/>
    <s v="냉동녹용"/>
    <s v="FROZEN WHOLE DEER VELVET ANTLER"/>
    <s v="생녹용(냉동)"/>
    <x v="5"/>
    <d v="2026-05-19T00:00:00"/>
    <s v="-"/>
    <s v="뉴질랜드"/>
    <s v="뉴질랜드"/>
  </r>
  <r>
    <x v="0"/>
    <x v="1"/>
    <s v="13"/>
    <x v="1"/>
    <x v="0"/>
    <x v="1"/>
    <s v="China"/>
    <s v="주식회사 이룡제약"/>
    <s v="녹용"/>
    <s v="DEER HORN"/>
    <s v="녹용(건조)"/>
    <x v="6"/>
    <d v="2026-05-13T00:00:00"/>
    <s v="-"/>
    <s v="중국"/>
    <s v="중국"/>
  </r>
  <r>
    <x v="0"/>
    <x v="1"/>
    <s v="08"/>
    <x v="5"/>
    <x v="0"/>
    <x v="0"/>
    <s v="China"/>
    <s v="온바이오"/>
    <s v="녹용(건조)"/>
    <s v="DRIED RED DEER VELVET ANTLER"/>
    <s v="녹용(건조)"/>
    <x v="7"/>
    <d v="2026-05-08T00:00:00"/>
    <s v="-"/>
    <s v="뉴질랜드"/>
    <s v="중국"/>
  </r>
  <r>
    <x v="0"/>
    <x v="2"/>
    <s v="17"/>
    <x v="6"/>
    <x v="0"/>
    <x v="0"/>
    <s v="China"/>
    <s v="(주)온누리바이오생약"/>
    <s v="녹용"/>
    <s v="DEER HORN"/>
    <s v="녹용(건조)"/>
    <x v="6"/>
    <d v="2026-04-17T00:00:00"/>
    <s v="-"/>
    <s v="뉴질랜드"/>
    <s v="중국"/>
  </r>
  <r>
    <x v="0"/>
    <x v="2"/>
    <s v="10"/>
    <x v="7"/>
    <x v="0"/>
    <x v="0"/>
    <s v="China"/>
    <s v="(주)우성생약"/>
    <s v="녹용(건조)"/>
    <s v="DRIED RED DEER VELVET ANTLER"/>
    <s v="녹용(건조)"/>
    <x v="8"/>
    <d v="2026-04-10T00:00:00"/>
    <s v="-"/>
    <s v="뉴질랜드"/>
    <s v="중국"/>
  </r>
  <r>
    <x v="0"/>
    <x v="2"/>
    <s v="07"/>
    <x v="7"/>
    <x v="0"/>
    <x v="0"/>
    <s v="China"/>
    <s v="(주)우성생약"/>
    <s v="녹용(건조)"/>
    <s v="DRIED RED DEER VELVET ANTLER"/>
    <s v="녹용(건조)"/>
    <x v="8"/>
    <d v="2026-04-07T00:00:00"/>
    <s v="-"/>
    <s v="뉴질랜드"/>
    <s v="중국"/>
  </r>
  <r>
    <x v="0"/>
    <x v="2"/>
    <s v="07"/>
    <x v="8"/>
    <x v="1"/>
    <x v="0"/>
    <s v="New Zealand"/>
    <s v="주식회사 가온제약"/>
    <s v="냉동녹용"/>
    <s v="FROZEN RED DEER VELVET ANTLER"/>
    <s v="생녹용(냉동)"/>
    <x v="9"/>
    <d v="2026-04-07T00:00:00"/>
    <s v="-"/>
    <s v="뉴질랜드"/>
    <s v="뉴질랜드"/>
  </r>
  <r>
    <x v="0"/>
    <x v="2"/>
    <s v="03"/>
    <x v="3"/>
    <x v="1"/>
    <x v="0"/>
    <s v="New Zealand"/>
    <s v="(주)케이앤씨디어트레이드"/>
    <s v="생녹용"/>
    <s v="WHOLE FROZEN DEER VELVET"/>
    <s v="생녹용(냉동)"/>
    <x v="5"/>
    <d v="2026-04-03T00:00:00"/>
    <s v="2026-02-25 ~ "/>
    <s v="뉴질랜드"/>
    <s v="뉴질랜드"/>
  </r>
  <r>
    <x v="0"/>
    <x v="2"/>
    <s v="03"/>
    <x v="9"/>
    <x v="1"/>
    <x v="0"/>
    <s v="New Zealand"/>
    <s v="화용제약"/>
    <s v="생녹용(냉동)"/>
    <s v="FROZEN DEER HORN"/>
    <s v="생녹용(냉동)"/>
    <x v="10"/>
    <d v="2026-04-03T00:00:00"/>
    <s v="-"/>
    <s v="뉴질랜드"/>
    <s v="뉴질랜드"/>
  </r>
  <r>
    <x v="0"/>
    <x v="3"/>
    <s v="25"/>
    <x v="5"/>
    <x v="1"/>
    <x v="0"/>
    <s v="New Zealand"/>
    <s v="온바이오"/>
    <s v="생녹용(냉동)"/>
    <s v="FROZEN DEER VELVET"/>
    <s v="생녹용(냉동)"/>
    <x v="11"/>
    <d v="2026-03-25T00:00:00"/>
    <s v="-"/>
    <s v="뉴질랜드"/>
    <s v="뉴질랜드"/>
  </r>
  <r>
    <x v="0"/>
    <x v="3"/>
    <s v="17"/>
    <x v="3"/>
    <x v="1"/>
    <x v="0"/>
    <s v="New Zealand"/>
    <s v="(주)케이앤씨디어트레이드"/>
    <s v="생녹용"/>
    <s v="FROZEN RED DEER VELVET ANTLER"/>
    <s v="생녹용(냉동)"/>
    <x v="12"/>
    <d v="2026-03-17T00:00:00"/>
    <s v="2026-01-21 ~ "/>
    <s v="뉴질랜드"/>
    <s v="뉴질랜드"/>
  </r>
  <r>
    <x v="0"/>
    <x v="3"/>
    <s v="16"/>
    <x v="10"/>
    <x v="1"/>
    <x v="0"/>
    <s v="New Zealand"/>
    <s v="(주)바이오닷"/>
    <s v="생녹용"/>
    <s v="FROZEN RED DEER VELVET ANTLER"/>
    <s v="생녹용(냉동)"/>
    <x v="13"/>
    <d v="2026-03-16T00:00:00"/>
    <s v="2026-01-27 ~ 2029-01-27"/>
    <s v="뉴질랜드"/>
    <s v="뉴질랜드"/>
  </r>
  <r>
    <x v="0"/>
    <x v="3"/>
    <s v="12"/>
    <x v="4"/>
    <x v="1"/>
    <x v="0"/>
    <s v="New Zealand"/>
    <s v="와이더블유 인터내셔날"/>
    <s v="냉동녹용"/>
    <s v="FROZEN WHOLE DEER VELVET ANTLER"/>
    <s v="생녹용(냉동)"/>
    <x v="5"/>
    <d v="2026-03-12T00:00:00"/>
    <s v="-"/>
    <s v="뉴질랜드"/>
    <s v="뉴질랜드"/>
  </r>
  <r>
    <x v="0"/>
    <x v="3"/>
    <s v="12"/>
    <x v="11"/>
    <x v="1"/>
    <x v="0"/>
    <s v="New Zealand"/>
    <s v="(주)한국인삼공사"/>
    <s v="생녹용(냉동)"/>
    <s v="FROZEN RED DEER VELVET ANTLER"/>
    <s v="생녹용(냉동)"/>
    <x v="14"/>
    <d v="2026-03-12T00:00:00"/>
    <s v="-"/>
    <s v="뉴질랜드"/>
    <s v="뉴질랜드"/>
  </r>
  <r>
    <x v="0"/>
    <x v="3"/>
    <s v="11"/>
    <x v="12"/>
    <x v="0"/>
    <x v="0"/>
    <s v="China"/>
    <s v="유진통상"/>
    <s v="녹용(건조)"/>
    <s v="DRIED RED DEER VELVET ANTLER"/>
    <s v="녹용(건조)"/>
    <x v="15"/>
    <d v="2026-03-11T00:00:00"/>
    <s v="-"/>
    <s v="뉴질랜드"/>
    <s v="중국"/>
  </r>
  <r>
    <x v="0"/>
    <x v="2"/>
    <s v="17"/>
    <x v="6"/>
    <x v="0"/>
    <x v="0"/>
    <s v="China"/>
    <s v="(주)온누리바이오생약"/>
    <s v="녹용"/>
    <s v="DEER HORN"/>
    <s v="녹용(건조)"/>
    <x v="6"/>
    <d v="2026-04-17T00:00:00"/>
    <s v="-"/>
    <s v="뉴질랜드"/>
    <s v="중국"/>
  </r>
  <r>
    <x v="0"/>
    <x v="2"/>
    <s v="07"/>
    <x v="7"/>
    <x v="0"/>
    <x v="0"/>
    <s v="China"/>
    <s v="(주)우성생약"/>
    <s v="녹용(건조)"/>
    <s v="DRIED RED DEER VELVET ANTLER"/>
    <s v="녹용(건조)"/>
    <x v="8"/>
    <d v="2026-04-07T00:00:00"/>
    <s v="-"/>
    <s v="뉴질랜드"/>
    <s v="중국"/>
  </r>
  <r>
    <x v="0"/>
    <x v="2"/>
    <s v="07"/>
    <x v="8"/>
    <x v="1"/>
    <x v="0"/>
    <s v="New Zealand"/>
    <s v="주식회사 가온제약"/>
    <s v="냉동녹용"/>
    <s v="FROZEN RED DEER VELVET ANTLER"/>
    <s v="생녹용(냉동)"/>
    <x v="9"/>
    <d v="2026-04-07T00:00:00"/>
    <s v="-"/>
    <s v="뉴질랜드"/>
    <s v="뉴질랜드"/>
  </r>
  <r>
    <x v="0"/>
    <x v="2"/>
    <s v="03"/>
    <x v="3"/>
    <x v="1"/>
    <x v="0"/>
    <s v="New Zealand"/>
    <s v="(주)케이앤씨디어트레이드"/>
    <s v="생녹용"/>
    <s v="WHOLE FROZEN DEER VELVET"/>
    <s v="생녹용(냉동)"/>
    <x v="5"/>
    <s v="2026-04-03"/>
    <s v="2026-02-25 ~ "/>
    <s v="뉴질랜드"/>
    <s v="뉴질랜드"/>
  </r>
  <r>
    <x v="0"/>
    <x v="2"/>
    <s v="03"/>
    <x v="9"/>
    <x v="1"/>
    <x v="0"/>
    <s v="New Zealand"/>
    <s v="화용제약"/>
    <s v="생녹용(냉동)"/>
    <s v="FROZEN DEER HORN"/>
    <s v="생녹용(냉동)"/>
    <x v="10"/>
    <s v="2026-04-03"/>
    <s v="-"/>
    <s v="뉴질랜드"/>
    <s v="뉴질랜드"/>
  </r>
  <r>
    <x v="0"/>
    <x v="3"/>
    <s v="25"/>
    <x v="5"/>
    <x v="1"/>
    <x v="0"/>
    <s v="New Zealand"/>
    <s v="온바이오"/>
    <s v="생녹용(냉동)"/>
    <s v="FROZEN DEER VELVET"/>
    <s v="생녹용(냉동)"/>
    <x v="11"/>
    <s v="2026-03-25"/>
    <s v="-"/>
    <s v="뉴질랜드"/>
    <s v="뉴질랜드"/>
  </r>
  <r>
    <x v="0"/>
    <x v="3"/>
    <s v="17"/>
    <x v="3"/>
    <x v="1"/>
    <x v="0"/>
    <s v="New Zealand"/>
    <s v="(주)케이앤씨디어트레이드"/>
    <s v="생녹용"/>
    <s v="FROZEN RED DEER VELVET ANTLER"/>
    <s v="생녹용(냉동)"/>
    <x v="12"/>
    <d v="2026-03-17T00:00:00"/>
    <s v="2026-01-21 ~ "/>
    <s v="뉴질랜드"/>
    <s v="뉴질랜드"/>
  </r>
  <r>
    <x v="0"/>
    <x v="3"/>
    <s v="16"/>
    <x v="10"/>
    <x v="1"/>
    <x v="0"/>
    <s v="New Zealand"/>
    <s v="(주)바이오닷"/>
    <s v="생녹용"/>
    <s v="FROZEN RED DEER VELVET ANTLER"/>
    <s v="생녹용(냉동)"/>
    <x v="13"/>
    <d v="2026-03-16T00:00:00"/>
    <s v="2026-01-27 ~ 2029-01-27"/>
    <s v="뉴질랜드"/>
    <s v="뉴질랜드"/>
  </r>
  <r>
    <x v="0"/>
    <x v="3"/>
    <s v="12"/>
    <x v="4"/>
    <x v="1"/>
    <x v="0"/>
    <s v="New Zealand"/>
    <s v="와이더블유 인터내셔날"/>
    <s v="냉동녹용"/>
    <s v="FROZEN WHOLE DEER VELVET ANTLER"/>
    <s v="생녹용(냉동)"/>
    <x v="5"/>
    <d v="2026-03-12T00:00:00"/>
    <s v="-"/>
    <s v="뉴질랜드"/>
    <s v="뉴질랜드"/>
  </r>
  <r>
    <x v="0"/>
    <x v="3"/>
    <s v="12"/>
    <x v="11"/>
    <x v="1"/>
    <x v="0"/>
    <s v="New Zealand"/>
    <s v="(주)한국인삼공사"/>
    <s v="생녹용(냉동)"/>
    <s v="FROZEN RED DEER VELVET ANTLER"/>
    <s v="생녹용(냉동)"/>
    <x v="14"/>
    <d v="2026-03-12T00:00:00"/>
    <s v="-"/>
    <s v="뉴질랜드"/>
    <s v="뉴질랜드"/>
  </r>
  <r>
    <x v="0"/>
    <x v="3"/>
    <s v="11"/>
    <x v="12"/>
    <x v="0"/>
    <x v="0"/>
    <s v="China"/>
    <s v="유진통상"/>
    <s v="녹용(건조)"/>
    <s v="DRIED RED DEER VELVET ANTLER"/>
    <s v="녹용(건조)"/>
    <x v="15"/>
    <d v="2026-03-11T00:00:00"/>
    <s v="-"/>
    <s v="뉴질랜드"/>
    <s v="중국"/>
  </r>
  <r>
    <x v="0"/>
    <x v="4"/>
    <s v="20"/>
    <x v="1"/>
    <x v="1"/>
    <x v="0"/>
    <s v="New Zealand"/>
    <s v="주식회사 이룡제약"/>
    <s v="생녹용(냉동)"/>
    <s v="FROZEN DEER VELVET"/>
    <s v="생녹용(냉동)"/>
    <x v="11"/>
    <d v="2026-02-20T00:00:00"/>
    <s v="-"/>
    <s v="뉴질랜드"/>
    <s v="뉴질랜드"/>
  </r>
  <r>
    <x v="0"/>
    <x v="4"/>
    <s v="05"/>
    <x v="9"/>
    <x v="1"/>
    <x v="0"/>
    <s v="New Zealand"/>
    <s v="화용제약"/>
    <s v="생녹용(냉동)"/>
    <s v="FROZEN DEER HORN"/>
    <s v="생녹용(냉동)"/>
    <x v="10"/>
    <d v="2026-02-05T00:00:00"/>
    <s v="-"/>
    <s v="뉴질랜드"/>
    <s v="뉴질랜드"/>
  </r>
  <r>
    <x v="0"/>
    <x v="5"/>
    <s v="27"/>
    <x v="3"/>
    <x v="0"/>
    <x v="0"/>
    <s v="China"/>
    <s v="(주)케이앤씨디어트레이드"/>
    <s v="녹용(건조)"/>
    <s v="DRIED RED DEER VELVET ANTLER"/>
    <s v="녹용(건조)"/>
    <x v="7"/>
    <d v="2026-01-27T00:00:00"/>
    <s v="-"/>
    <s v="뉴질랜드"/>
    <s v="중국"/>
  </r>
  <r>
    <x v="0"/>
    <x v="5"/>
    <s v="15"/>
    <x v="4"/>
    <x v="1"/>
    <x v="0"/>
    <s v="New Zealand"/>
    <s v="와이더블유 인터내셔날"/>
    <s v="냉동녹용"/>
    <s v="FROZEN WHOLE DEER VELVET ANTLER"/>
    <s v="생녹용(냉동)"/>
    <x v="5"/>
    <d v="2026-01-15T00:00:00"/>
    <s v="-"/>
    <s v="뉴질랜드"/>
    <s v="뉴질랜드"/>
  </r>
  <r>
    <x v="0"/>
    <x v="5"/>
    <s v="09"/>
    <x v="13"/>
    <x v="0"/>
    <x v="2"/>
    <s v="Russia"/>
    <s v="건향제약주식회사"/>
    <s v="녹용(건조)"/>
    <s v="DEER HORNS VELVET ANTLER"/>
    <s v="녹용(건조)"/>
    <x v="16"/>
    <d v="2026-01-09T00:00:00"/>
    <s v="-"/>
    <s v="러시아"/>
    <s v="러시아"/>
  </r>
  <r>
    <x v="0"/>
    <x v="5"/>
    <s v="09"/>
    <x v="10"/>
    <x v="1"/>
    <x v="0"/>
    <s v="New Zealand"/>
    <s v="(주)바이오닷"/>
    <s v="생녹용"/>
    <s v="FROZEN RED DEER VELVET ANTLER"/>
    <s v="생녹용(냉동)"/>
    <x v="13"/>
    <d v="2026-01-09T00:00:00"/>
    <s v="2025-12-09 ~ 2028-12-09"/>
    <s v="뉴질랜드"/>
    <s v="뉴질랜드"/>
  </r>
  <r>
    <x v="1"/>
    <x v="6"/>
    <s v="15"/>
    <x v="9"/>
    <x v="0"/>
    <x v="0"/>
    <s v="China"/>
    <s v="화용제약"/>
    <s v="녹용"/>
    <s v="DEER HORN"/>
    <s v="녹용(건조)"/>
    <x v="17"/>
    <d v="2025-12-15T00:00:00"/>
    <s v="-"/>
    <s v="뉴질랜드"/>
    <s v="중국"/>
  </r>
  <r>
    <x v="1"/>
    <x v="6"/>
    <s v="15"/>
    <x v="14"/>
    <x v="0"/>
    <x v="0"/>
    <s v="China"/>
    <s v="(주)용보제약"/>
    <s v="녹용(건조)"/>
    <s v="DRIED RED DEER VELVET ANTLER"/>
    <s v="녹용(건조)"/>
    <x v="8"/>
    <d v="2025-12-15T00:00:00"/>
    <s v="-"/>
    <s v="뉴질랜드"/>
    <s v="중국"/>
  </r>
  <r>
    <x v="1"/>
    <x v="6"/>
    <s v="10"/>
    <x v="9"/>
    <x v="1"/>
    <x v="0"/>
    <s v="New Zealand"/>
    <s v="화용제약"/>
    <s v="생녹용(냉동)"/>
    <s v="FROZEN DEER HORN"/>
    <s v="생녹용(냉동)"/>
    <x v="10"/>
    <d v="2025-12-10T00:00:00"/>
    <s v="-"/>
    <s v="뉴질랜드"/>
    <s v="뉴질랜드"/>
  </r>
  <r>
    <x v="1"/>
    <x v="6"/>
    <s v="10"/>
    <x v="3"/>
    <x v="1"/>
    <x v="0"/>
    <s v="New Zealand"/>
    <s v="(주)케이앤씨디어트레이드"/>
    <s v="생녹용(냉동)"/>
    <s v="FROZEN RED DEER VELVET ANTLER"/>
    <s v="생녹용(냉동)"/>
    <x v="12"/>
    <d v="2025-12-10T00:00:00"/>
    <s v="-"/>
    <s v="뉴질랜드"/>
    <s v="뉴질랜드"/>
  </r>
  <r>
    <x v="1"/>
    <x v="6"/>
    <s v="08"/>
    <x v="12"/>
    <x v="0"/>
    <x v="0"/>
    <s v="China"/>
    <s v="유진통상"/>
    <s v="녹용(건조)"/>
    <s v="DEER HORNS VELVET ANTLER"/>
    <s v="녹용(건조)"/>
    <x v="15"/>
    <d v="2025-12-08T00:00:00"/>
    <s v="-"/>
    <s v="뉴질랜드"/>
    <s v="중국"/>
  </r>
  <r>
    <x v="1"/>
    <x v="6"/>
    <s v="04"/>
    <x v="15"/>
    <x v="0"/>
    <x v="2"/>
    <s v="Russia"/>
    <s v="조은생약"/>
    <s v="녹용"/>
    <s v="DEER HORN"/>
    <s v="녹용(건조)"/>
    <x v="18"/>
    <d v="2025-12-04T00:00:00"/>
    <s v="-"/>
    <s v="러시아"/>
    <s v="러시아"/>
  </r>
  <r>
    <x v="1"/>
    <x v="7"/>
    <s v="28"/>
    <x v="7"/>
    <x v="0"/>
    <x v="0"/>
    <s v="China"/>
    <s v="(주)우성생약"/>
    <s v="녹용(건조)"/>
    <s v="DRIED RED DEER VELVET ANTLER"/>
    <s v="녹용(건조)"/>
    <x v="8"/>
    <d v="2025-11-28T00:00:00"/>
    <s v="-"/>
    <s v="뉴질랜드"/>
    <s v="중국"/>
  </r>
  <r>
    <x v="1"/>
    <x v="7"/>
    <s v="20"/>
    <x v="5"/>
    <x v="0"/>
    <x v="0"/>
    <s v="China"/>
    <s v="온바이오"/>
    <s v="녹용(건조)"/>
    <s v="DRIED RED DEER VELVET ANTLER"/>
    <s v="녹용(건조)"/>
    <x v="17"/>
    <d v="2025-11-20T00:00:00"/>
    <s v="-"/>
    <s v="뉴질랜드"/>
    <s v="중국"/>
  </r>
  <r>
    <x v="1"/>
    <x v="7"/>
    <s v="14"/>
    <x v="1"/>
    <x v="1"/>
    <x v="0"/>
    <s v="New Zealand"/>
    <s v="주식회사 이룡제약"/>
    <s v="생녹용(냉동)"/>
    <s v="FROZEN DEER HORN"/>
    <s v="생녹용(냉동)"/>
    <x v="1"/>
    <d v="2025-11-14T00:00:00"/>
    <s v="-"/>
    <s v="뉴질랜드"/>
    <s v="뉴질랜드"/>
  </r>
  <r>
    <x v="1"/>
    <x v="7"/>
    <s v="11"/>
    <x v="16"/>
    <x v="0"/>
    <x v="2"/>
    <s v="Russia"/>
    <s v="(주)대원알디티"/>
    <s v="녹용(건조)"/>
    <s v="DEER HORNS VELVET ANTLER"/>
    <s v="녹용(건조)"/>
    <x v="19"/>
    <d v="2025-11-11T00:00:00"/>
    <s v="-"/>
    <s v="러시아"/>
    <s v="러시아"/>
  </r>
  <r>
    <x v="1"/>
    <x v="7"/>
    <s v="11"/>
    <x v="17"/>
    <x v="0"/>
    <x v="2"/>
    <s v="Russia"/>
    <s v="흥수녹용"/>
    <s v="녹용(건조)"/>
    <s v="MARAL DEER HORNS"/>
    <s v="녹용(건조)"/>
    <x v="19"/>
    <d v="2025-11-11T00:00:00"/>
    <s v="-"/>
    <s v="러시아"/>
    <s v="러시아"/>
  </r>
  <r>
    <x v="1"/>
    <x v="8"/>
    <s v="23"/>
    <x v="1"/>
    <x v="0"/>
    <x v="0"/>
    <s v="China"/>
    <s v="주식회사 이룡제약"/>
    <s v="녹용"/>
    <s v="DEER HORN"/>
    <s v="녹용(건조)"/>
    <x v="3"/>
    <d v="2025-10-23T00:00:00"/>
    <s v="2025-10-09 ~ "/>
    <s v="뉴질랜드"/>
    <s v="중국"/>
  </r>
  <r>
    <x v="1"/>
    <x v="8"/>
    <s v="23"/>
    <x v="3"/>
    <x v="1"/>
    <x v="0"/>
    <s v="New Zealand"/>
    <s v="(주)케이앤씨디어트레이드"/>
    <s v="생녹용"/>
    <s v="FROZEN RED DEER VELVET ANTLER"/>
    <s v="생녹용(냉동)"/>
    <x v="1"/>
    <d v="2025-10-23T00:00:00"/>
    <s v="2025-09-08 ~ "/>
    <s v="뉴질랜드"/>
    <s v="뉴질랜드"/>
  </r>
  <r>
    <x v="1"/>
    <x v="9"/>
    <s v="23"/>
    <x v="11"/>
    <x v="0"/>
    <x v="0"/>
    <s v="New Zealand"/>
    <s v="(주)한국인삼공사"/>
    <s v="녹용(건조)"/>
    <s v="DRIED RED DEER VELVET ANTLER"/>
    <s v="녹용(건조)"/>
    <x v="14"/>
    <s v="2025-09-23"/>
    <s v="-"/>
    <s v="뉴질랜드"/>
    <s v="뉴질랜드"/>
  </r>
  <r>
    <x v="1"/>
    <x v="9"/>
    <s v="23"/>
    <x v="5"/>
    <x v="0"/>
    <x v="0"/>
    <s v="China"/>
    <s v="온바이오"/>
    <s v="녹용(건조)"/>
    <s v="DRIED RED DEER VELVET ANTLER"/>
    <s v="녹용(건조)"/>
    <x v="7"/>
    <s v="2025-09-23"/>
    <s v="-"/>
    <s v="뉴질랜드"/>
    <s v="중국"/>
  </r>
  <r>
    <x v="1"/>
    <x v="9"/>
    <s v="09"/>
    <x v="11"/>
    <x v="0"/>
    <x v="0"/>
    <s v="New Zealand"/>
    <s v="(주)한국인삼공사"/>
    <s v="녹용(건조)"/>
    <s v="DRIED RED DEER VELVET ANTLER"/>
    <s v="녹용(건조)"/>
    <x v="1"/>
    <s v="2025-09-09"/>
    <s v="-"/>
    <s v="뉴질랜드"/>
    <s v="뉴질랜드"/>
  </r>
  <r>
    <x v="1"/>
    <x v="9"/>
    <s v="02"/>
    <x v="18"/>
    <x v="0"/>
    <x v="0"/>
    <s v="China"/>
    <s v="향나바이오 주식회사"/>
    <s v="녹용"/>
    <s v="DEER HORN"/>
    <s v="녹용(건조)"/>
    <x v="17"/>
    <s v="2025-09-02"/>
    <s v="-"/>
    <s v="뉴질랜드"/>
    <s v="중국"/>
  </r>
  <r>
    <x v="1"/>
    <x v="10"/>
    <s v="29"/>
    <x v="12"/>
    <x v="0"/>
    <x v="0"/>
    <s v="China"/>
    <s v="유진통상"/>
    <s v="녹용(건조)"/>
    <s v="DEER HORNS VELVET ANTLER"/>
    <s v="녹용(건조)"/>
    <x v="15"/>
    <s v="2025-08-29"/>
    <s v="-"/>
    <s v="뉴질랜드"/>
    <s v="중국"/>
  </r>
  <r>
    <x v="1"/>
    <x v="10"/>
    <s v="27"/>
    <x v="19"/>
    <x v="0"/>
    <x v="2"/>
    <s v="Russia"/>
    <s v="시베리안앤틀러팜스 주식회사"/>
    <s v="녹용(건조)"/>
    <s v="DEER HORN"/>
    <s v="녹용(건조)"/>
    <x v="20"/>
    <s v="2025-08-27"/>
    <s v="-"/>
    <s v="러시아"/>
    <s v="러시아"/>
  </r>
  <r>
    <x v="1"/>
    <x v="11"/>
    <s v="01"/>
    <x v="6"/>
    <x v="0"/>
    <x v="0"/>
    <s v="China"/>
    <s v="(주)온누리바이오생약"/>
    <s v="녹용"/>
    <s v="DEER HORN"/>
    <s v="녹용(건조)"/>
    <x v="17"/>
    <s v="2025-07-01"/>
    <s v="-"/>
    <s v="뉴질랜드"/>
    <s v="중국"/>
  </r>
  <r>
    <x v="1"/>
    <x v="0"/>
    <s v="26"/>
    <x v="9"/>
    <x v="1"/>
    <x v="0"/>
    <s v="New Zealand"/>
    <s v="화용제약"/>
    <s v="생녹용(냉동)"/>
    <s v="FROZEN DEER HORN"/>
    <s v="생녹용(냉동)"/>
    <x v="10"/>
    <s v="2025-06-26"/>
    <s v="-"/>
    <s v="뉴질랜드"/>
    <s v="뉴질랜드"/>
  </r>
  <r>
    <x v="1"/>
    <x v="0"/>
    <s v="04"/>
    <x v="3"/>
    <x v="1"/>
    <x v="0"/>
    <s v="New Zealand"/>
    <s v="(주)케이앤씨디어트레이드"/>
    <s v="생녹용(냉동)"/>
    <s v="FROZEN RED DEER VELVET ANTLER"/>
    <s v="생녹용(냉동)"/>
    <x v="1"/>
    <s v="2025-06-04"/>
    <s v="-"/>
    <s v="뉴질랜드"/>
    <s v="뉴질랜드"/>
  </r>
  <r>
    <x v="1"/>
    <x v="0"/>
    <s v="04"/>
    <x v="4"/>
    <x v="1"/>
    <x v="0"/>
    <s v="New Zealand"/>
    <s v="와이더블유 인터내셔날"/>
    <s v="냉동녹용"/>
    <s v="FROZEN RED DEER VELVET ANTLER(WHOLE)"/>
    <s v="생녹용(냉동)"/>
    <x v="21"/>
    <s v="2025-06-04"/>
    <s v="-"/>
    <s v="뉴질랜드"/>
    <s v="뉴질랜드"/>
  </r>
  <r>
    <x v="1"/>
    <x v="1"/>
    <s v="27"/>
    <x v="6"/>
    <x v="0"/>
    <x v="2"/>
    <s v="Russia"/>
    <s v="(주)온누리바이오생약"/>
    <s v="녹용"/>
    <s v="DEER HORN"/>
    <s v="녹용(건조)"/>
    <x v="22"/>
    <s v="2025-05-27"/>
    <s v="-"/>
    <s v="러시아"/>
    <s v="러시아"/>
  </r>
  <r>
    <x v="1"/>
    <x v="1"/>
    <s v="22"/>
    <x v="6"/>
    <x v="1"/>
    <x v="0"/>
    <s v="New Zealand"/>
    <s v="(주)온누리바이오생약"/>
    <s v="생녹용(냉동)"/>
    <s v="FROZEN DEER HORN"/>
    <s v="생녹용(냉동)"/>
    <x v="1"/>
    <s v="2025-05-22"/>
    <s v="-"/>
    <s v="뉴질랜드"/>
    <s v="뉴질랜드"/>
  </r>
  <r>
    <x v="1"/>
    <x v="1"/>
    <s v="01"/>
    <x v="3"/>
    <x v="1"/>
    <x v="0"/>
    <s v="New Zealand"/>
    <s v="(주)케이앤씨디어트레이드"/>
    <s v="생녹용(냉동)"/>
    <s v="FROZEN RED DEER VELVET ANTLER"/>
    <s v="생녹용(냉동)"/>
    <x v="5"/>
    <s v="2025-05-01"/>
    <s v="-"/>
    <s v="뉴질랜드"/>
    <s v="뉴질랜드"/>
  </r>
  <r>
    <x v="1"/>
    <x v="1"/>
    <s v="01"/>
    <x v="9"/>
    <x v="1"/>
    <x v="0"/>
    <s v="New Zealand"/>
    <s v="화용제약"/>
    <s v="생녹용(냉동)"/>
    <s v="FROZEN DEER HORN"/>
    <s v="생녹용(냉동)"/>
    <x v="10"/>
    <s v="2025-05-01"/>
    <s v="-"/>
    <s v="뉴질랜드"/>
    <s v="뉴질랜드"/>
  </r>
  <r>
    <x v="1"/>
    <x v="2"/>
    <s v="25"/>
    <x v="3"/>
    <x v="1"/>
    <x v="0"/>
    <s v="New Zealand"/>
    <s v="(주)케이앤씨디어트레이드"/>
    <s v="생녹용"/>
    <s v="FROZEN RED DEER VELVET ANTLER"/>
    <s v="생녹용(냉동)"/>
    <x v="12"/>
    <s v="2025-04-25"/>
    <s v="2025-02-20 ~ "/>
    <s v="뉴질랜드"/>
    <s v="뉴질랜드"/>
  </r>
  <r>
    <x v="1"/>
    <x v="2"/>
    <s v="18"/>
    <x v="0"/>
    <x v="0"/>
    <x v="0"/>
    <s v="New Zealand"/>
    <s v="(주)천호엔케어"/>
    <s v="녹용"/>
    <s v="DEER HORN"/>
    <s v="녹용(건조)"/>
    <x v="0"/>
    <s v="2025-04-18"/>
    <s v="2025-03-24 ~ "/>
    <s v="뉴질랜드"/>
    <s v="뉴질랜드"/>
  </r>
  <r>
    <x v="1"/>
    <x v="2"/>
    <s v="11"/>
    <x v="12"/>
    <x v="0"/>
    <x v="0"/>
    <s v="China"/>
    <s v="유진통상"/>
    <s v="녹용(건조)"/>
    <s v="DEER HORNS VELVET ANTLER"/>
    <s v="녹용(건조)"/>
    <x v="3"/>
    <s v="2025-04-11"/>
    <s v="-"/>
    <s v="뉴질랜드"/>
    <s v="중국"/>
  </r>
  <r>
    <x v="1"/>
    <x v="2"/>
    <s v="02"/>
    <x v="10"/>
    <x v="1"/>
    <x v="0"/>
    <s v="New Zealand"/>
    <s v="(주)바이오닷"/>
    <s v="생녹용"/>
    <s v="FROZEN RED DEER VELVET ANTLER"/>
    <s v="생녹용(냉동)"/>
    <x v="11"/>
    <s v="2025-04-02"/>
    <s v="2025-02-10 ~ "/>
    <s v="뉴질랜드"/>
    <s v="뉴질랜드"/>
  </r>
  <r>
    <x v="1"/>
    <x v="3"/>
    <s v="28"/>
    <x v="2"/>
    <x v="0"/>
    <x v="0"/>
    <s v="New Zealand"/>
    <s v="주식회사 비봉허브"/>
    <s v="녹용"/>
    <s v="DEER HORN"/>
    <s v="녹용(건조)"/>
    <x v="0"/>
    <s v="2025-03-28"/>
    <s v="2025-03-06 ~ "/>
    <s v="뉴질랜드"/>
    <s v="뉴질랜드"/>
  </r>
  <r>
    <x v="1"/>
    <x v="3"/>
    <s v="26"/>
    <x v="1"/>
    <x v="1"/>
    <x v="0"/>
    <s v="New Zealand"/>
    <s v="주식회사 이룡제약"/>
    <s v="생녹용"/>
    <s v="FROZEN RED DEER VELVET ANTLER"/>
    <s v="생녹용(냉동)"/>
    <x v="1"/>
    <s v="2025-03-26"/>
    <s v="-"/>
    <s v="뉴질랜드"/>
    <s v="뉴질랜드"/>
  </r>
  <r>
    <x v="1"/>
    <x v="3"/>
    <s v="17"/>
    <x v="3"/>
    <x v="1"/>
    <x v="0"/>
    <s v="New Zealand"/>
    <s v="(주)케이앤씨디어트레이드"/>
    <s v="생녹용(냉동)"/>
    <s v="FROZEN RED DEER VELVET ANTLER"/>
    <s v="생녹용(냉동)"/>
    <x v="5"/>
    <s v="2025-03-17"/>
    <s v="-"/>
    <s v="뉴질랜드"/>
    <s v="뉴질랜드"/>
  </r>
  <r>
    <x v="1"/>
    <x v="3"/>
    <s v="13"/>
    <x v="4"/>
    <x v="1"/>
    <x v="0"/>
    <s v="New Zealand"/>
    <s v="와이더블유 인터내셔날"/>
    <s v="냉동녹용"/>
    <s v="FROZEN RED DEER VELVET ANTLER(WHOLE)"/>
    <s v="생녹용(냉동)"/>
    <x v="21"/>
    <s v="2025-03-13"/>
    <s v="-"/>
    <s v="뉴질랜드"/>
    <s v="뉴질랜드"/>
  </r>
  <r>
    <x v="1"/>
    <x v="3"/>
    <s v="12"/>
    <x v="8"/>
    <x v="1"/>
    <x v="0"/>
    <s v="New Zealand"/>
    <s v="주식회사 가온제약"/>
    <s v="생녹용"/>
    <s v="FROZEN RED DEER VELVET ANTLER"/>
    <s v="생녹용(냉동)"/>
    <x v="12"/>
    <s v="2025-03-12"/>
    <s v="2025-01-30 ~ "/>
    <s v="뉴질랜드"/>
    <s v="뉴질랜드"/>
  </r>
  <r>
    <x v="1"/>
    <x v="3"/>
    <s v="10"/>
    <x v="20"/>
    <x v="0"/>
    <x v="0"/>
    <s v="China"/>
    <s v="대호제약주식회사"/>
    <s v="녹용(건조)"/>
    <s v="DRIED RED DEER VELVET ANTLER"/>
    <s v="녹용(건조)"/>
    <x v="23"/>
    <s v="2025-03-10"/>
    <s v="-"/>
    <s v="뉴질랜드"/>
    <s v="중국"/>
  </r>
  <r>
    <x v="1"/>
    <x v="3"/>
    <s v="07"/>
    <x v="3"/>
    <x v="1"/>
    <x v="0"/>
    <s v="New Zealand"/>
    <s v="(주)케이앤씨디어트레이드"/>
    <s v="생녹용(냉동)"/>
    <s v="FROZEN RED DEER VELVET ANTLER"/>
    <s v="생녹용(냉동)"/>
    <x v="9"/>
    <s v="2025-03-07"/>
    <s v="-"/>
    <s v="뉴질랜드"/>
    <s v="뉴질랜드"/>
  </r>
  <r>
    <x v="1"/>
    <x v="3"/>
    <s v="05"/>
    <x v="21"/>
    <x v="1"/>
    <x v="0"/>
    <s v="New Zealand"/>
    <s v="록원"/>
    <s v="냉동녹용"/>
    <s v="FROZEN RED DEER VELVET ANTLER(WHOLE)"/>
    <s v="생녹용(냉동)"/>
    <x v="0"/>
    <s v="2025-03-05"/>
    <s v="-"/>
    <s v="뉴질랜드"/>
    <s v="뉴질랜드"/>
  </r>
  <r>
    <x v="1"/>
    <x v="3"/>
    <s v="04"/>
    <x v="9"/>
    <x v="1"/>
    <x v="0"/>
    <s v="New Zealand"/>
    <s v="화용제약"/>
    <s v="생녹용(냉동)"/>
    <s v="FROZEN DEER HORN"/>
    <s v="생녹용(냉동)"/>
    <x v="10"/>
    <s v="2025-03-04"/>
    <s v="-"/>
    <s v="뉴질랜드"/>
    <s v="뉴질랜드"/>
  </r>
  <r>
    <x v="1"/>
    <x v="4"/>
    <s v="28"/>
    <x v="3"/>
    <x v="1"/>
    <x v="0"/>
    <s v="New Zealand"/>
    <s v="(주)케이앤씨디어트레이드"/>
    <s v="생녹용(냉동)"/>
    <s v="FROZEN RED DEER VELVET ANTLER"/>
    <s v="생녹용(냉동)"/>
    <x v="0"/>
    <s v="2025-02-28"/>
    <s v="-"/>
    <s v="뉴질랜드"/>
    <s v="뉴질랜드"/>
  </r>
  <r>
    <x v="1"/>
    <x v="4"/>
    <s v="26"/>
    <x v="22"/>
    <x v="0"/>
    <x v="0"/>
    <s v="New Zealand"/>
    <s v="태안약업(주)"/>
    <s v="녹용"/>
    <s v="DRIED RED DEER VELVET ANTLER(WHOLE)"/>
    <s v="녹용(건조)"/>
    <x v="5"/>
    <s v="2025-02-26"/>
    <s v="-"/>
    <s v="뉴질랜드"/>
    <s v="뉴질랜드"/>
  </r>
  <r>
    <x v="1"/>
    <x v="4"/>
    <s v="25"/>
    <x v="12"/>
    <x v="0"/>
    <x v="2"/>
    <s v="Russia"/>
    <s v="유진통상"/>
    <s v="녹용(건조)"/>
    <s v="DEER HORNS VELVET ANTLER"/>
    <s v="녹용(건조)"/>
    <x v="24"/>
    <s v="2025-02-25"/>
    <s v="-"/>
    <s v="러시아"/>
    <s v="러시아"/>
  </r>
  <r>
    <x v="1"/>
    <x v="4"/>
    <s v="18"/>
    <x v="6"/>
    <x v="0"/>
    <x v="2"/>
    <s v="Russia"/>
    <s v="(주)온누리바이오생약"/>
    <s v="녹용"/>
    <s v="DEER HORN"/>
    <s v="녹용(건조)"/>
    <x v="20"/>
    <s v="2025-02-18"/>
    <s v="-"/>
    <s v="러시아"/>
    <s v="러시아"/>
  </r>
  <r>
    <x v="1"/>
    <x v="4"/>
    <s v="18"/>
    <x v="18"/>
    <x v="0"/>
    <x v="2"/>
    <s v="Russia"/>
    <s v="향나바이오 주식회사"/>
    <s v="녹용"/>
    <s v="DEER HORN"/>
    <s v="녹용(건조)"/>
    <x v="20"/>
    <s v="2025-02-18"/>
    <s v="-"/>
    <s v="러시아"/>
    <s v="러시아"/>
  </r>
  <r>
    <x v="1"/>
    <x v="4"/>
    <s v="18"/>
    <x v="16"/>
    <x v="0"/>
    <x v="2"/>
    <s v="Russia"/>
    <s v="(주)대원알디티"/>
    <s v="녹용(건조)"/>
    <s v="DEER HORNS VELVET ANTLER"/>
    <s v="녹용(건조)"/>
    <x v="19"/>
    <s v="2025-02-18"/>
    <s v="-"/>
    <s v="러시아"/>
    <s v="러시아"/>
  </r>
  <r>
    <x v="1"/>
    <x v="4"/>
    <s v="14"/>
    <x v="4"/>
    <x v="1"/>
    <x v="0"/>
    <s v="New Zealand"/>
    <s v="와이더블유 인터내셔날"/>
    <s v="냉동녹용"/>
    <s v="FROZEN RED DEER VELVET ANTLER(WHOLE)"/>
    <s v="생녹용(냉동)"/>
    <x v="21"/>
    <s v="2025-02-14"/>
    <s v="-"/>
    <s v="뉴질랜드"/>
    <s v="뉴질랜드"/>
  </r>
  <r>
    <x v="1"/>
    <x v="5"/>
    <s v="24"/>
    <x v="23"/>
    <x v="1"/>
    <x v="0"/>
    <s v="New Zealand"/>
    <s v="주식회사 유한건강생활"/>
    <s v="녹용"/>
    <s v="FROZEN WHOLE STICK VELVET"/>
    <s v="생녹용(냉동)"/>
    <x v="25"/>
    <s v="2025-01-24"/>
    <s v="-"/>
    <s v="뉴질랜드"/>
    <s v="뉴질랜드"/>
  </r>
  <r>
    <x v="1"/>
    <x v="5"/>
    <s v="15"/>
    <x v="21"/>
    <x v="1"/>
    <x v="0"/>
    <s v="New Zealand"/>
    <s v="록원"/>
    <s v="냉동녹용"/>
    <s v="FROZEN RED DEER VELVET ANTLER(WHOLE)"/>
    <s v="생녹용(냉동)"/>
    <x v="0"/>
    <s v="2025-01-15"/>
    <s v="-"/>
    <s v="뉴질랜드"/>
    <s v="뉴질랜드"/>
  </r>
  <r>
    <x v="1"/>
    <x v="5"/>
    <s v="09"/>
    <x v="24"/>
    <x v="1"/>
    <x v="0"/>
    <s v="New Zealand"/>
    <s v="(주)진수녹용"/>
    <s v="생녹용"/>
    <s v="FROZEN RED DEER VELVET ANTLER"/>
    <s v="생녹용(냉동)"/>
    <x v="12"/>
    <s v="2025-01-09"/>
    <s v="2024-12-10 ~ "/>
    <s v="뉴질랜드"/>
    <s v="뉴질랜드"/>
  </r>
  <r>
    <x v="2"/>
    <x v="6"/>
    <s v="27"/>
    <x v="3"/>
    <x v="1"/>
    <x v="0"/>
    <s v="New Zealand"/>
    <s v="(주)케이앤씨디어트레이드"/>
    <s v="생녹용(냉동)"/>
    <s v="FROZEN RED DEER VELVET ANTLER"/>
    <s v="생녹용(냉동)"/>
    <x v="0"/>
    <s v="2024-12-27"/>
    <s v="-"/>
    <s v="뉴질랜드"/>
    <s v="뉴질랜드"/>
  </r>
  <r>
    <x v="2"/>
    <x v="6"/>
    <s v="19"/>
    <x v="3"/>
    <x v="1"/>
    <x v="0"/>
    <s v="New Zealand"/>
    <s v="(주)케이앤씨디어트레이드"/>
    <s v="생녹용(냉동)"/>
    <s v="FROZEN RED DEER VELVET ANTLER"/>
    <s v="생녹용(냉동)"/>
    <x v="5"/>
    <s v="2024-12-19"/>
    <s v="-"/>
    <s v="뉴질랜드"/>
    <s v="뉴질랜드"/>
  </r>
  <r>
    <x v="2"/>
    <x v="6"/>
    <s v="12"/>
    <x v="9"/>
    <x v="1"/>
    <x v="0"/>
    <s v="New Zealand"/>
    <s v="화용제약"/>
    <s v="생녹용(냉동)"/>
    <s v="FROZEN DEER HORN"/>
    <s v="생녹용(냉동)"/>
    <x v="10"/>
    <s v="2024-12-12"/>
    <s v="-"/>
    <s v="뉴질랜드"/>
    <s v="뉴질랜드"/>
  </r>
  <r>
    <x v="2"/>
    <x v="6"/>
    <s v="09"/>
    <x v="7"/>
    <x v="0"/>
    <x v="0"/>
    <s v="China"/>
    <s v="(주)우성생약"/>
    <s v="녹용(건조)"/>
    <s v="DRIED RED DEER VELVET ANTLER"/>
    <s v="녹용(건조)"/>
    <x v="8"/>
    <s v="2024-12-09"/>
    <s v="-"/>
    <s v="뉴질랜드"/>
    <s v="중국"/>
  </r>
  <r>
    <x v="2"/>
    <x v="6"/>
    <s v="09"/>
    <x v="25"/>
    <x v="0"/>
    <x v="0"/>
    <s v="China"/>
    <s v="한스약품주식회사"/>
    <s v="건조녹용"/>
    <s v="DRIED REDDEER VELVET ANTLER"/>
    <s v="녹용(건조)"/>
    <x v="26"/>
    <s v="2024-12-09"/>
    <s v="-"/>
    <s v="뉴질랜드"/>
    <s v="중국"/>
  </r>
  <r>
    <x v="2"/>
    <x v="6"/>
    <s v="04"/>
    <x v="3"/>
    <x v="1"/>
    <x v="0"/>
    <s v="New Zealand"/>
    <s v="(주)케이앤씨디어트레이드"/>
    <s v="생녹용(냉동)"/>
    <s v="FROZEN RED DEER VELVET ANTLER"/>
    <s v="생녹용(냉동)"/>
    <x v="9"/>
    <s v="2024-12-04"/>
    <s v="-"/>
    <s v="뉴질랜드"/>
    <s v="뉴질랜드"/>
  </r>
  <r>
    <x v="2"/>
    <x v="7"/>
    <s v="21"/>
    <x v="6"/>
    <x v="1"/>
    <x v="0"/>
    <s v="New Zealand"/>
    <s v="(주)온누리바이오생약"/>
    <s v="생녹용(냉동)"/>
    <s v="FROZEN DEER HORN"/>
    <s v="생녹용(냉동)"/>
    <x v="0"/>
    <s v="2024-11-21"/>
    <s v="2024-05-15 ~ "/>
    <s v="뉴질랜드"/>
    <s v="뉴질랜드"/>
  </r>
  <r>
    <x v="2"/>
    <x v="7"/>
    <s v="20"/>
    <x v="20"/>
    <x v="0"/>
    <x v="0"/>
    <s v="China"/>
    <s v="대호제약주식회사"/>
    <s v="녹용(건조)"/>
    <s v="DRIED RED DEER VELVET ANTLER"/>
    <s v="녹용(건조)"/>
    <x v="23"/>
    <s v="2024-11-20"/>
    <s v="-"/>
    <s v="뉴질랜드"/>
    <s v="중국"/>
  </r>
  <r>
    <x v="2"/>
    <x v="7"/>
    <s v="04"/>
    <x v="16"/>
    <x v="0"/>
    <x v="2"/>
    <s v="Russia"/>
    <s v="(주)대원알디티"/>
    <s v="녹용(건조)"/>
    <s v="DEER HORNS VELVET ANTLER"/>
    <s v="녹용(건조)"/>
    <x v="19"/>
    <s v="2024-11-04"/>
    <s v="-"/>
    <s v="러시아"/>
    <s v="러시아"/>
  </r>
  <r>
    <x v="2"/>
    <x v="7"/>
    <s v="04"/>
    <x v="17"/>
    <x v="0"/>
    <x v="2"/>
    <s v="Russia"/>
    <s v="흥수녹용"/>
    <s v="녹용(건조)"/>
    <s v="DEER HORNS VELVET ANTLER"/>
    <s v="녹용(건조)"/>
    <x v="27"/>
    <s v="2024-11-04"/>
    <s v="-"/>
    <s v="러시아"/>
    <s v="러시아"/>
  </r>
  <r>
    <x v="2"/>
    <x v="7"/>
    <s v="01"/>
    <x v="23"/>
    <x v="2"/>
    <x v="0"/>
    <s v="New Zealand"/>
    <s v="주식회사 유한건강생활"/>
    <s v="녹용분말"/>
    <s v="DRIED DEER VELVET POWDER"/>
    <s v="기타 동물성가공식품"/>
    <x v="28"/>
    <s v="2024-11-01"/>
    <s v="2024-07-23 ~ 2029-07-23"/>
    <s v="뉴질랜드"/>
    <s v="뉴질랜드"/>
  </r>
  <r>
    <x v="2"/>
    <x v="8"/>
    <s v="04"/>
    <x v="25"/>
    <x v="0"/>
    <x v="1"/>
    <s v="China"/>
    <s v="한스약품주식회사"/>
    <s v="건조녹용"/>
    <s v="DRIED REDDEER VELVET ANTLER(WHOLE)"/>
    <s v="녹용(건조)"/>
    <x v="29"/>
    <s v="2024-10-04"/>
    <s v="-"/>
    <s v="중국"/>
    <s v="중국"/>
  </r>
  <r>
    <x v="2"/>
    <x v="10"/>
    <s v="06"/>
    <x v="9"/>
    <x v="1"/>
    <x v="0"/>
    <s v="New Zealand"/>
    <s v="화용제약"/>
    <s v="생녹용(냉동)"/>
    <s v="FROZEN DEER HORN"/>
    <s v="생녹용(냉동)"/>
    <x v="10"/>
    <s v="2024-08-06"/>
    <s v="-"/>
    <s v="뉴질랜드"/>
    <s v="뉴질랜드"/>
  </r>
  <r>
    <x v="2"/>
    <x v="10"/>
    <s v="06"/>
    <x v="4"/>
    <x v="1"/>
    <x v="0"/>
    <s v="New Zealand"/>
    <s v="와이더블유 인터내셔날"/>
    <s v="냉동녹용"/>
    <s v="FROZEN WHOLE DEER VELVET ANTLER"/>
    <s v="생녹용(냉동)"/>
    <x v="5"/>
    <s v="2024-08-06"/>
    <s v="-"/>
    <s v="뉴질랜드"/>
    <s v="뉴질랜드"/>
  </r>
  <r>
    <x v="2"/>
    <x v="10"/>
    <s v="06"/>
    <x v="4"/>
    <x v="1"/>
    <x v="0"/>
    <s v="New Zealand"/>
    <s v="와이더블유 인터내셔날"/>
    <s v="냉동녹용"/>
    <s v="FROZEN RED DEER VELVET ANTLER(WHOLE)"/>
    <s v="생녹용(냉동)"/>
    <x v="21"/>
    <s v="2024-08-06"/>
    <s v="-"/>
    <s v="뉴질랜드"/>
    <s v="뉴질랜드"/>
  </r>
  <r>
    <x v="2"/>
    <x v="10"/>
    <s v="06"/>
    <x v="9"/>
    <x v="1"/>
    <x v="0"/>
    <s v="New Zealand"/>
    <s v="화용제약"/>
    <s v="생녹용(냉동)"/>
    <s v="FROZEN DEER HORN"/>
    <s v="생녹용(냉동)"/>
    <x v="10"/>
    <s v="2024-08-06"/>
    <s v="-"/>
    <s v="뉴질랜드"/>
    <s v="뉴질랜드"/>
  </r>
  <r>
    <x v="2"/>
    <x v="11"/>
    <s v="26"/>
    <x v="12"/>
    <x v="0"/>
    <x v="0"/>
    <s v="China"/>
    <s v="유진통상"/>
    <s v="건조녹용"/>
    <s v="DRIED RED DEER VELVET ANTLEK"/>
    <s v="녹용(건조)"/>
    <x v="30"/>
    <s v="2024-07-26"/>
    <s v="2024-07-09 ~ "/>
    <s v="뉴질랜드"/>
    <s v="중국"/>
  </r>
  <r>
    <x v="2"/>
    <x v="11"/>
    <s v="17"/>
    <x v="23"/>
    <x v="2"/>
    <x v="0"/>
    <s v="New Zealand"/>
    <s v="주식회사 유한건강생활"/>
    <s v="녹용분말"/>
    <s v="DRIED DEER VELVET POWDER"/>
    <s v="기타 동물성가공식품"/>
    <x v="28"/>
    <s v="2024-07-17"/>
    <s v="2023-08-04 ~ 2028-08-04"/>
    <s v="뉴질랜드"/>
    <s v="뉴질랜드"/>
  </r>
  <r>
    <x v="2"/>
    <x v="11"/>
    <s v="08"/>
    <x v="26"/>
    <x v="0"/>
    <x v="2"/>
    <s v="Russia"/>
    <s v="(주)디에이치지글로벌"/>
    <s v="녹용"/>
    <s v="DEER HORN"/>
    <s v="녹용(건조)"/>
    <x v="31"/>
    <s v="2024-07-08"/>
    <s v="2024-05-29 ~ "/>
    <s v="러시아"/>
    <s v="러시아"/>
  </r>
  <r>
    <x v="2"/>
    <x v="0"/>
    <s v="26"/>
    <x v="12"/>
    <x v="0"/>
    <x v="2"/>
    <s v="Russia"/>
    <s v="유진통상"/>
    <s v="건조녹용"/>
    <s v="DEER HORNS"/>
    <s v="녹용(건조)"/>
    <x v="24"/>
    <d v="2024-06-26T00:00:00"/>
    <s v="2024-06-06 ~ "/>
    <s v="러시아"/>
    <s v="러시아"/>
  </r>
  <r>
    <x v="2"/>
    <x v="0"/>
    <s v="13"/>
    <x v="14"/>
    <x v="0"/>
    <x v="0"/>
    <s v="China"/>
    <s v="(주)용보제약"/>
    <s v="녹용(건조)"/>
    <s v="DRIED RED DEER VELVET ANTLER"/>
    <s v="녹용(건조)"/>
    <x v="8"/>
    <d v="2024-06-13T00:00:00"/>
    <s v="2024-05-20 ~ "/>
    <s v="뉴질랜드"/>
    <s v="중국"/>
  </r>
  <r>
    <x v="2"/>
    <x v="0"/>
    <s v="10"/>
    <x v="3"/>
    <x v="1"/>
    <x v="0"/>
    <s v="New Zealand"/>
    <s v="(주)케이앤씨디어트레이드"/>
    <s v="생녹용"/>
    <s v="FROZEN RED DEER VELVET ANTLER"/>
    <s v="생녹용(냉동)"/>
    <x v="4"/>
    <d v="2024-06-10T00:00:00"/>
    <s v="2024-04-17 ~ "/>
    <s v="뉴질랜드"/>
    <s v="뉴질랜드"/>
  </r>
  <r>
    <x v="2"/>
    <x v="0"/>
    <s v="07"/>
    <x v="7"/>
    <x v="0"/>
    <x v="0"/>
    <s v="China"/>
    <s v="(주)우성생약"/>
    <s v="녹용(건조)"/>
    <s v="DRIED RED DEER VELVET ANTLER"/>
    <s v="녹용(건조)"/>
    <x v="8"/>
    <d v="2024-06-07T00:00:00"/>
    <s v="2024-05-17 ~ "/>
    <s v="뉴질랜드"/>
    <s v="중국"/>
  </r>
  <r>
    <x v="2"/>
    <x v="1"/>
    <s v="29"/>
    <x v="27"/>
    <x v="0"/>
    <x v="2"/>
    <s v="Russia"/>
    <s v="(주)대덕제약"/>
    <s v="녹용"/>
    <s v="DEER HORNS (CERVUS ELAPHUS SIBIRICUS)"/>
    <s v="녹용(건조)"/>
    <x v="19"/>
    <d v="2024-05-29T00:00:00"/>
    <s v="-"/>
    <s v="러시아"/>
    <s v="러시아"/>
  </r>
  <r>
    <x v="2"/>
    <x v="1"/>
    <s v="29"/>
    <x v="28"/>
    <x v="0"/>
    <x v="2"/>
    <s v="Russia"/>
    <s v="명가녹용 주식회사"/>
    <s v="녹용"/>
    <s v="DEER HORNS (CERVUS ELAPHUS SIBIRICUS)"/>
    <s v="녹용(건조)"/>
    <x v="19"/>
    <d v="2024-05-29T00:00:00"/>
    <s v="-"/>
    <s v="러시아"/>
    <s v="러시아"/>
  </r>
  <r>
    <x v="2"/>
    <x v="1"/>
    <s v="24"/>
    <x v="6"/>
    <x v="0"/>
    <x v="0"/>
    <s v="New Zealand"/>
    <s v="(주)온누리바이오생약"/>
    <s v="녹용"/>
    <s v="DEER HORN"/>
    <s v="녹용(건조)"/>
    <x v="0"/>
    <d v="2024-05-24T00:00:00"/>
    <s v="2024-04-18 ~ "/>
    <s v="뉴질랜드"/>
    <s v="뉴질랜드"/>
  </r>
  <r>
    <x v="2"/>
    <x v="1"/>
    <s v="24"/>
    <x v="2"/>
    <x v="0"/>
    <x v="0"/>
    <s v="New Zealand"/>
    <s v="주식회사 비봉허브"/>
    <s v="녹용"/>
    <s v="DEER HORN"/>
    <s v="녹용(건조)"/>
    <x v="0"/>
    <d v="2024-05-24T00:00:00"/>
    <s v="2024-04-03 ~ "/>
    <s v="뉴질랜드"/>
    <s v="뉴질랜드"/>
  </r>
  <r>
    <x v="2"/>
    <x v="1"/>
    <s v="10"/>
    <x v="4"/>
    <x v="1"/>
    <x v="0"/>
    <s v="New Zealand"/>
    <s v="와이더블유 인터내셔날"/>
    <s v="냉동녹용"/>
    <s v="FROZEN RED DEER VELVET ANTLER(WHOLE)"/>
    <s v="생녹용(냉동)"/>
    <x v="21"/>
    <d v="2024-05-10T00:00:00"/>
    <s v="-"/>
    <s v="뉴질랜드"/>
    <s v="뉴질랜드"/>
  </r>
  <r>
    <x v="2"/>
    <x v="1"/>
    <s v="03"/>
    <x v="21"/>
    <x v="1"/>
    <x v="0"/>
    <s v="New Zealand"/>
    <s v="록원"/>
    <s v="냉동녹용"/>
    <s v="FROZEN RED DEER VELVET ANTLER(WHOLE)"/>
    <s v="생녹용(냉동)"/>
    <x v="0"/>
    <d v="2024-05-03T00:00:00"/>
    <s v="-"/>
    <s v="뉴질랜드"/>
    <s v="뉴질랜드"/>
  </r>
  <r>
    <x v="2"/>
    <x v="1"/>
    <s v="03"/>
    <x v="16"/>
    <x v="0"/>
    <x v="2"/>
    <s v="Russia"/>
    <s v="(주)대원알디티"/>
    <s v="녹용(건조)"/>
    <s v="DEER HORNS VELVET ANTLER"/>
    <s v="녹용(건조)"/>
    <x v="19"/>
    <d v="2024-05-03T00:00:00"/>
    <s v="2024-04-11 ~ "/>
    <s v="러시아"/>
    <s v="러시아"/>
  </r>
  <r>
    <x v="2"/>
    <x v="1"/>
    <s v="03"/>
    <x v="17"/>
    <x v="0"/>
    <x v="2"/>
    <s v="Russia"/>
    <s v="흥수녹용"/>
    <s v="녹용(건조)"/>
    <s v="MARAL DEER HORNS"/>
    <s v="녹용(건조)"/>
    <x v="19"/>
    <d v="2024-05-03T00:00:00"/>
    <s v="2024-04-11 ~ "/>
    <s v="러시아"/>
    <s v="러시아"/>
  </r>
  <r>
    <x v="2"/>
    <x v="1"/>
    <s v="01"/>
    <x v="6"/>
    <x v="0"/>
    <x v="2"/>
    <s v="Russia"/>
    <s v="(주)온누리바이오생약"/>
    <s v="녹용"/>
    <s v="DEER HORN"/>
    <s v="녹용(건조)"/>
    <x v="32"/>
    <d v="2024-05-01T00:00:00"/>
    <s v="2024-03-28 ~ "/>
    <s v="러시아"/>
    <s v="러시아"/>
  </r>
  <r>
    <x v="2"/>
    <x v="1"/>
    <s v="01"/>
    <x v="29"/>
    <x v="0"/>
    <x v="2"/>
    <s v="Russia"/>
    <s v="천지담은 바이오"/>
    <s v="녹용"/>
    <s v="DEER HORN"/>
    <s v="녹용(건조)"/>
    <x v="32"/>
    <d v="2024-05-01T00:00:00"/>
    <s v="2024-03-28 ~ "/>
    <s v="러시아"/>
    <s v="러시아"/>
  </r>
  <r>
    <x v="2"/>
    <x v="2"/>
    <s v="22"/>
    <x v="28"/>
    <x v="0"/>
    <x v="0"/>
    <s v="China"/>
    <s v="명가녹용 주식회사"/>
    <s v="녹용(건조)"/>
    <s v="DRIED RED DEER VELVET ANTLER"/>
    <s v="녹용(건조)"/>
    <x v="8"/>
    <d v="2024-04-22T00:00:00"/>
    <s v="2024-04-01 ~ "/>
    <s v="뉴질랜드"/>
    <s v="중국"/>
  </r>
  <r>
    <x v="2"/>
    <x v="2"/>
    <s v="05"/>
    <x v="18"/>
    <x v="0"/>
    <x v="2"/>
    <s v="Russia"/>
    <s v="향나바이오 주식회사"/>
    <s v="녹용"/>
    <s v="DEER HORN"/>
    <s v="녹용(건조)"/>
    <x v="32"/>
    <d v="2024-04-05T00:00:00"/>
    <s v="2024-02-28 ~ "/>
    <s v="러시아"/>
    <s v="러시아"/>
  </r>
  <r>
    <x v="2"/>
    <x v="3"/>
    <s v="27"/>
    <x v="28"/>
    <x v="0"/>
    <x v="0"/>
    <s v="New Zealand"/>
    <s v="명가녹용 주식회사"/>
    <s v="녹용"/>
    <s v="DRIED RED DEER VELVET ANTLER(WHOLE)"/>
    <s v="녹용(건조)"/>
    <x v="0"/>
    <d v="2024-03-27T00:00:00"/>
    <s v="-"/>
    <s v="뉴질랜드"/>
    <s v="뉴질랜드"/>
  </r>
  <r>
    <x v="2"/>
    <x v="3"/>
    <s v="26"/>
    <x v="12"/>
    <x v="0"/>
    <x v="0"/>
    <s v="China"/>
    <s v="유진통상"/>
    <s v="건조녹용"/>
    <s v="DRIED REDDEER VELVER ANTLER"/>
    <s v="녹용(건조)"/>
    <x v="15"/>
    <s v="2024-03-26"/>
    <s v="-"/>
    <s v="뉴질랜드"/>
    <s v="중국"/>
  </r>
  <r>
    <x v="2"/>
    <x v="3"/>
    <s v="26"/>
    <x v="3"/>
    <x v="1"/>
    <x v="0"/>
    <s v="New Zealand"/>
    <s v="(주)케이앤씨디어트레이드"/>
    <s v="생녹용(냉동)"/>
    <s v="FROZEN RED DEER VELVET ANTLER"/>
    <s v="생녹용(냉동)"/>
    <x v="14"/>
    <s v="2024-03-26"/>
    <s v="-"/>
    <s v="뉴질랜드"/>
    <s v="뉴질랜드"/>
  </r>
  <r>
    <x v="2"/>
    <x v="3"/>
    <s v="12"/>
    <x v="4"/>
    <x v="1"/>
    <x v="0"/>
    <s v="New Zealand"/>
    <s v="와이더블유 인터내셔날"/>
    <s v="냉동녹용"/>
    <s v="FROZEN RED DEER VELVET ANTLER(WHOLE)"/>
    <s v="생녹용(냉동)"/>
    <x v="21"/>
    <s v="2024-03-12"/>
    <s v="-"/>
    <s v="뉴질랜드"/>
    <s v="뉴질랜드"/>
  </r>
  <r>
    <x v="2"/>
    <x v="4"/>
    <s v="27"/>
    <x v="12"/>
    <x v="0"/>
    <x v="2"/>
    <s v="Russia"/>
    <s v="유진통상"/>
    <s v="건조녹용"/>
    <s v="DEER HORN"/>
    <s v="녹용(건조)"/>
    <x v="24"/>
    <s v="2024-02-27"/>
    <s v="2024-02-05 ~ "/>
    <s v="러시아"/>
    <s v="러시아"/>
  </r>
  <r>
    <x v="2"/>
    <x v="4"/>
    <s v="22"/>
    <x v="5"/>
    <x v="1"/>
    <x v="0"/>
    <s v="New Zealand"/>
    <s v="온바이오"/>
    <s v="생녹용"/>
    <s v="FROZEN RED DEER VELVET ANTLER"/>
    <s v="생녹용(냉동)"/>
    <x v="11"/>
    <s v="2024-02-22"/>
    <s v="-"/>
    <s v="뉴질랜드"/>
    <s v="뉴질랜드"/>
  </r>
  <r>
    <x v="2"/>
    <x v="4"/>
    <s v="21"/>
    <x v="4"/>
    <x v="1"/>
    <x v="0"/>
    <s v="New Zealand"/>
    <s v="와이더블유 인터내셔날"/>
    <s v="냉동녹용"/>
    <s v="FROZEN RED DEER VELVET ANTLER(WHOLE)"/>
    <s v="생녹용(냉동)"/>
    <x v="0"/>
    <s v="2024-02-21"/>
    <s v="-"/>
    <s v="뉴질랜드"/>
    <s v="뉴질랜드"/>
  </r>
  <r>
    <x v="2"/>
    <x v="4"/>
    <s v="15"/>
    <x v="0"/>
    <x v="0"/>
    <x v="0"/>
    <s v="New Zealand"/>
    <s v="(주)천호엔케어"/>
    <s v="녹용"/>
    <s v="DEER HORN"/>
    <s v="녹용(건조)"/>
    <x v="0"/>
    <s v="2024-02-15"/>
    <s v="2024-01-25 ~ "/>
    <s v="뉴질랜드"/>
    <s v="뉴질랜드"/>
  </r>
  <r>
    <x v="2"/>
    <x v="4"/>
    <s v="15"/>
    <x v="7"/>
    <x v="0"/>
    <x v="0"/>
    <s v="China"/>
    <s v="(주)우성생약"/>
    <s v="녹용(건조)"/>
    <s v="DRIED RED DEER VELVET ANTLER"/>
    <s v="녹용(건조)"/>
    <x v="33"/>
    <s v="2024-02-15"/>
    <s v="2024-01-22 ~ "/>
    <s v="뉴질랜드"/>
    <s v="중국"/>
  </r>
  <r>
    <x v="2"/>
    <x v="4"/>
    <s v="14"/>
    <x v="6"/>
    <x v="1"/>
    <x v="0"/>
    <s v="New Zealand"/>
    <s v="(주)온누리바이오생약"/>
    <s v="생녹용(냉동)"/>
    <s v="FROZEN DEER HORN"/>
    <s v="생녹용(냉동)"/>
    <x v="0"/>
    <s v="2024-02-14"/>
    <s v="2024-01-31 ~ "/>
    <s v="뉴질랜드"/>
    <s v="뉴질랜드"/>
  </r>
  <r>
    <x v="2"/>
    <x v="4"/>
    <s v="14"/>
    <x v="9"/>
    <x v="1"/>
    <x v="0"/>
    <s v="New Zealand"/>
    <s v="화용제약"/>
    <s v="생녹용(냉동)"/>
    <s v="FROZEN DEER HORN"/>
    <s v="생녹용(냉동)"/>
    <x v="0"/>
    <s v="2024-02-14"/>
    <s v="2024-01-31 ~ "/>
    <s v="뉴질랜드"/>
    <s v="뉴질랜드"/>
  </r>
  <r>
    <x v="2"/>
    <x v="4"/>
    <s v="07"/>
    <x v="4"/>
    <x v="1"/>
    <x v="0"/>
    <s v="New Zealand"/>
    <s v="와이더블유 인터내셔날"/>
    <s v="냉동녹용"/>
    <s v="FROZEN RED DEER VELVET ANTLER(WHOLE)"/>
    <s v="생녹용(냉동)"/>
    <x v="0"/>
    <s v="2024-02-07"/>
    <s v="-"/>
    <s v="뉴질랜드"/>
    <s v="뉴질랜드"/>
  </r>
  <r>
    <x v="2"/>
    <x v="4"/>
    <s v="07"/>
    <x v="11"/>
    <x v="0"/>
    <x v="0"/>
    <s v="New Zealand"/>
    <s v="(주)한국인삼공사"/>
    <s v="녹용(건조)"/>
    <s v="DRIED RED DEER VELVET ANTLER"/>
    <s v="녹용(건조)"/>
    <x v="14"/>
    <s v="2024-02-07"/>
    <s v="-"/>
    <s v="뉴질랜드"/>
    <s v="뉴질랜드"/>
  </r>
  <r>
    <x v="2"/>
    <x v="4"/>
    <s v="07"/>
    <x v="11"/>
    <x v="0"/>
    <x v="0"/>
    <s v="New Zealand"/>
    <s v="(주)한국인삼공사"/>
    <s v="녹용(건조)"/>
    <s v="DRIED RED DEER VELVET ANTLER"/>
    <s v="녹용(건조)"/>
    <x v="14"/>
    <s v="2024-02-07"/>
    <s v="-"/>
    <s v="뉴질랜드"/>
    <s v="뉴질랜드"/>
  </r>
  <r>
    <x v="2"/>
    <x v="4"/>
    <s v="07"/>
    <x v="3"/>
    <x v="1"/>
    <x v="0"/>
    <s v="New Zealand"/>
    <s v="(주)케이앤씨디어트레이드"/>
    <s v="생녹용(냉동)"/>
    <s v="FROZEN RED DEER VELVET ANTLER"/>
    <s v="생녹용(냉동)"/>
    <x v="5"/>
    <s v="2024-02-07"/>
    <s v="-"/>
    <s v="뉴질랜드"/>
    <s v="뉴질랜드"/>
  </r>
  <r>
    <x v="2"/>
    <x v="5"/>
    <s v="31"/>
    <x v="4"/>
    <x v="1"/>
    <x v="0"/>
    <s v="New Zealand"/>
    <s v="와이더블유 인터내셔날"/>
    <s v="냉동녹용"/>
    <s v="FROZEN RED DEER VELVET ANTLER(WHOLE)"/>
    <s v="생녹용(냉동)"/>
    <x v="21"/>
    <s v="2024-01-31"/>
    <s v="-"/>
    <s v="뉴질랜드"/>
    <s v="뉴질랜드"/>
  </r>
  <r>
    <x v="2"/>
    <x v="5"/>
    <s v="31"/>
    <x v="23"/>
    <x v="1"/>
    <x v="0"/>
    <s v="New Zealand"/>
    <s v="주식회사 유한건강생활"/>
    <s v="녹용"/>
    <s v="FROZEN WHOLE STICK VELVET"/>
    <s v="녹용(냉동)"/>
    <x v="25"/>
    <s v="2024-01-31"/>
    <s v="2024-01-15 ~ "/>
    <s v="뉴질랜드"/>
    <s v="뉴질랜드"/>
  </r>
  <r>
    <x v="2"/>
    <x v="5"/>
    <s v="23"/>
    <x v="3"/>
    <x v="1"/>
    <x v="0"/>
    <s v="New Zealand"/>
    <s v="(주)케이앤씨디어트레이드"/>
    <s v="생녹용(냉동)"/>
    <s v="FROZEN RED DEER VELVET ANTLER"/>
    <s v="생녹용(냉동)"/>
    <x v="34"/>
    <s v="2024-01-23"/>
    <s v="2024-01-08 ~ "/>
    <s v="뉴질랜드"/>
    <s v="뉴질랜드"/>
  </r>
  <r>
    <x v="2"/>
    <x v="5"/>
    <s v="19"/>
    <x v="13"/>
    <x v="0"/>
    <x v="2"/>
    <s v="Hong Kong"/>
    <s v="건향제약주식회사"/>
    <s v="건조녹용"/>
    <s v="DEER HORN"/>
    <s v="녹용(건조)"/>
    <x v="35"/>
    <s v="2024-01-19"/>
    <s v="2023-12-30 ~ "/>
    <s v="러시아"/>
    <s v="홍콩"/>
  </r>
  <r>
    <x v="2"/>
    <x v="5"/>
    <s v="19"/>
    <x v="25"/>
    <x v="0"/>
    <x v="1"/>
    <s v="China"/>
    <s v="한스약품주식회사"/>
    <s v="건조녹용"/>
    <s v="DRIED REDDEER VELVET ANTLER(WHOLE)"/>
    <s v="녹용(건조)"/>
    <x v="29"/>
    <s v="2024-01-19"/>
    <s v="-"/>
    <s v="중국"/>
    <s v="중국"/>
  </r>
  <r>
    <x v="3"/>
    <x v="6"/>
    <s v="28"/>
    <x v="9"/>
    <x v="1"/>
    <x v="0"/>
    <s v="New Zealand"/>
    <s v="화용제약"/>
    <s v="생녹용(냉동)"/>
    <s v="FROZEN DEER HORN"/>
    <s v="생녹용(냉동)"/>
    <x v="10"/>
    <d v="2023-12-28T00:00:00"/>
    <s v="2023-12-15 ~ "/>
    <s v="뉴질랜드"/>
    <s v="뉴질랜드"/>
  </r>
  <r>
    <x v="3"/>
    <x v="6"/>
    <s v="19"/>
    <x v="3"/>
    <x v="1"/>
    <x v="0"/>
    <s v="New Zealand"/>
    <s v="(주)케이앤씨디어트레이드"/>
    <s v="생녹용(냉동)"/>
    <s v="FROZEN RED DEER VELVET ANTLER"/>
    <s v="생녹용(냉동)"/>
    <x v="5"/>
    <d v="2023-12-19T00:00:00"/>
    <s v="-"/>
    <s v="뉴질랜드"/>
    <s v="뉴질랜드"/>
  </r>
  <r>
    <x v="3"/>
    <x v="6"/>
    <s v="12"/>
    <x v="13"/>
    <x v="0"/>
    <x v="2"/>
    <s v="Russia"/>
    <s v="건향제약주식회사"/>
    <s v="건조녹용"/>
    <s v="DEER HORN"/>
    <s v="녹용(건조)"/>
    <x v="24"/>
    <d v="2023-12-12T00:00:00"/>
    <s v="-"/>
    <s v="러시아"/>
    <s v="러시아"/>
  </r>
  <r>
    <x v="3"/>
    <x v="6"/>
    <s v="11"/>
    <x v="11"/>
    <x v="0"/>
    <x v="0"/>
    <s v="New Zealand"/>
    <s v="(주)한국인삼공사"/>
    <s v="녹용(건조)"/>
    <s v="DRIED RED DEER VELVET ANTLER"/>
    <s v="녹용(건조)"/>
    <x v="14"/>
    <d v="2023-12-11T00:00:00"/>
    <s v="-"/>
    <s v="뉴질랜드"/>
    <s v="뉴질랜드"/>
  </r>
  <r>
    <x v="3"/>
    <x v="6"/>
    <s v="06"/>
    <x v="18"/>
    <x v="0"/>
    <x v="0"/>
    <s v="Hong Kong"/>
    <s v="향나바이오 주식회사"/>
    <s v="녹용"/>
    <s v="DEER HORN"/>
    <s v="녹용(건조)"/>
    <x v="36"/>
    <d v="2023-12-06T00:00:00"/>
    <s v="2023-11-10 ~ "/>
    <s v="뉴질랜드"/>
    <s v="홍콩"/>
  </r>
  <r>
    <x v="3"/>
    <x v="7"/>
    <s v="29"/>
    <x v="3"/>
    <x v="0"/>
    <x v="0"/>
    <s v="Hong Kong"/>
    <s v="(주)케이앤씨디어트레이드"/>
    <s v="건조녹용"/>
    <s v="DRIED RED DEER VELVET ANTLER"/>
    <s v="녹용(건조)"/>
    <x v="36"/>
    <d v="2023-11-29T00:00:00"/>
    <s v="2023-11-02 ~ "/>
    <s v="뉴질랜드"/>
    <s v="홍콩"/>
  </r>
  <r>
    <x v="3"/>
    <x v="7"/>
    <s v="28"/>
    <x v="9"/>
    <x v="0"/>
    <x v="0"/>
    <s v="China"/>
    <s v="화용제약"/>
    <s v="녹용"/>
    <s v="DEER HORN"/>
    <s v="녹용(건조)"/>
    <x v="37"/>
    <d v="2023-11-28T00:00:00"/>
    <s v="2023-11-01 ~ "/>
    <s v="뉴질랜드"/>
    <s v="중국"/>
  </r>
  <r>
    <x v="3"/>
    <x v="7"/>
    <s v="23"/>
    <x v="6"/>
    <x v="0"/>
    <x v="0"/>
    <s v="China"/>
    <s v="(주)온누리바이오생약"/>
    <s v="녹용"/>
    <s v="DEER HORN"/>
    <s v="녹용(건조)"/>
    <x v="38"/>
    <d v="2023-11-23T00:00:00"/>
    <s v="2023-10-24 ~ "/>
    <s v="뉴질랜드"/>
    <s v="중국"/>
  </r>
  <r>
    <x v="3"/>
    <x v="7"/>
    <s v="20"/>
    <x v="4"/>
    <x v="1"/>
    <x v="0"/>
    <s v="New Zealand"/>
    <s v="와이더블유 인터내셔날"/>
    <s v="냉동녹용"/>
    <s v="FROZEN RED DEER VELVET ANTLER(WHOLE)"/>
    <s v="생녹용(냉동)"/>
    <x v="21"/>
    <d v="2023-11-20T00:00:00"/>
    <s v="-"/>
    <s v="뉴질랜드"/>
    <s v="뉴질랜드"/>
  </r>
  <r>
    <x v="3"/>
    <x v="7"/>
    <s v="20"/>
    <x v="5"/>
    <x v="0"/>
    <x v="0"/>
    <s v="China"/>
    <s v="온바이오"/>
    <s v="건조녹용"/>
    <s v="DRIED RED DEER VELVET ANTLER"/>
    <s v="녹용(건조)"/>
    <x v="17"/>
    <d v="2023-11-20T00:00:00"/>
    <s v="2023-10-16 ~ "/>
    <s v="뉴질랜드"/>
    <s v="중국"/>
  </r>
  <r>
    <x v="3"/>
    <x v="7"/>
    <s v="09"/>
    <x v="11"/>
    <x v="0"/>
    <x v="0"/>
    <s v="New Zealand"/>
    <s v="(주)한국인삼공사"/>
    <s v="건조녹용"/>
    <s v="DRIED RED DEER VELVET ANTLER"/>
    <s v="녹용(건조)"/>
    <x v="39"/>
    <d v="2023-11-09T00:00:00"/>
    <s v="2023-10-10 ~ "/>
    <s v="뉴질랜드"/>
    <s v="뉴질랜드"/>
  </r>
  <r>
    <x v="3"/>
    <x v="8"/>
    <s v="30"/>
    <x v="25"/>
    <x v="0"/>
    <x v="1"/>
    <s v="China"/>
    <s v="한스약품주식회사"/>
    <s v="건조녹용"/>
    <s v="DRIED REDDEER VELVET ANTLER(WHOLE)"/>
    <s v="녹용(건조)"/>
    <x v="29"/>
    <d v="2023-10-30T00:00:00"/>
    <s v="-"/>
    <s v="중국"/>
    <s v="중국"/>
  </r>
  <r>
    <x v="3"/>
    <x v="8"/>
    <s v="30"/>
    <x v="30"/>
    <x v="0"/>
    <x v="2"/>
    <s v="Russia"/>
    <s v="밀리언 무역"/>
    <s v="건조녹용"/>
    <s v="DEER HORN"/>
    <s v="녹용(건조)"/>
    <x v="24"/>
    <d v="2023-10-30T00:00:00"/>
    <s v="-"/>
    <s v="러시아"/>
    <s v="러시아"/>
  </r>
  <r>
    <x v="3"/>
    <x v="8"/>
    <s v="12"/>
    <x v="11"/>
    <x v="0"/>
    <x v="0"/>
    <s v="New Zealand"/>
    <s v="(주)한국인삼공사"/>
    <s v="녹용(건조)"/>
    <s v="DRIED RED DEER VELVET ANTLER"/>
    <s v="녹용(건조)"/>
    <x v="14"/>
    <d v="2023-10-12T00:00:00"/>
    <s v="-"/>
    <s v="뉴질랜드"/>
    <s v="뉴질랜드"/>
  </r>
  <r>
    <x v="3"/>
    <x v="8"/>
    <s v="12"/>
    <x v="11"/>
    <x v="0"/>
    <x v="0"/>
    <s v="New Zealand"/>
    <s v="(주)한국인삼공사"/>
    <s v="건조녹용"/>
    <s v="DRIED RED DEER VELVET ANTLER"/>
    <s v="녹용(건조)"/>
    <x v="39"/>
    <d v="2023-10-12T00:00:00"/>
    <s v="2023-09-11 ~ "/>
    <s v="뉴질랜드"/>
    <s v="뉴질랜드"/>
  </r>
  <r>
    <x v="3"/>
    <x v="8"/>
    <s v="05"/>
    <x v="1"/>
    <x v="0"/>
    <x v="0"/>
    <s v="China"/>
    <s v="주식회사 이룡제약"/>
    <s v="녹용"/>
    <s v="DEER HORN"/>
    <s v="녹용(건조)"/>
    <x v="38"/>
    <s v="2023-10-05"/>
    <s v="2023-08-28 ~ "/>
    <s v="뉴질랜드"/>
    <s v="중국"/>
  </r>
  <r>
    <x v="3"/>
    <x v="8"/>
    <s v="05"/>
    <x v="3"/>
    <x v="1"/>
    <x v="0"/>
    <s v="New Zealand"/>
    <s v="(주)케이앤씨디어트레이드"/>
    <s v="생녹용"/>
    <s v="FROZEN RED DEER VELVET ANTLER"/>
    <s v="생녹용(냉동)"/>
    <x v="4"/>
    <s v="2023-10-05"/>
    <s v="2023-08-23 ~ "/>
    <s v="뉴질랜드"/>
    <s v="뉴질랜드"/>
  </r>
  <r>
    <x v="3"/>
    <x v="9"/>
    <s v="05"/>
    <x v="11"/>
    <x v="0"/>
    <x v="0"/>
    <s v="New Zealand"/>
    <s v="(주)한국인삼공사"/>
    <s v="녹용(건조)"/>
    <s v="DRIED RED DEER VELVET ANTLER"/>
    <s v="녹용(건조)"/>
    <x v="14"/>
    <s v="2023-09-05"/>
    <s v="-"/>
    <s v="뉴질랜드"/>
    <s v="뉴질랜드"/>
  </r>
  <r>
    <x v="3"/>
    <x v="9"/>
    <s v="05"/>
    <x v="11"/>
    <x v="0"/>
    <x v="0"/>
    <s v="New Zealand"/>
    <s v="(주)한국인삼공사"/>
    <s v="건조녹용"/>
    <s v="DRIED RED DEER VELVET ANTLER"/>
    <s v="녹용(건조)"/>
    <x v="39"/>
    <s v="2023-09-05"/>
    <s v="2023-08-09 ~ "/>
    <s v="뉴질랜드"/>
    <s v="뉴질랜드"/>
  </r>
  <r>
    <x v="3"/>
    <x v="10"/>
    <s v="29"/>
    <x v="4"/>
    <x v="1"/>
    <x v="0"/>
    <s v="New Zealand"/>
    <s v="와이더블유 인터내셔날"/>
    <s v="냉동녹용"/>
    <s v="FROZEN RED DEER VELVET ANTLER(WHOLE)"/>
    <s v="생녹용(냉동)"/>
    <x v="21"/>
    <s v="2023-08-29"/>
    <s v="-"/>
    <s v="뉴질랜드"/>
    <s v="뉴질랜드"/>
  </r>
  <r>
    <x v="3"/>
    <x v="10"/>
    <s v="14"/>
    <x v="2"/>
    <x v="0"/>
    <x v="0"/>
    <s v="New Zealand"/>
    <s v="주식회사 비봉허브"/>
    <s v="녹용"/>
    <s v="DEER HORN"/>
    <s v="녹용(건조)"/>
    <x v="40"/>
    <s v="2023-08-14"/>
    <s v="2023-07-28 ~ "/>
    <s v="뉴질랜드"/>
    <s v="뉴질랜드"/>
  </r>
  <r>
    <x v="3"/>
    <x v="10"/>
    <s v="14"/>
    <x v="20"/>
    <x v="0"/>
    <x v="0"/>
    <s v="China"/>
    <s v="대호제약주식회사"/>
    <s v="건조녹용"/>
    <s v="DRIED RED DEER VELVET ANTLER"/>
    <s v="녹용(건조)"/>
    <x v="38"/>
    <s v="2023-08-14"/>
    <s v="2023-07-21 ~ "/>
    <s v="뉴질랜드"/>
    <s v="중국"/>
  </r>
  <r>
    <x v="3"/>
    <x v="10"/>
    <s v="14"/>
    <x v="11"/>
    <x v="0"/>
    <x v="0"/>
    <s v="New Zealand"/>
    <s v="(주)한국인삼공사"/>
    <s v="건조녹용"/>
    <s v="DRIED RED DEER VELVET ANTLER"/>
    <s v="녹용(건조)"/>
    <x v="39"/>
    <s v="2023-08-14"/>
    <s v="2023-07-13 ~ "/>
    <s v="뉴질랜드"/>
    <s v="뉴질랜드"/>
  </r>
  <r>
    <x v="3"/>
    <x v="10"/>
    <s v="02"/>
    <x v="2"/>
    <x v="0"/>
    <x v="0"/>
    <s v="New Zealand"/>
    <s v="주식회사 비봉허브"/>
    <s v="녹용"/>
    <s v="DEER HORN"/>
    <s v="녹용(건조)"/>
    <x v="0"/>
    <s v="2023-08-02"/>
    <s v="2023-07-10 ~ "/>
    <s v="뉴질랜드"/>
    <s v="뉴질랜드"/>
  </r>
  <r>
    <x v="3"/>
    <x v="11"/>
    <s v="25"/>
    <x v="4"/>
    <x v="1"/>
    <x v="0"/>
    <s v="New Zealand"/>
    <s v="와이더블유 인터내셔날"/>
    <s v="냉동녹용"/>
    <s v="FROZEN RED DEER VELVET ANTLER(WHOLE)"/>
    <s v="생녹용(냉동)"/>
    <x v="21"/>
    <s v="2023-07-25"/>
    <s v="-"/>
    <s v="뉴질랜드"/>
    <s v="뉴질랜드"/>
  </r>
  <r>
    <x v="3"/>
    <x v="11"/>
    <s v="25"/>
    <x v="9"/>
    <x v="0"/>
    <x v="0"/>
    <s v="China"/>
    <s v="화용제약"/>
    <s v="녹용"/>
    <s v="DEER HORN"/>
    <s v="녹용(건조)"/>
    <x v="6"/>
    <s v="2023-07-25"/>
    <s v="2023-07-04 ~ "/>
    <s v="뉴질랜드"/>
    <s v="중국"/>
  </r>
  <r>
    <x v="3"/>
    <x v="11"/>
    <s v="25"/>
    <x v="29"/>
    <x v="0"/>
    <x v="0"/>
    <s v="China"/>
    <s v="천지담은 바이오"/>
    <s v="녹용"/>
    <s v="DEER HORN"/>
    <s v="녹용(건조)"/>
    <x v="6"/>
    <s v="2023-07-25"/>
    <s v="2023-07-03 ~ "/>
    <s v="뉴질랜드"/>
    <s v="중국"/>
  </r>
  <r>
    <x v="3"/>
    <x v="11"/>
    <s v="25"/>
    <x v="18"/>
    <x v="0"/>
    <x v="0"/>
    <s v="China"/>
    <s v="향나바이오 주식회사"/>
    <s v="녹용"/>
    <s v="DEER HORN"/>
    <s v="녹용(건조)"/>
    <x v="6"/>
    <s v="2023-07-25"/>
    <s v="2023-07-03 ~ "/>
    <s v="뉴질랜드"/>
    <s v="중국"/>
  </r>
  <r>
    <x v="3"/>
    <x v="11"/>
    <s v="25"/>
    <x v="3"/>
    <x v="0"/>
    <x v="0"/>
    <s v="China"/>
    <s v="(주)케이앤씨디어트레이드"/>
    <s v="건조녹용"/>
    <s v="DRIED RED DEER VELVET ANTLER"/>
    <s v="녹용(건조)"/>
    <x v="23"/>
    <s v="2023-07-25"/>
    <s v="2023-06-28 ~ "/>
    <s v="뉴질랜드"/>
    <s v="중국"/>
  </r>
  <r>
    <x v="3"/>
    <x v="11"/>
    <s v="25"/>
    <x v="11"/>
    <x v="0"/>
    <x v="0"/>
    <s v="New Zealand"/>
    <s v="(주)한국인삼공사"/>
    <s v="건조녹용"/>
    <s v="DRIED RED DEER VELVET ANTLER"/>
    <s v="녹용(건조)"/>
    <x v="39"/>
    <s v="2023-07-25"/>
    <s v="2023-06-09 ~ "/>
    <s v="뉴질랜드"/>
    <s v="뉴질랜드"/>
  </r>
  <r>
    <x v="3"/>
    <x v="11"/>
    <s v="25"/>
    <x v="4"/>
    <x v="1"/>
    <x v="0"/>
    <s v="New Zealand"/>
    <s v="와이더블유 인터내셔날"/>
    <s v="냉동녹용"/>
    <s v="FROZEN RED DEER VELVET (WHOLE)"/>
    <s v="생녹용(냉동)"/>
    <x v="14"/>
    <s v="2023-07-25"/>
    <s v="-"/>
    <s v="뉴질랜드"/>
    <s v="뉴질랜드"/>
  </r>
  <r>
    <x v="3"/>
    <x v="11"/>
    <s v="14"/>
    <x v="3"/>
    <x v="0"/>
    <x v="0"/>
    <s v="China"/>
    <s v="(주)케이앤씨디어트레이드"/>
    <s v="건조녹용"/>
    <s v="DRIED RED DEER VELVET ANTLER"/>
    <s v="녹용(건조)"/>
    <x v="38"/>
    <s v="2023-07-14"/>
    <s v="2023-06-18 ~ "/>
    <s v="뉴질랜드"/>
    <s v="중국"/>
  </r>
  <r>
    <x v="3"/>
    <x v="11"/>
    <s v="12"/>
    <x v="1"/>
    <x v="0"/>
    <x v="0"/>
    <s v="Hong Kong"/>
    <s v="주식회사 이룡제약"/>
    <s v="녹용"/>
    <s v="DEER HORN"/>
    <s v="녹용(건조)"/>
    <x v="36"/>
    <s v="2023-07-12"/>
    <s v="2023-06-29 ~ "/>
    <s v="뉴질랜드"/>
    <s v="홍콩"/>
  </r>
  <r>
    <x v="3"/>
    <x v="11"/>
    <s v="11"/>
    <x v="9"/>
    <x v="1"/>
    <x v="0"/>
    <s v="New Zealand"/>
    <s v="화용제약"/>
    <s v="생녹용(냉동)"/>
    <s v="FROZEN DEER HORN"/>
    <s v="생녹용(냉동)"/>
    <x v="10"/>
    <s v="2023-07-11"/>
    <s v="2023-07-04 ~ "/>
    <s v="뉴질랜드"/>
    <s v="뉴질랜드"/>
  </r>
  <r>
    <x v="3"/>
    <x v="11"/>
    <s v="03"/>
    <x v="11"/>
    <x v="0"/>
    <x v="0"/>
    <s v="New Zealand"/>
    <s v="(주)한국인삼공사"/>
    <s v="녹용(건조)"/>
    <s v="DRIED RED DEER VELVET ANTLER"/>
    <s v="녹용(건조)"/>
    <x v="14"/>
    <s v="2023-07-03"/>
    <s v="-"/>
    <s v="뉴질랜드"/>
    <s v="뉴질랜드"/>
  </r>
  <r>
    <x v="3"/>
    <x v="0"/>
    <s v="28"/>
    <x v="11"/>
    <x v="1"/>
    <x v="0"/>
    <s v="New Zealand"/>
    <s v="(주)한국인삼공사"/>
    <s v="생녹용(냉동)"/>
    <s v="FROZEN RED DEER VELVET ANTLER"/>
    <s v="생녹용(냉동)"/>
    <x v="41"/>
    <s v="2023-06-28"/>
    <s v="-"/>
    <s v="뉴질랜드"/>
    <s v="뉴질랜드"/>
  </r>
  <r>
    <x v="3"/>
    <x v="0"/>
    <s v="07"/>
    <x v="11"/>
    <x v="0"/>
    <x v="0"/>
    <s v="New Zealand"/>
    <s v="(주)한국인삼공사"/>
    <s v="건조녹용"/>
    <s v="DRIED RED DEER VELVET ANTLER"/>
    <s v="녹용(건조)"/>
    <x v="39"/>
    <s v="2023-06-07"/>
    <s v="2023-05-12 ~ "/>
    <s v="뉴질랜드"/>
    <s v="뉴질랜드"/>
  </r>
  <r>
    <x v="3"/>
    <x v="0"/>
    <s v="02"/>
    <x v="11"/>
    <x v="0"/>
    <x v="0"/>
    <s v="New Zealand"/>
    <s v="(주)한국인삼공사"/>
    <s v="녹용(건조)"/>
    <s v="DRIED RED DEER VELVET ANTLER"/>
    <s v="녹용(건조)"/>
    <x v="14"/>
    <s v="2023-06-02"/>
    <s v="-"/>
    <s v="뉴질랜드"/>
    <s v="뉴질랜드"/>
  </r>
  <r>
    <x v="3"/>
    <x v="0"/>
    <s v="02"/>
    <x v="7"/>
    <x v="0"/>
    <x v="0"/>
    <s v="China"/>
    <s v="(주)우성생약"/>
    <s v="녹용(건조)"/>
    <s v="DRIED RED DEER VELVET ANTLER"/>
    <s v="녹용(건조)"/>
    <x v="8"/>
    <s v="2023-06-02"/>
    <s v="2023-05-17 ~ "/>
    <s v="뉴질랜드"/>
    <s v="중국"/>
  </r>
  <r>
    <x v="3"/>
    <x v="1"/>
    <s v="23"/>
    <x v="9"/>
    <x v="1"/>
    <x v="0"/>
    <s v="New Zealand"/>
    <s v="화용제약"/>
    <s v="생녹용(냉동)"/>
    <s v="FROZEN DEER HORN"/>
    <s v="생녹용(냉동)"/>
    <x v="0"/>
    <s v="2023-05-23"/>
    <s v="2023-05-10 ~ "/>
    <s v="뉴질랜드"/>
    <s v="뉴질랜드"/>
  </r>
  <r>
    <x v="3"/>
    <x v="1"/>
    <s v="08"/>
    <x v="11"/>
    <x v="0"/>
    <x v="0"/>
    <s v="New Zealand"/>
    <s v="(주)한국인삼공사"/>
    <s v="건조녹용"/>
    <s v="DRIED RED DEER VELVET ANTLER"/>
    <s v="녹용(건조)"/>
    <x v="39"/>
    <s v="2023-05-08"/>
    <s v="2023-03-04 ~ "/>
    <s v="뉴질랜드"/>
    <s v="뉴질랜드"/>
  </r>
  <r>
    <x v="3"/>
    <x v="2"/>
    <s v="25"/>
    <x v="11"/>
    <x v="0"/>
    <x v="0"/>
    <s v="New Zealand"/>
    <s v="(주)한국인삼공사"/>
    <s v="녹용(건조)"/>
    <s v="DRIED RED DEER VELVET ANTLER"/>
    <s v="녹용(건조)"/>
    <x v="14"/>
    <s v="2023-04-25"/>
    <s v="-"/>
    <s v="뉴질랜드"/>
    <s v="뉴질랜드"/>
  </r>
  <r>
    <x v="3"/>
    <x v="2"/>
    <s v="25"/>
    <x v="1"/>
    <x v="0"/>
    <x v="0"/>
    <s v="China"/>
    <s v="주식회사 이룡제약"/>
    <s v="녹용"/>
    <s v="DEER HORN"/>
    <s v="녹용(건조)"/>
    <x v="37"/>
    <s v="2023-04-25"/>
    <s v="2023-03-29 ~ "/>
    <s v="뉴질랜드"/>
    <s v="중국"/>
  </r>
  <r>
    <x v="3"/>
    <x v="2"/>
    <s v="25"/>
    <x v="20"/>
    <x v="0"/>
    <x v="0"/>
    <s v="China"/>
    <s v="대호제약주식회사"/>
    <s v="건조녹용"/>
    <s v="DRIED RED DEER VELVET ANTLER"/>
    <s v="녹용(건조)"/>
    <x v="38"/>
    <s v="2023-04-25"/>
    <s v="2023-04-09 ~ "/>
    <s v="뉴질랜드"/>
    <s v="중국"/>
  </r>
  <r>
    <x v="3"/>
    <x v="2"/>
    <s v="11"/>
    <x v="6"/>
    <x v="1"/>
    <x v="0"/>
    <s v="New Zealand"/>
    <s v="(주)온누리바이오생약"/>
    <s v="녹용"/>
    <s v="FROZEN DEER HORN"/>
    <s v="생녹용(냉동)"/>
    <x v="0"/>
    <s v="2023-04-11"/>
    <s v="2023-03-28 ~ "/>
    <s v="뉴질랜드"/>
    <s v="뉴질랜드"/>
  </r>
  <r>
    <x v="3"/>
    <x v="2"/>
    <s v="11"/>
    <x v="31"/>
    <x v="0"/>
    <x v="0"/>
    <s v="China"/>
    <s v="케이앤씨(K&amp;C)"/>
    <s v="건조녹용"/>
    <s v="DRIED RED DEER VELVET ANTLER"/>
    <s v="녹용(건조)"/>
    <x v="8"/>
    <s v="2023-04-11"/>
    <s v="2023-03-26 ~ "/>
    <s v="뉴질랜드"/>
    <s v="중국"/>
  </r>
  <r>
    <x v="3"/>
    <x v="2"/>
    <s v="11"/>
    <x v="10"/>
    <x v="1"/>
    <x v="0"/>
    <s v="New Zealand"/>
    <s v="(주)바이오닷"/>
    <s v="생녹용"/>
    <s v="FROZEN RED DEER VELVET ANTLER"/>
    <s v="생녹용(냉동)"/>
    <x v="13"/>
    <s v="2023-04-11"/>
    <s v="2023-02-16 ~ "/>
    <s v="뉴질랜드"/>
    <s v="뉴질랜드"/>
  </r>
  <r>
    <x v="3"/>
    <x v="2"/>
    <s v="04"/>
    <x v="11"/>
    <x v="0"/>
    <x v="0"/>
    <s v="New Zealand"/>
    <s v="(주)한국인삼공사"/>
    <s v="건조녹용"/>
    <s v="DRIED RED DEER VELVET ANTLER"/>
    <s v="녹용(건조)"/>
    <x v="39"/>
    <s v="2023-04-04"/>
    <s v="2023-03-09 ~ "/>
    <s v="뉴질랜드"/>
    <s v="뉴질랜드"/>
  </r>
  <r>
    <x v="3"/>
    <x v="2"/>
    <s v="04"/>
    <x v="9"/>
    <x v="1"/>
    <x v="0"/>
    <s v="New Zealand"/>
    <s v="화용제약"/>
    <s v="생녹용(냉동)"/>
    <s v="FROZEN DEER HORN"/>
    <s v="생녹용(냉동)"/>
    <x v="0"/>
    <s v="2023-04-04"/>
    <s v="2023-03-21 ~ "/>
    <s v="뉴질랜드"/>
    <s v="뉴질랜드"/>
  </r>
  <r>
    <x v="3"/>
    <x v="2"/>
    <s v="04"/>
    <x v="4"/>
    <x v="1"/>
    <x v="0"/>
    <s v="New Zealand"/>
    <s v="와이더블유 인터내셔날"/>
    <s v="냉동녹용"/>
    <s v="FROZEN RED DEER VELVET ANTLER(WHOLE)"/>
    <s v="생녹용(냉동)"/>
    <x v="40"/>
    <s v="2023-04-04"/>
    <s v="-"/>
    <s v="뉴질랜드"/>
    <s v="뉴질랜드"/>
  </r>
  <r>
    <x v="3"/>
    <x v="3"/>
    <s v="30"/>
    <x v="4"/>
    <x v="1"/>
    <x v="0"/>
    <s v="New Zealand"/>
    <s v="와이더블유 인터내셔날"/>
    <s v="냉동녹용"/>
    <s v="FROZEN RED DEER VELVET ANTLER(WHOLE)"/>
    <s v="생녹용(냉동)"/>
    <x v="21"/>
    <s v="2023-03-30"/>
    <s v="-"/>
    <s v="뉴질랜드"/>
    <s v="뉴질랜드"/>
  </r>
  <r>
    <x v="3"/>
    <x v="3"/>
    <s v="28"/>
    <x v="0"/>
    <x v="0"/>
    <x v="0"/>
    <s v="New Zealand"/>
    <s v="(주)천호엔케어"/>
    <s v="녹용"/>
    <s v="DEER HORN"/>
    <s v="녹용(건조)"/>
    <x v="0"/>
    <s v="2023-03-28"/>
    <s v="2023-03-06 ~ "/>
    <s v="뉴질랜드"/>
    <s v="뉴질랜드"/>
  </r>
  <r>
    <x v="3"/>
    <x v="3"/>
    <s v="24"/>
    <x v="32"/>
    <x v="1"/>
    <x v="0"/>
    <s v="New Zealand"/>
    <s v="(주)시원생약"/>
    <s v="생녹용"/>
    <s v="FROZEN DEER HORN"/>
    <s v="생녹용(냉동)"/>
    <x v="25"/>
    <s v="2023-03-24"/>
    <s v="2023-03-06 ~ "/>
    <s v="뉴질랜드"/>
    <s v="뉴질랜드"/>
  </r>
  <r>
    <x v="3"/>
    <x v="3"/>
    <s v="21"/>
    <x v="11"/>
    <x v="0"/>
    <x v="0"/>
    <s v="New Zealand"/>
    <s v="(주)한국인삼공사"/>
    <s v="녹용(건조)"/>
    <s v="DRIED RED DEER VELVET ANTLER"/>
    <s v="녹용(건조)"/>
    <x v="14"/>
    <s v="2023-03-21"/>
    <s v="-"/>
    <s v="뉴질랜드"/>
    <s v="뉴질랜드"/>
  </r>
  <r>
    <x v="3"/>
    <x v="3"/>
    <s v="13"/>
    <x v="6"/>
    <x v="0"/>
    <x v="2"/>
    <s v="Russia"/>
    <s v="(주)온누리바이오생약"/>
    <s v="녹용"/>
    <s v="DEER HORN"/>
    <s v="녹용(건조)"/>
    <x v="42"/>
    <s v="2023-03-13"/>
    <s v="2023-02-15 ~ "/>
    <s v="러시아"/>
    <s v="러시아"/>
  </r>
  <r>
    <x v="3"/>
    <x v="3"/>
    <s v="07"/>
    <x v="4"/>
    <x v="1"/>
    <x v="0"/>
    <s v="New Zealand"/>
    <s v="와이더블유 인터내셔날"/>
    <s v="냉동녹용"/>
    <s v="FROZEN RED DEER VELVET (WHOLE)"/>
    <s v="생녹용(냉동)"/>
    <x v="14"/>
    <s v="2023-03-07"/>
    <s v="-"/>
    <s v="뉴질랜드"/>
    <s v="뉴질랜드"/>
  </r>
  <r>
    <x v="3"/>
    <x v="4"/>
    <s v="28"/>
    <x v="4"/>
    <x v="1"/>
    <x v="0"/>
    <s v="New Zealand"/>
    <s v="와이더블유 인터내셔날"/>
    <s v="냉동녹용"/>
    <s v="FROZEN WHOLE DEER VELVET ANTLER"/>
    <s v="생녹용(냉동)"/>
    <x v="5"/>
    <s v="2023-02-28"/>
    <s v="-"/>
    <s v="뉴질랜드"/>
    <s v="뉴질랜드"/>
  </r>
  <r>
    <x v="3"/>
    <x v="4"/>
    <s v="28"/>
    <x v="11"/>
    <x v="0"/>
    <x v="0"/>
    <s v="New Zealand"/>
    <s v="(주)한국인삼공사"/>
    <s v="건조녹용"/>
    <s v="DRIED RED DEER VELVET ANTLER"/>
    <s v="녹용(건조)"/>
    <x v="39"/>
    <s v="2023-02-28"/>
    <s v="2023-02-07 ~ "/>
    <s v="뉴질랜드"/>
    <s v="뉴질랜드"/>
  </r>
  <r>
    <x v="3"/>
    <x v="4"/>
    <s v="28"/>
    <x v="9"/>
    <x v="1"/>
    <x v="0"/>
    <s v="New Zealand"/>
    <s v="화용제약"/>
    <s v="생녹용(냉동)"/>
    <s v="FROZEN DEER HORN"/>
    <s v="생녹용(냉동)"/>
    <x v="0"/>
    <s v="2023-02-28"/>
    <s v="2023-02-13 ~ "/>
    <s v="뉴질랜드"/>
    <s v="뉴질랜드"/>
  </r>
  <r>
    <x v="3"/>
    <x v="4"/>
    <s v="17"/>
    <x v="11"/>
    <x v="0"/>
    <x v="0"/>
    <s v="New Zealand"/>
    <s v="(주)한국인삼공사"/>
    <s v="녹용(건조)"/>
    <s v="DRIED RED DEER VELVET ANTLER"/>
    <s v="녹용(건조)"/>
    <x v="14"/>
    <s v="2023-02-17"/>
    <s v="-"/>
    <s v="뉴질랜드"/>
    <s v="뉴질랜드"/>
  </r>
  <r>
    <x v="3"/>
    <x v="4"/>
    <s v="08"/>
    <x v="4"/>
    <x v="1"/>
    <x v="0"/>
    <s v="New Zealand"/>
    <s v="와이더블유 인터내셔날"/>
    <s v="냉동녹용"/>
    <s v="FROZEN RED DEER VELVET ANTLER(WHOLE)"/>
    <s v="생녹용(냉동)"/>
    <x v="21"/>
    <s v="2023-02-08"/>
    <s v="-"/>
    <s v="뉴질랜드"/>
    <s v="뉴질랜드"/>
  </r>
  <r>
    <x v="3"/>
    <x v="4"/>
    <s v="03"/>
    <x v="11"/>
    <x v="0"/>
    <x v="0"/>
    <s v="New Zealand"/>
    <s v="(주)한국인삼공사"/>
    <s v="건조녹용"/>
    <s v="DRIED RED DEER VELVET ANTLER"/>
    <s v="녹용(건조)"/>
    <x v="39"/>
    <s v="2023-02-03"/>
    <s v="2023-01-11 ~ "/>
    <s v="뉴질랜드"/>
    <s v="뉴질랜드"/>
  </r>
  <r>
    <x v="3"/>
    <x v="4"/>
    <s v="03"/>
    <x v="17"/>
    <x v="0"/>
    <x v="2"/>
    <s v="Russia"/>
    <s v="흥수녹용"/>
    <s v="녹용(건조)"/>
    <s v="DEER HORNS VELVET ANTLER"/>
    <s v="녹용(건조)"/>
    <x v="27"/>
    <s v="2023-02-03"/>
    <s v="-"/>
    <s v="러시아"/>
    <s v="러시아"/>
  </r>
  <r>
    <x v="3"/>
    <x v="5"/>
    <s v="31"/>
    <x v="3"/>
    <x v="1"/>
    <x v="0"/>
    <s v="New Zealand"/>
    <s v="(주)케이앤씨디어트레이드"/>
    <s v="생녹용(냉동)"/>
    <s v="FROZEN RED DEER VELVET ANTLER"/>
    <s v="생녹용(냉동)"/>
    <x v="34"/>
    <s v="2023-01-31"/>
    <s v="2022-12-22 ~ "/>
    <s v="뉴질랜드"/>
    <s v="뉴질랜드"/>
  </r>
  <r>
    <x v="3"/>
    <x v="5"/>
    <s v="25"/>
    <x v="11"/>
    <x v="0"/>
    <x v="0"/>
    <s v="New Zealand"/>
    <s v="(주)한국인삼공사"/>
    <s v="녹용(건조)"/>
    <s v="DRIED RED DEER VELVET ANTLER"/>
    <s v="녹용(건조)"/>
    <x v="14"/>
    <s v="2023-01-25"/>
    <s v="-"/>
    <s v="뉴질랜드"/>
    <s v="뉴질랜드"/>
  </r>
  <r>
    <x v="3"/>
    <x v="5"/>
    <s v="25"/>
    <x v="33"/>
    <x v="0"/>
    <x v="0"/>
    <s v="China"/>
    <s v="(주)이룸제약법인"/>
    <s v="건조녹용"/>
    <s v="DRIED RED DEER VELVET ANTLER"/>
    <s v="녹용(건조)"/>
    <x v="38"/>
    <s v="2023-01-25"/>
    <s v="2023-01-04 ~ "/>
    <s v="뉴질랜드"/>
    <s v="중국"/>
  </r>
  <r>
    <x v="3"/>
    <x v="5"/>
    <s v="17"/>
    <x v="33"/>
    <x v="0"/>
    <x v="0"/>
    <s v="China"/>
    <s v="(주)이룸제약법인"/>
    <s v="건조녹용"/>
    <s v="DRIED RED DEER VELVET ANTLER"/>
    <s v="녹용(건조)"/>
    <x v="38"/>
    <s v="2023-01-17"/>
    <s v="2023-01-04 ~ "/>
    <s v="뉴질랜드"/>
    <s v="중국"/>
  </r>
  <r>
    <x v="3"/>
    <x v="5"/>
    <s v="10"/>
    <x v="4"/>
    <x v="1"/>
    <x v="0"/>
    <s v="New Zealand"/>
    <s v="와이더블유 인터내셔날"/>
    <s v="냉동녹용"/>
    <s v="FROZEN RED DEER VELVET ANTLER(WHOLE)"/>
    <s v="생녹용(냉동)"/>
    <x v="21"/>
    <s v="2023-01-10"/>
    <s v="-"/>
    <s v="뉴질랜드"/>
    <s v="뉴질랜드"/>
  </r>
  <r>
    <x v="3"/>
    <x v="5"/>
    <s v="03"/>
    <x v="9"/>
    <x v="1"/>
    <x v="0"/>
    <s v="New Zealand"/>
    <s v="화용제약"/>
    <s v="생녹용(냉동)"/>
    <s v="FROZEN DEER HORN"/>
    <s v="생녹용(냉동)"/>
    <x v="0"/>
    <s v="2023-01-03"/>
    <s v="2022-12-16 ~ "/>
    <s v="뉴질랜드"/>
    <s v="뉴질랜드"/>
  </r>
  <r>
    <x v="4"/>
    <x v="6"/>
    <s v="21"/>
    <x v="12"/>
    <x v="0"/>
    <x v="2"/>
    <s v="Russia"/>
    <s v="유진통상"/>
    <s v="건조녹용"/>
    <s v="DEER HORN"/>
    <s v="녹용(건조)"/>
    <x v="43"/>
    <s v="2022-12-21"/>
    <s v="-"/>
    <s v="러시아"/>
    <s v="러시아"/>
  </r>
  <r>
    <x v="4"/>
    <x v="6"/>
    <s v="21"/>
    <x v="12"/>
    <x v="0"/>
    <x v="0"/>
    <s v="China"/>
    <s v="유진통상"/>
    <s v="건조녹용"/>
    <s v="DRIED REDDEER VELVET ANTLER"/>
    <s v="녹용(건조)"/>
    <x v="3"/>
    <s v="2022-12-21"/>
    <s v="2022-11-30 ~ "/>
    <s v="뉴질랜드"/>
    <s v="중국"/>
  </r>
  <r>
    <x v="4"/>
    <x v="6"/>
    <s v="21"/>
    <x v="6"/>
    <x v="1"/>
    <x v="0"/>
    <s v="New Zealand"/>
    <s v="(주)온누리바이오생약"/>
    <s v="녹용"/>
    <s v="DEER HORN"/>
    <s v="녹용(냉동)"/>
    <x v="40"/>
    <s v="2022-12-21"/>
    <s v="2022-12-05 ~ "/>
    <s v="뉴질랜드"/>
    <s v="뉴질랜드"/>
  </r>
  <r>
    <x v="4"/>
    <x v="6"/>
    <s v="15"/>
    <x v="3"/>
    <x v="1"/>
    <x v="0"/>
    <s v="New Zealand"/>
    <s v="(주)케이앤씨디어트레이드"/>
    <s v="생녹용(냉동)"/>
    <s v="FROZEN RED DEER VELVET ANTLER"/>
    <s v="생녹용(냉동)"/>
    <x v="10"/>
    <s v="2022-12-15"/>
    <s v="2022-12-08 ~ "/>
    <s v="뉴질랜드"/>
    <s v="뉴질랜드"/>
  </r>
  <r>
    <x v="4"/>
    <x v="6"/>
    <s v="13"/>
    <x v="10"/>
    <x v="1"/>
    <x v="0"/>
    <s v="New Zealand"/>
    <s v="(주)바이오닷"/>
    <s v="생녹용(냉동)"/>
    <s v="FROZEN RED DEER VELVET ANTLER"/>
    <s v="생녹용(냉동)"/>
    <x v="10"/>
    <s v="2022-12-13"/>
    <s v="2022-12-07 ~ "/>
    <s v="뉴질랜드"/>
    <s v="뉴질랜드"/>
  </r>
  <r>
    <x v="4"/>
    <x v="6"/>
    <s v="13"/>
    <x v="9"/>
    <x v="1"/>
    <x v="0"/>
    <s v="New Zealand"/>
    <s v="화용제약"/>
    <s v="생녹용(냉동)"/>
    <s v="FROZEN DEER HORN"/>
    <s v="생녹용(냉동)"/>
    <x v="0"/>
    <s v="2022-12-13"/>
    <s v="2022-12-01 ~ "/>
    <s v="뉴질랜드"/>
    <s v="뉴질랜드"/>
  </r>
  <r>
    <x v="4"/>
    <x v="6"/>
    <s v="13"/>
    <x v="34"/>
    <x v="0"/>
    <x v="0"/>
    <s v="China"/>
    <s v="일성식품"/>
    <s v="녹용"/>
    <s v="DEER HORN"/>
    <s v="녹용(건조)"/>
    <x v="44"/>
    <s v="2022-12-13"/>
    <s v="2022-11-16 ~ "/>
    <s v="뉴질랜드"/>
    <s v="중국"/>
  </r>
  <r>
    <x v="4"/>
    <x v="6"/>
    <s v="07"/>
    <x v="15"/>
    <x v="0"/>
    <x v="2"/>
    <s v="Russia"/>
    <s v="조은생약"/>
    <s v="녹용"/>
    <s v="DEER HORN"/>
    <s v="녹용(건조)"/>
    <x v="18"/>
    <s v="2022-12-07"/>
    <s v="2022-10-24 ~ "/>
    <s v="러시아"/>
    <s v="러시아"/>
  </r>
  <r>
    <x v="4"/>
    <x v="7"/>
    <s v="21"/>
    <x v="6"/>
    <x v="0"/>
    <x v="0"/>
    <s v="China"/>
    <s v="(주)온누리바이오생약"/>
    <s v="녹용"/>
    <s v="DEER HORN"/>
    <s v="녹용(건조)"/>
    <x v="38"/>
    <s v="2022-11-21"/>
    <s v="2022-10-18 ~ "/>
    <s v="뉴질랜드"/>
    <s v="중국"/>
  </r>
  <r>
    <x v="4"/>
    <x v="7"/>
    <s v="21"/>
    <x v="1"/>
    <x v="0"/>
    <x v="0"/>
    <s v="China"/>
    <s v="주식회사 이룡제약"/>
    <s v="녹용"/>
    <s v="DEER HORN"/>
    <s v="녹용(건조)"/>
    <x v="38"/>
    <s v="2022-11-21"/>
    <s v="2022-11-02 ~ "/>
    <s v="뉴질랜드"/>
    <s v="중국"/>
  </r>
  <r>
    <x v="4"/>
    <x v="7"/>
    <s v="03"/>
    <x v="16"/>
    <x v="0"/>
    <x v="2"/>
    <s v="Russia"/>
    <s v="(주)대원알디티"/>
    <s v="녹용(건조)"/>
    <s v="DEER HORNS VELVET ANTLER"/>
    <s v="녹용(건조)"/>
    <x v="19"/>
    <s v="2022-11-03"/>
    <s v="-"/>
    <s v="러시아"/>
    <s v="러시아"/>
  </r>
  <r>
    <x v="4"/>
    <x v="7"/>
    <s v="03"/>
    <x v="35"/>
    <x v="0"/>
    <x v="0"/>
    <s v="New Zealand"/>
    <s v="삼보제약"/>
    <s v="녹용(건조)"/>
    <s v="DRIED RED DEER VELVET ANTLER (WHOLE)"/>
    <s v="녹용(건조)"/>
    <x v="4"/>
    <s v="2022-11-03"/>
    <s v="2022-10-14 ~ "/>
    <s v="뉴질랜드"/>
    <s v="뉴질랜드"/>
  </r>
  <r>
    <x v="4"/>
    <x v="8"/>
    <s v="26"/>
    <x v="1"/>
    <x v="0"/>
    <x v="0"/>
    <s v="China"/>
    <s v="주식회사 이룡제약"/>
    <s v="녹용"/>
    <s v="DEER HORN"/>
    <s v="녹용(건조)"/>
    <x v="45"/>
    <s v="2022-10-26"/>
    <s v="2022-09-13 ~ "/>
    <s v="뉴질랜드"/>
    <s v="중국"/>
  </r>
  <r>
    <x v="4"/>
    <x v="8"/>
    <s v="18"/>
    <x v="11"/>
    <x v="0"/>
    <x v="0"/>
    <s v="New Zealand"/>
    <s v="(주)한국인삼공사"/>
    <s v="녹용(건조)"/>
    <s v="DRIED RED DEER VELVET ANTLER"/>
    <s v="녹용(건조)"/>
    <x v="14"/>
    <s v="2022-10-18"/>
    <s v="-"/>
    <s v="뉴질랜드"/>
    <s v="뉴질랜드"/>
  </r>
  <r>
    <x v="4"/>
    <x v="8"/>
    <s v="04"/>
    <x v="11"/>
    <x v="0"/>
    <x v="3"/>
    <s v="New Zealand"/>
    <s v="(주)한국인삼공사"/>
    <s v="녹용(건조)"/>
    <s v="DRIED RED DEER VELVET ANTLER"/>
    <s v="녹용(건조)"/>
    <x v="39"/>
    <s v="2022-10-04"/>
    <m/>
    <m/>
    <m/>
  </r>
  <r>
    <x v="4"/>
    <x v="9"/>
    <s v="23"/>
    <x v="11"/>
    <x v="0"/>
    <x v="3"/>
    <s v="New Zealand"/>
    <s v="(주)한국인삼공사"/>
    <s v="녹용(건조)"/>
    <s v="DRIED RED DEER VELVET ANTLER"/>
    <s v="녹용(건조)"/>
    <x v="14"/>
    <s v="2022-09-23"/>
    <m/>
    <m/>
    <m/>
  </r>
  <r>
    <x v="4"/>
    <x v="9"/>
    <s v="15"/>
    <x v="4"/>
    <x v="1"/>
    <x v="3"/>
    <s v="New Zealand"/>
    <s v="와이더블유 인터내셔날"/>
    <s v="냉동녹용"/>
    <s v="FROZEN WHOLE RED DEER VELVET ANTLER"/>
    <s v="생녹용(냉동)"/>
    <x v="5"/>
    <s v="2022-09-15"/>
    <m/>
    <m/>
    <m/>
  </r>
  <r>
    <x v="4"/>
    <x v="9"/>
    <s v="02"/>
    <x v="11"/>
    <x v="0"/>
    <x v="3"/>
    <s v="New Zealand"/>
    <s v="(주)한국인삼공사"/>
    <s v="녹용(건조)"/>
    <s v="DRIED RED DEER VELVET ANTLER"/>
    <s v="녹용(건조)"/>
    <x v="14"/>
    <s v="2022-09-02"/>
    <m/>
    <m/>
    <m/>
  </r>
  <r>
    <x v="4"/>
    <x v="10"/>
    <s v="29"/>
    <x v="2"/>
    <x v="0"/>
    <x v="3"/>
    <s v="New Zealand"/>
    <s v="주식회사 비봉허브"/>
    <s v="녹용"/>
    <s v="DEER HORN"/>
    <s v="녹용(건조)"/>
    <x v="40"/>
    <s v="2022-08-29"/>
    <m/>
    <m/>
    <m/>
  </r>
  <r>
    <x v="4"/>
    <x v="10"/>
    <s v="24"/>
    <x v="11"/>
    <x v="0"/>
    <x v="3"/>
    <s v="New Zealand"/>
    <s v="(주)한국인삼공사"/>
    <s v="녹용(건조)"/>
    <s v="DRIED RED DEER VELVET ANTLER"/>
    <s v="녹용(건조)"/>
    <x v="39"/>
    <s v="2022-08-24"/>
    <m/>
    <m/>
    <m/>
  </r>
  <r>
    <x v="4"/>
    <x v="10"/>
    <s v="08"/>
    <x v="1"/>
    <x v="0"/>
    <x v="3"/>
    <s v="New Zealand"/>
    <s v="주식회사 이룡제약"/>
    <s v="녹용"/>
    <s v="DEER HORN"/>
    <s v="녹용(건조)"/>
    <x v="0"/>
    <s v="2022-08-08"/>
    <m/>
    <m/>
    <m/>
  </r>
  <r>
    <x v="4"/>
    <x v="10"/>
    <s v="05"/>
    <x v="12"/>
    <x v="0"/>
    <x v="3"/>
    <s v="China"/>
    <s v="유진통상"/>
    <s v="건조녹용"/>
    <s v="DRIED REDDEER VELVET ANTLER"/>
    <s v="녹용(건조)"/>
    <x v="3"/>
    <s v="2022-08-05"/>
    <m/>
    <m/>
    <m/>
  </r>
  <r>
    <x v="4"/>
    <x v="10"/>
    <s v="04"/>
    <x v="6"/>
    <x v="1"/>
    <x v="3"/>
    <s v="New Zealand"/>
    <s v="(주)온누리바이오생약"/>
    <s v="녹용"/>
    <s v="DEER HORN"/>
    <s v="녹용(냉동)"/>
    <x v="40"/>
    <s v="2022-08-04"/>
    <m/>
    <m/>
    <m/>
  </r>
  <r>
    <x v="4"/>
    <x v="11"/>
    <s v="29"/>
    <x v="11"/>
    <x v="0"/>
    <x v="3"/>
    <s v="New Zealand"/>
    <s v="(주)한국인삼공사"/>
    <s v="녹용(건조)"/>
    <s v="DRIED RED DEER VELVET ANTLER"/>
    <s v="녹용(건조)"/>
    <x v="14"/>
    <s v="2022-07-29"/>
    <m/>
    <m/>
    <m/>
  </r>
  <r>
    <x v="4"/>
    <x v="11"/>
    <s v="12"/>
    <x v="11"/>
    <x v="0"/>
    <x v="3"/>
    <s v="New Zealand"/>
    <s v="(주)한국인삼공사"/>
    <s v="녹용(건조)"/>
    <s v="DRIED RED DEER VELVET ANTLER"/>
    <s v="녹용(건조)"/>
    <x v="39"/>
    <s v="2022-07-12"/>
    <m/>
    <m/>
    <m/>
  </r>
  <r>
    <x v="4"/>
    <x v="11"/>
    <s v="07"/>
    <x v="3"/>
    <x v="1"/>
    <x v="3"/>
    <s v="New Zealand"/>
    <s v="(주)케이앤씨디어트레이드"/>
    <s v="생녹용(냉동)"/>
    <s v="FROZEN RED DEER VELVET ANTLER"/>
    <s v="생녹용(냉동)"/>
    <x v="10"/>
    <s v="2022-07-07"/>
    <m/>
    <m/>
    <m/>
  </r>
  <r>
    <x v="4"/>
    <x v="11"/>
    <s v="05"/>
    <x v="4"/>
    <x v="1"/>
    <x v="3"/>
    <s v="New Zealand"/>
    <s v="와이더블유 인터내셔날"/>
    <s v="냉동녹용"/>
    <s v="FROZEN RED DEER VELVET ANTLER(WHOLE)"/>
    <s v="생녹용(냉동)"/>
    <x v="21"/>
    <s v="2022-07-05"/>
    <m/>
    <m/>
    <m/>
  </r>
  <r>
    <x v="4"/>
    <x v="0"/>
    <s v="30"/>
    <x v="36"/>
    <x v="0"/>
    <x v="3"/>
    <s v="China"/>
    <s v="주식회사 한방인 농업법인회사"/>
    <s v="건조녹용"/>
    <s v="DRIED RED DEER VELVET ANTLER"/>
    <s v="녹용(건조)"/>
    <x v="38"/>
    <s v="2022-06-30"/>
    <m/>
    <m/>
    <m/>
  </r>
  <r>
    <x v="4"/>
    <x v="0"/>
    <s v="30"/>
    <x v="11"/>
    <x v="0"/>
    <x v="3"/>
    <s v="New Zealand"/>
    <s v="(주)한국인삼공사"/>
    <s v="녹용(건조)"/>
    <s v="DRIED RED DEER VELVET ANTLER"/>
    <s v="녹용(건조)"/>
    <x v="39"/>
    <s v="2022-06-30"/>
    <m/>
    <m/>
    <m/>
  </r>
  <r>
    <x v="4"/>
    <x v="0"/>
    <s v="22"/>
    <x v="9"/>
    <x v="1"/>
    <x v="3"/>
    <s v="New Zealand"/>
    <s v="화용제약"/>
    <s v="생녹용(냉동)"/>
    <s v="FROZEN DEER HORN"/>
    <s v="생녹용(냉동)"/>
    <x v="0"/>
    <s v="2022-06-22"/>
    <m/>
    <m/>
    <m/>
  </r>
  <r>
    <x v="4"/>
    <x v="0"/>
    <s v="15"/>
    <x v="33"/>
    <x v="0"/>
    <x v="3"/>
    <s v="China"/>
    <s v="(주)이룸제약법인"/>
    <s v="건조녹용"/>
    <s v="DRIED RED DEER VELVET ANTLER"/>
    <s v="녹용(건조)"/>
    <x v="38"/>
    <s v="2022-06-15"/>
    <m/>
    <m/>
    <m/>
  </r>
  <r>
    <x v="4"/>
    <x v="0"/>
    <s v="07"/>
    <x v="11"/>
    <x v="0"/>
    <x v="3"/>
    <s v="New Zealand"/>
    <s v="(주)한국인삼공사"/>
    <s v="건조녹용"/>
    <s v="DRIED RED DEER VELVET ANTLER"/>
    <s v="녹용(건조)"/>
    <x v="14"/>
    <s v="2022-06-07"/>
    <m/>
    <m/>
    <m/>
  </r>
  <r>
    <x v="4"/>
    <x v="1"/>
    <s v="19"/>
    <x v="32"/>
    <x v="1"/>
    <x v="3"/>
    <s v="New Zealand"/>
    <s v="(주)시원생약"/>
    <s v="생녹용"/>
    <s v="FROZEN DEER HORN"/>
    <s v="생녹용(냉동)"/>
    <x v="25"/>
    <s v="2022-05-19"/>
    <m/>
    <m/>
    <m/>
  </r>
  <r>
    <x v="4"/>
    <x v="1"/>
    <s v="11"/>
    <x v="3"/>
    <x v="1"/>
    <x v="3"/>
    <s v="New Zealand"/>
    <s v="(주)케이앤씨디어트레이드"/>
    <s v="생녹용"/>
    <s v="FROZEN RED DEER VELVET ANTLER"/>
    <s v="생녹용(냉동)"/>
    <x v="11"/>
    <s v="2022-05-11"/>
    <m/>
    <m/>
    <m/>
  </r>
  <r>
    <x v="4"/>
    <x v="1"/>
    <s v="11"/>
    <x v="4"/>
    <x v="1"/>
    <x v="3"/>
    <s v="New Zealand"/>
    <s v="와이더블유 인터내셔날"/>
    <s v="냉동녹용"/>
    <s v="FROZEN RED DEER VELVET ANTLER(WHOLE)"/>
    <s v="생녹용(냉동)"/>
    <x v="21"/>
    <s v="2022-05-11"/>
    <m/>
    <m/>
    <m/>
  </r>
  <r>
    <x v="4"/>
    <x v="1"/>
    <s v="09"/>
    <x v="11"/>
    <x v="0"/>
    <x v="3"/>
    <s v="New Zealand"/>
    <s v="(주)한국인삼공사"/>
    <s v="녹용(건조)"/>
    <s v="DRIED RED DEER VELVET ANTLER"/>
    <s v="녹용(건조)"/>
    <x v="39"/>
    <s v="2022-05-09"/>
    <m/>
    <m/>
    <m/>
  </r>
  <r>
    <x v="4"/>
    <x v="1"/>
    <s v="09"/>
    <x v="2"/>
    <x v="0"/>
    <x v="3"/>
    <s v="New Zealand"/>
    <s v="주식회사 비봉허브"/>
    <s v="녹용(건조)"/>
    <s v="DRIED RED DEER VELVET ANTLER"/>
    <s v="녹용(건조)"/>
    <x v="0"/>
    <s v="2022-05-09"/>
    <m/>
    <m/>
    <m/>
  </r>
  <r>
    <x v="4"/>
    <x v="1"/>
    <s v="09"/>
    <x v="37"/>
    <x v="0"/>
    <x v="3"/>
    <s v="China"/>
    <s v="하랑무약"/>
    <s v="녹용(건조)"/>
    <s v="DRIED RED DEER VELVET ANTLER"/>
    <s v="녹용(건조)"/>
    <x v="38"/>
    <s v="2022-05-09"/>
    <m/>
    <m/>
    <m/>
  </r>
  <r>
    <x v="4"/>
    <x v="1"/>
    <s v="09"/>
    <x v="14"/>
    <x v="0"/>
    <x v="3"/>
    <s v="China"/>
    <s v="(주)용보제약"/>
    <s v="녹용(건조)"/>
    <s v="DRIED RED DEER VELVET ANTLER"/>
    <s v="녹용(건조)"/>
    <x v="8"/>
    <s v="2022-05-09"/>
    <m/>
    <m/>
    <m/>
  </r>
  <r>
    <x v="4"/>
    <x v="1"/>
    <s v="09"/>
    <x v="7"/>
    <x v="0"/>
    <x v="3"/>
    <s v="China"/>
    <s v="(주)우성생약"/>
    <s v="녹용(건조)"/>
    <s v="DRIED RED DEER VELVET ANTLER"/>
    <s v="녹용(건조)"/>
    <x v="8"/>
    <s v="2022-05-09"/>
    <m/>
    <m/>
    <m/>
  </r>
  <r>
    <x v="4"/>
    <x v="2"/>
    <s v="25"/>
    <x v="38"/>
    <x v="0"/>
    <x v="3"/>
    <s v="China"/>
    <s v="한선트레이딩 주식회사"/>
    <s v="건조녹용"/>
    <s v="DRIED RED DEER VELVET ANTLER"/>
    <s v="녹용(건조)"/>
    <x v="38"/>
    <s v="2022-04-25"/>
    <m/>
    <m/>
    <m/>
  </r>
  <r>
    <x v="4"/>
    <x v="2"/>
    <s v="18"/>
    <x v="0"/>
    <x v="0"/>
    <x v="3"/>
    <s v="New Zealand"/>
    <s v="(주)천호엔케어"/>
    <s v="건조녹용"/>
    <s v="DRIED RED DEER VELVET ANTLER"/>
    <s v="녹용(건조)"/>
    <x v="0"/>
    <s v="2022-04-18"/>
    <m/>
    <m/>
    <m/>
  </r>
  <r>
    <x v="4"/>
    <x v="2"/>
    <s v="18"/>
    <x v="11"/>
    <x v="0"/>
    <x v="3"/>
    <s v="New Zealand"/>
    <s v="(주)한국인삼공사"/>
    <s v="건조녹용"/>
    <s v="DRIED RED DEER VELVET ANTLER"/>
    <s v="녹용(건조)"/>
    <x v="14"/>
    <s v="2022-04-18"/>
    <m/>
    <m/>
    <m/>
  </r>
  <r>
    <x v="4"/>
    <x v="2"/>
    <s v="18"/>
    <x v="6"/>
    <x v="0"/>
    <x v="3"/>
    <s v="China"/>
    <s v="(주)온누리바이오생약"/>
    <s v="녹용"/>
    <s v="DEER HORN"/>
    <s v="녹용(건조)"/>
    <x v="38"/>
    <s v="2022-04-18"/>
    <m/>
    <m/>
    <m/>
  </r>
  <r>
    <x v="4"/>
    <x v="2"/>
    <s v="12"/>
    <x v="3"/>
    <x v="1"/>
    <x v="3"/>
    <s v="New Zealand"/>
    <s v="(주)케이앤씨디어트레이드"/>
    <s v="생녹용(냉동)"/>
    <s v="FROZEN RED DEER VELVET ANTLER"/>
    <s v="생녹용(냉동)"/>
    <x v="10"/>
    <s v="2022-04-12"/>
    <m/>
    <m/>
    <m/>
  </r>
  <r>
    <x v="4"/>
    <x v="2"/>
    <s v="06"/>
    <x v="11"/>
    <x v="0"/>
    <x v="3"/>
    <s v="New Zealand"/>
    <s v="(주)한국인삼공사"/>
    <s v="건조녹용"/>
    <s v="DRIED RED DEER VELVET ANTLER"/>
    <s v="녹용(건조)"/>
    <x v="39"/>
    <s v="2022-04-06"/>
    <m/>
    <m/>
    <m/>
  </r>
  <r>
    <x v="4"/>
    <x v="2"/>
    <s v="06"/>
    <x v="31"/>
    <x v="0"/>
    <x v="3"/>
    <s v="China"/>
    <s v="케이앤씨(K&amp;C)"/>
    <s v="건조녹용"/>
    <s v="DRIED RED DEER VELVET ANTLER"/>
    <s v="녹용(건조)"/>
    <x v="8"/>
    <s v="2022-04-06"/>
    <m/>
    <m/>
    <m/>
  </r>
  <r>
    <x v="4"/>
    <x v="2"/>
    <s v="06"/>
    <x v="33"/>
    <x v="0"/>
    <x v="3"/>
    <s v="China"/>
    <s v="(주)이룸제약법인"/>
    <s v="건조녹용"/>
    <s v="DRIED RED DEER VELVET ANTLER"/>
    <s v="녹용(건조)"/>
    <x v="38"/>
    <s v="2022-04-06"/>
    <m/>
    <m/>
    <m/>
  </r>
  <r>
    <x v="4"/>
    <x v="2"/>
    <s v="01"/>
    <x v="11"/>
    <x v="0"/>
    <x v="3"/>
    <s v="New Zealand"/>
    <s v="(주)한국인삼공사"/>
    <s v="건조녹용"/>
    <s v="DRIED RED DEER VELVET ANTLER"/>
    <s v="녹용(건조)"/>
    <x v="14"/>
    <s v="2022-04-01"/>
    <m/>
    <m/>
    <m/>
  </r>
  <r>
    <x v="4"/>
    <x v="2"/>
    <s v="01"/>
    <x v="18"/>
    <x v="0"/>
    <x v="3"/>
    <s v="New Zealand"/>
    <s v="향나바이오 주식회사"/>
    <s v="녹용"/>
    <s v="DEER HORN"/>
    <s v="녹용(건조)"/>
    <x v="36"/>
    <s v="2022-04-01"/>
    <m/>
    <m/>
    <m/>
  </r>
  <r>
    <x v="4"/>
    <x v="3"/>
    <s v="18"/>
    <x v="11"/>
    <x v="0"/>
    <x v="3"/>
    <s v="New Zealand"/>
    <s v="(주)한국인삼공사"/>
    <s v="건조녹용"/>
    <s v="DRIED RED DEER VELVET ANTLER"/>
    <s v="녹용(건조)"/>
    <x v="39"/>
    <s v="2022-03-18"/>
    <m/>
    <m/>
    <m/>
  </r>
  <r>
    <x v="4"/>
    <x v="3"/>
    <s v="15"/>
    <x v="3"/>
    <x v="1"/>
    <x v="3"/>
    <s v="New Zealand"/>
    <s v="(주)케이앤씨디어트레이드"/>
    <s v="생녹용(냉동)"/>
    <s v="FROZEN RED DEER VELVET ANTLER"/>
    <s v="생녹용(냉동)"/>
    <x v="14"/>
    <s v="2022-03-15"/>
    <m/>
    <m/>
    <m/>
  </r>
  <r>
    <x v="4"/>
    <x v="3"/>
    <s v="10"/>
    <x v="34"/>
    <x v="0"/>
    <x v="3"/>
    <s v="China"/>
    <s v="일성식품"/>
    <s v="녹용"/>
    <s v="DEER HORN"/>
    <s v="녹용(건조)"/>
    <x v="38"/>
    <s v="2022-03-10"/>
    <m/>
    <m/>
    <m/>
  </r>
  <r>
    <x v="4"/>
    <x v="4"/>
    <s v="21"/>
    <x v="2"/>
    <x v="0"/>
    <x v="3"/>
    <s v="New Zealand"/>
    <s v="주식회사 비봉허브"/>
    <s v="녹용(건조)"/>
    <s v="DRIED RED DEER VELVET ANTLER"/>
    <s v="녹용(건조)"/>
    <x v="40"/>
    <s v="2022-02-21"/>
    <m/>
    <m/>
    <m/>
  </r>
  <r>
    <x v="4"/>
    <x v="4"/>
    <s v="16"/>
    <x v="39"/>
    <x v="0"/>
    <x v="3"/>
    <s v="Russia"/>
    <s v="비아텍주식회사"/>
    <s v="녹용(건조)"/>
    <s v="DRIED MARAL VELVET ANTLER"/>
    <s v="녹용(건조)"/>
    <x v="46"/>
    <s v="2022-02-16"/>
    <m/>
    <m/>
    <m/>
  </r>
  <r>
    <x v="4"/>
    <x v="4"/>
    <s v="15"/>
    <x v="18"/>
    <x v="0"/>
    <x v="3"/>
    <s v="New Zealand"/>
    <s v="향나바이오 주식회사"/>
    <s v="녹용"/>
    <s v="DEER HORN"/>
    <s v="녹용(건조)"/>
    <x v="0"/>
    <s v="2022-02-15"/>
    <m/>
    <m/>
    <m/>
  </r>
  <r>
    <x v="4"/>
    <x v="4"/>
    <s v="10"/>
    <x v="28"/>
    <x v="0"/>
    <x v="3"/>
    <s v="New Zealand"/>
    <s v="명가녹용 주식회사"/>
    <s v="녹용"/>
    <s v="DRIED RED DEER VELVET ANTLER(WHOLE)"/>
    <s v="녹용(건조)"/>
    <x v="40"/>
    <s v="2022-02-10"/>
    <m/>
    <m/>
    <m/>
  </r>
  <r>
    <x v="4"/>
    <x v="4"/>
    <s v="03"/>
    <x v="9"/>
    <x v="0"/>
    <x v="3"/>
    <s v="China"/>
    <s v="화용제약"/>
    <s v="녹용"/>
    <s v="DEER HORN"/>
    <s v="녹용(건조)"/>
    <x v="38"/>
    <s v="2022-02-03"/>
    <m/>
    <m/>
    <m/>
  </r>
  <r>
    <x v="4"/>
    <x v="5"/>
    <s v="27"/>
    <x v="28"/>
    <x v="1"/>
    <x v="3"/>
    <s v="New Zealand"/>
    <s v="명가녹용 주식회사"/>
    <s v="생녹용"/>
    <s v="FROZEN RED DEER VELVET ANTLER"/>
    <s v="생녹용(냉동)"/>
    <x v="40"/>
    <s v="2022-01-27"/>
    <m/>
    <m/>
    <m/>
  </r>
  <r>
    <x v="4"/>
    <x v="5"/>
    <s v="26"/>
    <x v="10"/>
    <x v="1"/>
    <x v="3"/>
    <s v="New Zealand"/>
    <s v="(주)바이오닷"/>
    <s v="생녹용"/>
    <s v="FROZEN RED DEER VELVET ANTLER"/>
    <s v="생녹용(냉동)"/>
    <x v="40"/>
    <s v="2022-01-26"/>
    <m/>
    <m/>
    <m/>
  </r>
  <r>
    <x v="4"/>
    <x v="5"/>
    <s v="25"/>
    <x v="1"/>
    <x v="1"/>
    <x v="3"/>
    <s v="New Zealand"/>
    <s v="주식회사 이룡제약"/>
    <s v="녹용"/>
    <s v="DEER HORN"/>
    <s v="녹용(냉동)"/>
    <x v="40"/>
    <s v="2022-01-25"/>
    <m/>
    <m/>
    <m/>
  </r>
  <r>
    <x v="4"/>
    <x v="5"/>
    <s v="24"/>
    <x v="34"/>
    <x v="0"/>
    <x v="3"/>
    <s v="China"/>
    <s v="일성식품"/>
    <s v="녹용"/>
    <s v="DEER HORN"/>
    <s v="녹용(건조)"/>
    <x v="38"/>
    <s v="2022-01-24"/>
    <m/>
    <m/>
    <m/>
  </r>
  <r>
    <x v="4"/>
    <x v="5"/>
    <s v="20"/>
    <x v="3"/>
    <x v="1"/>
    <x v="3"/>
    <s v="New Zealand"/>
    <s v="(주)케이앤씨디어트레이드"/>
    <s v="생녹용(냉동)"/>
    <s v="FROZEN RED DEER VELVET ANTLER"/>
    <s v="생녹용(냉동)"/>
    <x v="10"/>
    <s v="2022-01-20"/>
    <m/>
    <m/>
    <m/>
  </r>
  <r>
    <x v="4"/>
    <x v="5"/>
    <s v="17"/>
    <x v="3"/>
    <x v="1"/>
    <x v="3"/>
    <s v="New Zealand"/>
    <s v="(주)케이앤씨디어트레이드"/>
    <s v="생녹용(냉동)"/>
    <s v="FROZEN RED DEER VELVET ANTLER"/>
    <s v="생녹용(냉동)"/>
    <x v="10"/>
    <s v="2022-01-17"/>
    <m/>
    <m/>
    <m/>
  </r>
  <r>
    <x v="4"/>
    <x v="5"/>
    <s v="17"/>
    <x v="3"/>
    <x v="1"/>
    <x v="3"/>
    <s v="New Zealand"/>
    <s v="(주)케이앤씨디어트레이드"/>
    <s v="생녹용(냉동)"/>
    <s v="FROZEN RED DEER VELVET ANTLER"/>
    <s v="생녹용(냉동)"/>
    <x v="10"/>
    <s v="2022-01-17"/>
    <m/>
    <m/>
    <m/>
  </r>
  <r>
    <x v="4"/>
    <x v="5"/>
    <s v="11"/>
    <x v="4"/>
    <x v="1"/>
    <x v="3"/>
    <s v="New Zealand"/>
    <s v="와이더블유 인터내셔날"/>
    <s v="생녹용(냉동)"/>
    <s v="FROZEN WHOLE DEER VELVET ANTLER"/>
    <m/>
    <x v="5"/>
    <s v="2022-01-11"/>
    <m/>
    <m/>
    <m/>
  </r>
  <r>
    <x v="5"/>
    <x v="6"/>
    <s v="28"/>
    <x v="33"/>
    <x v="0"/>
    <x v="3"/>
    <s v="China"/>
    <s v="(주)이룸제약법인"/>
    <s v="건조녹용"/>
    <s v="DRIED RED DEER VELVET ANTLER"/>
    <m/>
    <x v="38"/>
    <s v="2021-12-28"/>
    <m/>
    <m/>
    <m/>
  </r>
  <r>
    <x v="5"/>
    <x v="6"/>
    <s v="24"/>
    <x v="10"/>
    <x v="1"/>
    <x v="3"/>
    <s v="New Zealand"/>
    <s v="(주)바이오닷"/>
    <s v="생녹용"/>
    <s v="FROZEN RED DEER VELVET ANTLER"/>
    <m/>
    <x v="28"/>
    <s v="2021-12-24"/>
    <m/>
    <m/>
    <m/>
  </r>
  <r>
    <x v="5"/>
    <x v="6"/>
    <s v="24"/>
    <x v="7"/>
    <x v="0"/>
    <x v="3"/>
    <s v="China"/>
    <s v="(주)우성생약"/>
    <s v="녹용(건조)"/>
    <s v="DRIED RED DEER VELVET ANTLER"/>
    <m/>
    <x v="8"/>
    <s v="2021-12-24"/>
    <m/>
    <m/>
    <m/>
  </r>
  <r>
    <x v="5"/>
    <x v="7"/>
    <s v="24"/>
    <x v="22"/>
    <x v="3"/>
    <x v="3"/>
    <s v="Russia"/>
    <s v="태안약업(주)"/>
    <s v="녹용"/>
    <s v="DEER HORN"/>
    <m/>
    <x v="18"/>
    <s v="2021-11-24"/>
    <m/>
    <m/>
    <m/>
  </r>
  <r>
    <x v="5"/>
    <x v="7"/>
    <s v="22"/>
    <x v="18"/>
    <x v="3"/>
    <x v="3"/>
    <s v="Russia"/>
    <s v="향나바이오 주식회사"/>
    <s v="녹용"/>
    <s v="DEER HORN"/>
    <m/>
    <x v="32"/>
    <s v="2021-11-22"/>
    <m/>
    <m/>
    <m/>
  </r>
  <r>
    <x v="5"/>
    <x v="7"/>
    <s v="22"/>
    <x v="34"/>
    <x v="3"/>
    <x v="3"/>
    <s v="Russia"/>
    <s v="일성식품"/>
    <s v="녹용"/>
    <s v="DEER HORN"/>
    <m/>
    <x v="32"/>
    <s v="2021-11-22"/>
    <m/>
    <m/>
    <m/>
  </r>
  <r>
    <x v="5"/>
    <x v="7"/>
    <s v="22"/>
    <x v="4"/>
    <x v="3"/>
    <x v="3"/>
    <s v="New Zealand"/>
    <s v="와이더블유 인터내셔날"/>
    <s v="녹용"/>
    <s v="DRIED WHOLE DEER VELVET"/>
    <m/>
    <x v="5"/>
    <s v="2021-11-22"/>
    <m/>
    <m/>
    <m/>
  </r>
  <r>
    <x v="5"/>
    <x v="7"/>
    <s v="22"/>
    <x v="15"/>
    <x v="3"/>
    <x v="3"/>
    <s v="Russia"/>
    <s v="조은생약"/>
    <s v="녹용"/>
    <s v="DEER HORN"/>
    <m/>
    <x v="18"/>
    <s v="2021-11-22"/>
    <m/>
    <m/>
    <m/>
  </r>
  <r>
    <x v="5"/>
    <x v="7"/>
    <s v="15"/>
    <x v="28"/>
    <x v="3"/>
    <x v="3"/>
    <s v="Russia"/>
    <s v="명가녹용 주식회사"/>
    <s v="녹용"/>
    <s v="MARAL DEER HORNS"/>
    <m/>
    <x v="32"/>
    <s v="2021-11-15"/>
    <m/>
    <m/>
    <m/>
  </r>
  <r>
    <x v="5"/>
    <x v="7"/>
    <s v="09"/>
    <x v="31"/>
    <x v="0"/>
    <x v="3"/>
    <s v="China"/>
    <s v="케이앤씨(K&amp;C)"/>
    <s v="건조녹용"/>
    <s v="DRIED RED DEER VELVET ANTLER"/>
    <m/>
    <x v="8"/>
    <s v="2021-11-09"/>
    <m/>
    <m/>
    <m/>
  </r>
  <r>
    <x v="5"/>
    <x v="7"/>
    <s v="09"/>
    <x v="39"/>
    <x v="0"/>
    <x v="3"/>
    <s v="Russia"/>
    <s v="비아텍주식회사"/>
    <s v="녹용(건조)"/>
    <s v="DRIED MARAL VELVET ANTLER"/>
    <m/>
    <x v="46"/>
    <s v="2021-11-09"/>
    <m/>
    <m/>
    <m/>
  </r>
  <r>
    <x v="5"/>
    <x v="7"/>
    <s v="05"/>
    <x v="16"/>
    <x v="0"/>
    <x v="3"/>
    <s v="Russia"/>
    <s v="(주)대원알디티"/>
    <s v="녹용(건조)"/>
    <s v="DEER HORNS VELVET ANTLER"/>
    <m/>
    <x v="19"/>
    <s v="2021-11-05"/>
    <m/>
    <m/>
    <m/>
  </r>
  <r>
    <x v="5"/>
    <x v="7"/>
    <s v="05"/>
    <x v="6"/>
    <x v="3"/>
    <x v="3"/>
    <s v="China"/>
    <s v="(주)온누리바이오생약"/>
    <s v="녹용"/>
    <s v="DEER HORN"/>
    <m/>
    <x v="37"/>
    <s v="2021-11-05"/>
    <m/>
    <m/>
    <m/>
  </r>
  <r>
    <x v="5"/>
    <x v="7"/>
    <s v="05"/>
    <x v="40"/>
    <x v="3"/>
    <x v="3"/>
    <s v="Russia"/>
    <s v="(주)대흥제약"/>
    <s v="녹용"/>
    <s v="DEER HORN"/>
    <m/>
    <x v="20"/>
    <s v="2021-11-05"/>
    <m/>
    <m/>
    <m/>
  </r>
  <r>
    <x v="5"/>
    <x v="7"/>
    <s v="02"/>
    <x v="4"/>
    <x v="3"/>
    <x v="3"/>
    <s v="Russia"/>
    <s v="와이더블유 인터내셔날"/>
    <s v="녹용"/>
    <s v="MARAL DEER HORNS"/>
    <m/>
    <x v="32"/>
    <s v="2021-11-02"/>
    <m/>
    <m/>
    <m/>
  </r>
  <r>
    <x v="5"/>
    <x v="8"/>
    <s v="25"/>
    <x v="17"/>
    <x v="0"/>
    <x v="3"/>
    <s v="Russia"/>
    <s v="흥수녹용"/>
    <s v="녹용(건조)"/>
    <s v="DEER HORNS VELVET ANTLER"/>
    <m/>
    <x v="27"/>
    <s v="2021-10-25"/>
    <m/>
    <m/>
    <m/>
  </r>
  <r>
    <x v="5"/>
    <x v="8"/>
    <s v="19"/>
    <x v="3"/>
    <x v="1"/>
    <x v="3"/>
    <s v="New Zealand"/>
    <s v="(주)케이앤씨디어트레이드"/>
    <s v="생녹용"/>
    <s v="FROZEN RED DEER VELVET ANTLER"/>
    <m/>
    <x v="14"/>
    <s v="2021-10-19"/>
    <m/>
    <m/>
    <m/>
  </r>
  <r>
    <x v="5"/>
    <x v="8"/>
    <s v="01"/>
    <x v="31"/>
    <x v="0"/>
    <x v="3"/>
    <s v="China"/>
    <s v="케이앤씨(K&amp;C)"/>
    <s v="건조녹용"/>
    <s v="DRIED RED DEER VELVET ANTLER"/>
    <m/>
    <x v="8"/>
    <s v="2021-10-01"/>
    <m/>
    <m/>
    <m/>
  </r>
  <r>
    <x v="5"/>
    <x v="8"/>
    <s v="01"/>
    <x v="41"/>
    <x v="0"/>
    <x v="3"/>
    <s v="China"/>
    <s v="우성생약(주)"/>
    <s v="녹용(건조)"/>
    <s v="DRIED RED DEER VELVET ANTLER"/>
    <m/>
    <x v="8"/>
    <s v="2021-10-01"/>
    <m/>
    <m/>
    <m/>
  </r>
  <r>
    <x v="5"/>
    <x v="8"/>
    <s v="01"/>
    <x v="12"/>
    <x v="0"/>
    <x v="3"/>
    <s v="Russia"/>
    <s v="유진통상"/>
    <s v="건조녹용"/>
    <s v="DEER HORN"/>
    <m/>
    <x v="43"/>
    <s v="2021-10-01"/>
    <m/>
    <m/>
    <m/>
  </r>
  <r>
    <x v="5"/>
    <x v="9"/>
    <s v="24"/>
    <x v="9"/>
    <x v="3"/>
    <x v="3"/>
    <s v="China"/>
    <s v="화용제약"/>
    <s v="녹용"/>
    <s v="DEER HORN"/>
    <m/>
    <x v="37"/>
    <s v="2021-09-24"/>
    <m/>
    <m/>
    <m/>
  </r>
  <r>
    <x v="5"/>
    <x v="9"/>
    <s v="13"/>
    <x v="18"/>
    <x v="3"/>
    <x v="3"/>
    <s v="China"/>
    <s v="향나바이오 주식회사"/>
    <s v="녹용"/>
    <s v="DEER HORN"/>
    <m/>
    <x v="37"/>
    <s v="2021-09-13"/>
    <m/>
    <m/>
    <m/>
  </r>
  <r>
    <x v="5"/>
    <x v="9"/>
    <s v="06"/>
    <x v="6"/>
    <x v="3"/>
    <x v="3"/>
    <s v="China"/>
    <s v="(주)온누리바이오생약"/>
    <s v="녹용"/>
    <s v="DEER HORN"/>
    <m/>
    <x v="38"/>
    <s v="2021-09-06"/>
    <m/>
    <m/>
    <m/>
  </r>
  <r>
    <x v="5"/>
    <x v="10"/>
    <s v="31"/>
    <x v="33"/>
    <x v="0"/>
    <x v="3"/>
    <s v="China"/>
    <s v="(주)이룸제약법인"/>
    <s v="건조녹용"/>
    <s v="DRIED RED DEER VELVET ANTLER"/>
    <m/>
    <x v="38"/>
    <s v="2021-08-31"/>
    <m/>
    <m/>
    <m/>
  </r>
  <r>
    <x v="5"/>
    <x v="10"/>
    <s v="23"/>
    <x v="6"/>
    <x v="3"/>
    <x v="3"/>
    <s v="Russia"/>
    <s v="(주)온누리바이오생약"/>
    <s v="녹용"/>
    <s v="DEER HORN"/>
    <m/>
    <x v="42"/>
    <s v="2021-08-23"/>
    <m/>
    <m/>
    <m/>
  </r>
  <r>
    <x v="5"/>
    <x v="10"/>
    <s v="23"/>
    <x v="2"/>
    <x v="0"/>
    <x v="3"/>
    <s v="New Zealand"/>
    <s v="주식회사 비봉허브"/>
    <s v="녹용(건조)"/>
    <s v="DRIED RED DEER VELVET ANTLER"/>
    <m/>
    <x v="47"/>
    <s v="2021-08-23"/>
    <m/>
    <m/>
    <m/>
  </r>
  <r>
    <x v="5"/>
    <x v="10"/>
    <s v="18"/>
    <x v="33"/>
    <x v="0"/>
    <x v="3"/>
    <s v="China"/>
    <s v="(주)이룸제약법인"/>
    <s v="건조녹용"/>
    <s v="DRIED RED DEER VELVET ANTLER"/>
    <m/>
    <x v="38"/>
    <s v="2021-08-18"/>
    <m/>
    <m/>
    <m/>
  </r>
  <r>
    <x v="5"/>
    <x v="10"/>
    <s v="09"/>
    <x v="11"/>
    <x v="0"/>
    <x v="3"/>
    <s v="New Zealand"/>
    <s v="(주)한국인삼공사"/>
    <s v="건조녹용"/>
    <s v="DRIED RED DEER VELVET ANTLER"/>
    <m/>
    <x v="14"/>
    <s v="2021-08-09"/>
    <m/>
    <m/>
    <m/>
  </r>
  <r>
    <x v="5"/>
    <x v="11"/>
    <s v="20"/>
    <x v="11"/>
    <x v="0"/>
    <x v="3"/>
    <s v="New Zealand"/>
    <s v="(주)한국인삼공사"/>
    <s v="건조녹용"/>
    <s v="DRIED RED DEER VELVET ANTLER"/>
    <m/>
    <x v="48"/>
    <s v="2021-07-20"/>
    <m/>
    <m/>
    <m/>
  </r>
  <r>
    <x v="5"/>
    <x v="11"/>
    <s v="20"/>
    <x v="33"/>
    <x v="0"/>
    <x v="3"/>
    <s v="Russia"/>
    <s v="(주)이룸제약법인"/>
    <s v="건조녹용"/>
    <s v="DEER HORNS VELVET ANTLER"/>
    <m/>
    <x v="49"/>
    <s v="2021-07-20"/>
    <m/>
    <m/>
    <m/>
  </r>
  <r>
    <x v="5"/>
    <x v="11"/>
    <s v="14"/>
    <x v="4"/>
    <x v="1"/>
    <x v="3"/>
    <s v="New Zealand"/>
    <s v="와이더블유 인터내셔날"/>
    <s v="냉동녹용"/>
    <s v="FROZEN RED DEER VELVET ANTLER(WHOLE)"/>
    <m/>
    <x v="50"/>
    <s v="2021-07-14"/>
    <m/>
    <m/>
    <m/>
  </r>
  <r>
    <x v="5"/>
    <x v="11"/>
    <s v="12"/>
    <x v="11"/>
    <x v="0"/>
    <x v="3"/>
    <s v="New Zealand"/>
    <s v="(주)한국인삼공사"/>
    <s v="건조녹용"/>
    <s v="DRIED RED DEER VELVET ANTLER"/>
    <m/>
    <x v="14"/>
    <s v="2021-07-12"/>
    <m/>
    <m/>
    <m/>
  </r>
  <r>
    <x v="5"/>
    <x v="0"/>
    <s v="30"/>
    <x v="32"/>
    <x v="1"/>
    <x v="3"/>
    <s v="New Zealand"/>
    <s v="(주)시원생약"/>
    <s v="생녹용"/>
    <s v="FROZEN DEER HORN"/>
    <m/>
    <x v="51"/>
    <s v="2021-06-30"/>
    <m/>
    <m/>
    <m/>
  </r>
  <r>
    <x v="5"/>
    <x v="0"/>
    <s v="28"/>
    <x v="28"/>
    <x v="1"/>
    <x v="3"/>
    <s v="New Zealand"/>
    <s v="명가녹용 주식회사"/>
    <s v="생녹용"/>
    <s v="FROZEN RED DEER VELVET ANTLER"/>
    <m/>
    <x v="52"/>
    <s v="2021-06-28"/>
    <m/>
    <m/>
    <m/>
  </r>
  <r>
    <x v="5"/>
    <x v="0"/>
    <s v="28"/>
    <x v="11"/>
    <x v="0"/>
    <x v="3"/>
    <s v="New Zealand"/>
    <s v="(주)한국인삼공사"/>
    <s v="건조녹용"/>
    <s v="DRIED RED DEER VELVET ANTLER"/>
    <m/>
    <x v="48"/>
    <s v="2021-06-28"/>
    <m/>
    <m/>
    <m/>
  </r>
  <r>
    <x v="5"/>
    <x v="0"/>
    <s v="01"/>
    <x v="42"/>
    <x v="0"/>
    <x v="3"/>
    <s v="China"/>
    <s v="(주)대한녹용수출입법인"/>
    <s v="녹용(건조)"/>
    <s v="DEER HORN"/>
    <m/>
    <x v="53"/>
    <s v="2021-06-01"/>
    <m/>
    <m/>
    <m/>
  </r>
  <r>
    <x v="5"/>
    <x v="0"/>
    <s v="01"/>
    <x v="6"/>
    <x v="3"/>
    <x v="3"/>
    <s v="China"/>
    <s v="(주)온누리바이오생약"/>
    <s v="녹용"/>
    <s v="DEER HORN"/>
    <m/>
    <x v="54"/>
    <s v="2021-06-01"/>
    <m/>
    <m/>
    <m/>
  </r>
  <r>
    <x v="5"/>
    <x v="0"/>
    <s v="01"/>
    <x v="1"/>
    <x v="3"/>
    <x v="3"/>
    <s v="China"/>
    <s v="주식회사 이룡제약"/>
    <s v="녹용"/>
    <s v="DEER HORN"/>
    <m/>
    <x v="45"/>
    <s v="2021-06-01"/>
    <m/>
    <m/>
    <m/>
  </r>
  <r>
    <x v="5"/>
    <x v="1"/>
    <s v="31"/>
    <x v="12"/>
    <x v="0"/>
    <x v="3"/>
    <s v="Russia"/>
    <s v="유진통상"/>
    <s v="건조녹용"/>
    <s v="DEER HORN"/>
    <m/>
    <x v="55"/>
    <s v="2021-05-31"/>
    <m/>
    <m/>
    <m/>
  </r>
  <r>
    <x v="5"/>
    <x v="1"/>
    <s v="26"/>
    <x v="11"/>
    <x v="0"/>
    <x v="3"/>
    <s v="New Zealand"/>
    <s v="(주)한국인삼공사"/>
    <s v="건조녹용"/>
    <s v="DRIED RED DEER VELVET ANTLER"/>
    <m/>
    <x v="14"/>
    <s v="2021-05-26"/>
    <m/>
    <m/>
    <m/>
  </r>
  <r>
    <x v="5"/>
    <x v="1"/>
    <s v="26"/>
    <x v="11"/>
    <x v="0"/>
    <x v="3"/>
    <s v="New Zealand"/>
    <s v="(주)한국인삼공사"/>
    <s v="녹용(건조)"/>
    <s v="DRIED RED DEER VELVET ANTLER"/>
    <m/>
    <x v="48"/>
    <s v="2021-05-26"/>
    <m/>
    <m/>
    <m/>
  </r>
  <r>
    <x v="5"/>
    <x v="1"/>
    <s v="18"/>
    <x v="4"/>
    <x v="1"/>
    <x v="3"/>
    <s v="New Zealand"/>
    <s v="와이더블유 인터내셔날"/>
    <s v="냉동녹용"/>
    <s v="FROZEN RED DEER VELVET ANTLER(WHOLE)"/>
    <m/>
    <x v="50"/>
    <s v="2021-05-18"/>
    <m/>
    <m/>
    <m/>
  </r>
  <r>
    <x v="5"/>
    <x v="1"/>
    <s v="14"/>
    <x v="33"/>
    <x v="0"/>
    <x v="3"/>
    <s v="New Zealand"/>
    <s v="(주)이룸제약법인"/>
    <s v="건조녹용"/>
    <s v="DRIED RED DEER VELVET ANTLER"/>
    <m/>
    <x v="36"/>
    <s v="2021-05-14"/>
    <m/>
    <m/>
    <m/>
  </r>
  <r>
    <x v="5"/>
    <x v="2"/>
    <s v="29"/>
    <x v="13"/>
    <x v="0"/>
    <x v="3"/>
    <s v="Russia"/>
    <s v="건향제약주식회사"/>
    <s v="녹용(건조)"/>
    <s v="DEER HORNS"/>
    <m/>
    <x v="56"/>
    <s v="2021-04-29"/>
    <m/>
    <m/>
    <m/>
  </r>
  <r>
    <x v="5"/>
    <x v="2"/>
    <s v="29"/>
    <x v="11"/>
    <x v="0"/>
    <x v="3"/>
    <s v="New Zealand"/>
    <s v="(주)한국인삼공사"/>
    <s v="녹용(건조)"/>
    <s v="DRIED RED DEER VELVET ANTLER"/>
    <m/>
    <x v="48"/>
    <s v="2021-04-29"/>
    <m/>
    <m/>
    <m/>
  </r>
  <r>
    <x v="5"/>
    <x v="2"/>
    <s v="09"/>
    <x v="11"/>
    <x v="0"/>
    <x v="3"/>
    <s v="New Zealand"/>
    <s v="(주)한국인삼공사"/>
    <s v="건조녹용"/>
    <s v="DRIED RED DEER VELVET ANTLER"/>
    <m/>
    <x v="14"/>
    <s v="2021-04-09"/>
    <m/>
    <m/>
    <m/>
  </r>
  <r>
    <x v="5"/>
    <x v="2"/>
    <s v="06"/>
    <x v="10"/>
    <x v="1"/>
    <x v="3"/>
    <s v="New Zealand"/>
    <s v="(주)바이오닷"/>
    <s v="생녹용"/>
    <s v="FROZEN RED DEER VELVET ANTLER"/>
    <m/>
    <x v="57"/>
    <s v="2021-04-06"/>
    <m/>
    <m/>
    <m/>
  </r>
  <r>
    <x v="5"/>
    <x v="3"/>
    <s v="30"/>
    <x v="7"/>
    <x v="0"/>
    <x v="3"/>
    <s v="China"/>
    <s v="(주)우성생약"/>
    <s v="녹용(건조)"/>
    <s v="DRIED RED DEER VELVET ANTLER"/>
    <m/>
    <x v="53"/>
    <s v="2021-03-30"/>
    <m/>
    <m/>
    <m/>
  </r>
  <r>
    <x v="5"/>
    <x v="3"/>
    <s v="26"/>
    <x v="3"/>
    <x v="0"/>
    <x v="3"/>
    <s v="Russia"/>
    <s v="(주)케이앤씨디어트레이드"/>
    <s v="녹용(건조)"/>
    <s v="DRIED MARAL VELVET ANTLER(WHOLE)"/>
    <m/>
    <x v="16"/>
    <s v="2021-03-26"/>
    <m/>
    <m/>
    <m/>
  </r>
  <r>
    <x v="5"/>
    <x v="3"/>
    <s v="24"/>
    <x v="0"/>
    <x v="0"/>
    <x v="3"/>
    <s v="New Zealand"/>
    <s v="(주)천호엔케어"/>
    <s v="건조녹용"/>
    <s v="DRIED RED DEER VELVET ANTLER"/>
    <m/>
    <x v="47"/>
    <s v="2021-03-24"/>
    <m/>
    <m/>
    <m/>
  </r>
  <r>
    <x v="5"/>
    <x v="3"/>
    <s v="17"/>
    <x v="11"/>
    <x v="0"/>
    <x v="3"/>
    <s v="New Zealand"/>
    <s v="(주)한국인삼공사"/>
    <s v="건조녹용"/>
    <s v="DRIED RED DEER VELVET ANTLER"/>
    <m/>
    <x v="14"/>
    <s v="2021-03-17"/>
    <m/>
    <m/>
    <m/>
  </r>
  <r>
    <x v="5"/>
    <x v="4"/>
    <s v="25"/>
    <x v="9"/>
    <x v="1"/>
    <x v="3"/>
    <s v="New Zealand"/>
    <s v="화용제약"/>
    <s v="생녹용(냉동)"/>
    <s v="FROZEN DEER HORN"/>
    <m/>
    <x v="57"/>
    <s v="2021-02-25"/>
    <m/>
    <m/>
    <m/>
  </r>
  <r>
    <x v="5"/>
    <x v="4"/>
    <s v="24"/>
    <x v="43"/>
    <x v="3"/>
    <x v="3"/>
    <s v="Russia"/>
    <s v="한네이처(Hannature)"/>
    <s v="녹용"/>
    <s v="DEER HORN"/>
    <m/>
    <x v="58"/>
    <s v="2021-02-24"/>
    <m/>
    <m/>
    <m/>
  </r>
  <r>
    <x v="5"/>
    <x v="4"/>
    <s v="16"/>
    <x v="3"/>
    <x v="1"/>
    <x v="3"/>
    <s v="New Zealand"/>
    <s v="(주)케이앤씨디어트레이드"/>
    <s v="생녹용"/>
    <s v="FROZEN RED DEER VELVET ANTLER"/>
    <m/>
    <x v="59"/>
    <s v="2021-02-16"/>
    <m/>
    <m/>
    <m/>
  </r>
  <r>
    <x v="5"/>
    <x v="4"/>
    <s v="02"/>
    <x v="44"/>
    <x v="1"/>
    <x v="3"/>
    <s v="New Zealand"/>
    <s v="(주)한동허브"/>
    <s v="생녹용(냉동)"/>
    <s v="FROZEN RED DEER VELVET ANTLER"/>
    <m/>
    <x v="60"/>
    <s v="2021-02-02"/>
    <m/>
    <m/>
    <m/>
  </r>
  <r>
    <x v="5"/>
    <x v="4"/>
    <s v="01"/>
    <x v="17"/>
    <x v="0"/>
    <x v="3"/>
    <s v="Russia"/>
    <s v="흥수녹용"/>
    <s v="녹용(건조)"/>
    <s v="DEER HORNS VELVET ANTLER"/>
    <m/>
    <x v="27"/>
    <s v="2021-02-01"/>
    <m/>
    <m/>
    <m/>
  </r>
  <r>
    <x v="5"/>
    <x v="5"/>
    <s v="27"/>
    <x v="24"/>
    <x v="0"/>
    <x v="3"/>
    <s v="New Zealand"/>
    <s v="(주)진수녹용"/>
    <s v="녹용(건조)"/>
    <s v="DRIED RED DEER VELVET ANTLER"/>
    <m/>
    <x v="14"/>
    <s v="2021-01-27"/>
    <m/>
    <m/>
    <m/>
  </r>
  <r>
    <x v="5"/>
    <x v="5"/>
    <s v="26"/>
    <x v="9"/>
    <x v="1"/>
    <x v="3"/>
    <s v="New Zealand"/>
    <s v="화용제약"/>
    <s v="생녹용(냉동)"/>
    <s v="FROZEN DEER HORN"/>
    <m/>
    <x v="57"/>
    <s v="2021-01-26"/>
    <m/>
    <m/>
    <m/>
  </r>
  <r>
    <x v="5"/>
    <x v="5"/>
    <s v="22"/>
    <x v="35"/>
    <x v="1"/>
    <x v="3"/>
    <s v="New Zealand"/>
    <s v="삼보제약"/>
    <s v="생녹용"/>
    <s v="FROZEN RED DEER VELVET ANTLER"/>
    <m/>
    <x v="57"/>
    <s v="2021-01-22"/>
    <m/>
    <m/>
    <m/>
  </r>
  <r>
    <x v="5"/>
    <x v="5"/>
    <s v="22"/>
    <x v="6"/>
    <x v="3"/>
    <x v="3"/>
    <s v="New Zealand"/>
    <s v="(주)온누리바이오생약"/>
    <s v="녹용"/>
    <s v="DEER HORN"/>
    <m/>
    <x v="57"/>
    <s v="2021-01-22"/>
    <m/>
    <m/>
    <m/>
  </r>
  <r>
    <x v="5"/>
    <x v="5"/>
    <s v="05"/>
    <x v="16"/>
    <x v="0"/>
    <x v="3"/>
    <s v="Russia"/>
    <s v="(주)대원알디티"/>
    <s v="녹용(건조)"/>
    <s v="DEER HORNS VELVET ANTLER"/>
    <m/>
    <x v="61"/>
    <s v="2021-01-05"/>
    <m/>
    <m/>
    <m/>
  </r>
  <r>
    <x v="5"/>
    <x v="5"/>
    <s v="04"/>
    <x v="15"/>
    <x v="3"/>
    <x v="3"/>
    <s v="Russia"/>
    <s v="조은생약"/>
    <s v="녹용"/>
    <s v="DEER HORN"/>
    <m/>
    <x v="49"/>
    <s v="2021-01-04"/>
    <m/>
    <m/>
    <m/>
  </r>
  <r>
    <x v="6"/>
    <x v="6"/>
    <s v="17"/>
    <x v="12"/>
    <x v="0"/>
    <x v="3"/>
    <s v="Russia"/>
    <s v="유진통상"/>
    <s v="건조녹용"/>
    <s v="DEER HORN"/>
    <m/>
    <x v="55"/>
    <s v="2020-12-17"/>
    <m/>
    <m/>
    <m/>
  </r>
  <r>
    <x v="6"/>
    <x v="6"/>
    <s v="09"/>
    <x v="45"/>
    <x v="1"/>
    <x v="3"/>
    <s v="New Zealand"/>
    <s v="진가식품"/>
    <s v="생녹용(냉동)"/>
    <s v="FROZEN RED DEER VELVET ANTLER"/>
    <m/>
    <x v="57"/>
    <s v="2020-12-09"/>
    <m/>
    <m/>
    <m/>
  </r>
  <r>
    <x v="6"/>
    <x v="6"/>
    <s v="09"/>
    <x v="46"/>
    <x v="4"/>
    <x v="3"/>
    <s v="Russia"/>
    <s v="원용본가"/>
    <s v="건조녹용(전지)"/>
    <s v="DRIED HORN VELVET ANTLER"/>
    <m/>
    <x v="16"/>
    <s v="2020-12-09"/>
    <m/>
    <m/>
    <m/>
  </r>
  <r>
    <x v="6"/>
    <x v="7"/>
    <s v="27"/>
    <x v="23"/>
    <x v="3"/>
    <x v="3"/>
    <s v="New Zealand"/>
    <s v="주식회사 유한건강생활"/>
    <s v="녹용"/>
    <s v="FROZEN WHOLE STICK VELVET"/>
    <m/>
    <x v="51"/>
    <s v="2020-11-27"/>
    <m/>
    <m/>
    <m/>
  </r>
  <r>
    <x v="6"/>
    <x v="7"/>
    <s v="27"/>
    <x v="40"/>
    <x v="3"/>
    <x v="3"/>
    <s v="Russia"/>
    <s v="(주)대흥제약"/>
    <s v="녹용"/>
    <s v="DEER HORN"/>
    <m/>
    <x v="62"/>
    <s v="2020-11-27"/>
    <m/>
    <m/>
    <m/>
  </r>
  <r>
    <x v="6"/>
    <x v="7"/>
    <s v="27"/>
    <x v="7"/>
    <x v="0"/>
    <x v="3"/>
    <s v="New Zealand"/>
    <s v="(주)우성생약"/>
    <s v="녹용(건조)"/>
    <s v="DRIED RED DEER VELVET ANTLER"/>
    <m/>
    <x v="5"/>
    <s v="2020-11-27"/>
    <m/>
    <m/>
    <m/>
  </r>
  <r>
    <x v="6"/>
    <x v="7"/>
    <s v="23"/>
    <x v="1"/>
    <x v="0"/>
    <x v="3"/>
    <s v="China"/>
    <s v="주식회사 이룡제약"/>
    <s v="건조녹용"/>
    <s v="DRIED MAROK VELVET ANTLER"/>
    <m/>
    <x v="63"/>
    <s v="2020-11-23"/>
    <m/>
    <m/>
    <m/>
  </r>
  <r>
    <x v="6"/>
    <x v="7"/>
    <s v="09"/>
    <x v="12"/>
    <x v="0"/>
    <x v="3"/>
    <s v="Russia"/>
    <s v="유진통상"/>
    <s v="건조녹용"/>
    <s v="DEER HORN"/>
    <m/>
    <x v="55"/>
    <s v="2020-11-09"/>
    <m/>
    <m/>
    <m/>
  </r>
  <r>
    <x v="6"/>
    <x v="7"/>
    <s v="09"/>
    <x v="33"/>
    <x v="0"/>
    <x v="3"/>
    <s v="Russia"/>
    <s v="(주)이룸제약법인"/>
    <s v="건조녹용"/>
    <s v="DRIED RED DEER VELVET ANTLER"/>
    <m/>
    <x v="49"/>
    <s v="2020-11-09"/>
    <m/>
    <m/>
    <m/>
  </r>
  <r>
    <x v="6"/>
    <x v="7"/>
    <s v="04"/>
    <x v="16"/>
    <x v="0"/>
    <x v="3"/>
    <s v="Russia"/>
    <s v="(주)대원알디티"/>
    <s v="녹용(건조)"/>
    <s v="DEER HORNS VELVET ANTLER"/>
    <m/>
    <x v="61"/>
    <s v="2020-11-04"/>
    <m/>
    <m/>
    <m/>
  </r>
  <r>
    <x v="6"/>
    <x v="7"/>
    <s v="04"/>
    <x v="34"/>
    <x v="3"/>
    <x v="3"/>
    <s v="Russia"/>
    <s v="일성식품"/>
    <s v="녹용"/>
    <s v="DEER HORN"/>
    <m/>
    <x v="32"/>
    <s v="2020-11-04"/>
    <m/>
    <m/>
    <m/>
  </r>
  <r>
    <x v="6"/>
    <x v="8"/>
    <s v="19"/>
    <x v="33"/>
    <x v="0"/>
    <x v="3"/>
    <s v="China"/>
    <s v="(주)이룸제약법인"/>
    <s v="건조녹용"/>
    <s v="DRIED RED DEER VELVET ANTLER"/>
    <m/>
    <x v="54"/>
    <s v="2020-10-19"/>
    <m/>
    <m/>
    <m/>
  </r>
  <r>
    <x v="6"/>
    <x v="9"/>
    <s v="25"/>
    <x v="46"/>
    <x v="4"/>
    <x v="3"/>
    <s v="Russia"/>
    <s v="원용본가"/>
    <s v="건조녹용(전지)"/>
    <s v="DRIED HORN VELVET ANTLER"/>
    <m/>
    <x v="16"/>
    <s v="2020-09-25"/>
    <m/>
    <m/>
    <m/>
  </r>
  <r>
    <x v="6"/>
    <x v="9"/>
    <s v="04"/>
    <x v="11"/>
    <x v="0"/>
    <x v="3"/>
    <s v="New Zealand"/>
    <s v="주식회사 한국인삼공사"/>
    <s v="녹용(건조)"/>
    <s v="DRIED RED DEER VELVET ANTLER"/>
    <m/>
    <x v="64"/>
    <s v="2020-09-04"/>
    <m/>
    <m/>
    <m/>
  </r>
  <r>
    <x v="6"/>
    <x v="9"/>
    <s v="02"/>
    <x v="24"/>
    <x v="0"/>
    <x v="3"/>
    <s v="China"/>
    <s v="(주)진수녹용"/>
    <s v="녹용(건조)"/>
    <s v="DRIED RED DEER VELVET"/>
    <m/>
    <x v="53"/>
    <s v="2020-09-02"/>
    <m/>
    <m/>
    <m/>
  </r>
  <r>
    <x v="6"/>
    <x v="10"/>
    <s v="26"/>
    <x v="44"/>
    <x v="1"/>
    <x v="3"/>
    <s v="New Zealand"/>
    <s v="(주)한동허브"/>
    <s v="생녹용"/>
    <s v="FROZEN RED DEER VELVET ANTLER"/>
    <m/>
    <x v="57"/>
    <s v="2020-08-26"/>
    <m/>
    <m/>
    <m/>
  </r>
  <r>
    <x v="6"/>
    <x v="10"/>
    <s v="13"/>
    <x v="11"/>
    <x v="0"/>
    <x v="3"/>
    <s v="New Zealand"/>
    <s v="주식회사 한국인삼공사"/>
    <s v="녹용(건조)"/>
    <s v="DRIED RED DEER VELVET ANTLER"/>
    <m/>
    <x v="64"/>
    <s v="2020-08-13"/>
    <m/>
    <m/>
    <m/>
  </r>
  <r>
    <x v="6"/>
    <x v="10"/>
    <s v="05"/>
    <x v="11"/>
    <x v="0"/>
    <x v="3"/>
    <s v="New Zealand"/>
    <s v="주식회사 한국인삼공사"/>
    <s v="녹용(건조)"/>
    <s v="DRIED RED DEER VELVET ANTLER"/>
    <m/>
    <x v="14"/>
    <s v="2020-08-05"/>
    <m/>
    <m/>
    <m/>
  </r>
  <r>
    <x v="6"/>
    <x v="11"/>
    <s v="21"/>
    <x v="4"/>
    <x v="1"/>
    <x v="3"/>
    <s v="New Zealand"/>
    <s v="와이더블유 인터내셔날"/>
    <s v="냉동녹용"/>
    <s v="FROZEN RED DEER VELVET ANTLER(WHOLE)"/>
    <m/>
    <x v="50"/>
    <s v="2020-07-21"/>
    <m/>
    <m/>
    <m/>
  </r>
  <r>
    <x v="6"/>
    <x v="11"/>
    <s v="20"/>
    <x v="11"/>
    <x v="0"/>
    <x v="3"/>
    <s v="New Zealand"/>
    <s v="주식회사 한국인삼공사"/>
    <s v="녹용(건조)"/>
    <s v="DRIED RED DEER VELVET ANTLER"/>
    <m/>
    <x v="64"/>
    <s v="2020-07-20"/>
    <m/>
    <m/>
    <m/>
  </r>
  <r>
    <x v="6"/>
    <x v="11"/>
    <s v="01"/>
    <x v="11"/>
    <x v="0"/>
    <x v="3"/>
    <s v="New Zealand"/>
    <s v="주식회사 한국인삼공사"/>
    <s v="녹용(건조)"/>
    <s v="DRIED RED DEER VELVET ANTLER"/>
    <m/>
    <x v="64"/>
    <s v="2020-07-01"/>
    <m/>
    <m/>
    <m/>
  </r>
  <r>
    <x v="6"/>
    <x v="0"/>
    <s v="22"/>
    <x v="11"/>
    <x v="0"/>
    <x v="3"/>
    <s v="New Zealand"/>
    <s v="주식회사 한국인삼공사"/>
    <s v="녹용(건조)"/>
    <s v="DRIED RED DEER VELVET ANTLER"/>
    <m/>
    <x v="14"/>
    <s v="2020-06-22"/>
    <m/>
    <m/>
    <m/>
  </r>
  <r>
    <x v="6"/>
    <x v="0"/>
    <s v="22"/>
    <x v="11"/>
    <x v="0"/>
    <x v="3"/>
    <s v="New Zealand"/>
    <s v="주식회사 한국인삼공사"/>
    <s v="녹용(건조)"/>
    <s v="DRIED RED DEER VELVET ANTLER"/>
    <m/>
    <x v="14"/>
    <s v="2020-06-22"/>
    <m/>
    <m/>
    <m/>
  </r>
  <r>
    <x v="6"/>
    <x v="0"/>
    <s v="22"/>
    <x v="7"/>
    <x v="0"/>
    <x v="3"/>
    <s v="New Zealand"/>
    <s v="(주)우성생약"/>
    <s v="녹용(건조)"/>
    <s v="DRIED RED DEER VELVET ANTLER"/>
    <m/>
    <x v="5"/>
    <s v="2020-06-22"/>
    <m/>
    <m/>
    <m/>
  </r>
  <r>
    <x v="6"/>
    <x v="0"/>
    <s v="09"/>
    <x v="3"/>
    <x v="1"/>
    <x v="3"/>
    <s v="New Zealand"/>
    <s v="(주)케이앤씨디어트레이드"/>
    <s v="생녹용"/>
    <s v="FROZEN RED DEER VELVET ANTLER"/>
    <m/>
    <x v="60"/>
    <s v="2020-06-09"/>
    <m/>
    <m/>
    <m/>
  </r>
  <r>
    <x v="6"/>
    <x v="0"/>
    <s v="09"/>
    <x v="11"/>
    <x v="0"/>
    <x v="3"/>
    <s v="New Zealand"/>
    <s v="주식회사 한국인삼공사"/>
    <s v="녹용(건조)"/>
    <s v="DRIED RED DEER VELVET ANTLER"/>
    <m/>
    <x v="39"/>
    <s v="2020-06-09"/>
    <m/>
    <m/>
    <m/>
  </r>
  <r>
    <x v="6"/>
    <x v="0"/>
    <s v="05"/>
    <x v="14"/>
    <x v="3"/>
    <x v="3"/>
    <s v="New Zealand"/>
    <s v="(주)용보제약"/>
    <s v="녹용"/>
    <s v="DRIED RED DEER VELVET"/>
    <m/>
    <x v="65"/>
    <s v="2020-06-05"/>
    <m/>
    <m/>
    <m/>
  </r>
  <r>
    <x v="6"/>
    <x v="0"/>
    <s v="04"/>
    <x v="2"/>
    <x v="0"/>
    <x v="3"/>
    <s v="New Zealand"/>
    <s v="주식회사 비봉허브"/>
    <s v="녹용(건조)"/>
    <s v="DRIED RED DEER VELVET ANTLER"/>
    <m/>
    <x v="57"/>
    <s v="2020-06-04"/>
    <m/>
    <m/>
    <m/>
  </r>
  <r>
    <x v="6"/>
    <x v="1"/>
    <s v="27"/>
    <x v="3"/>
    <x v="1"/>
    <x v="3"/>
    <s v="New Zealand"/>
    <s v="(주)케이앤씨디어트레이드"/>
    <s v="생녹용"/>
    <s v="FROZEN RED DEER VELVET ANTLER"/>
    <m/>
    <x v="14"/>
    <s v="2020-05-27"/>
    <m/>
    <m/>
    <m/>
  </r>
  <r>
    <x v="6"/>
    <x v="1"/>
    <s v="25"/>
    <x v="11"/>
    <x v="0"/>
    <x v="3"/>
    <s v="New Zealand"/>
    <s v="주식회사 한국인삼공사"/>
    <s v="녹용(건조)"/>
    <s v="DRIED RED DEER VELVET ANTLER"/>
    <m/>
    <x v="14"/>
    <s v="2020-05-25"/>
    <m/>
    <m/>
    <m/>
  </r>
  <r>
    <x v="6"/>
    <x v="2"/>
    <s v="28"/>
    <x v="1"/>
    <x v="0"/>
    <x v="3"/>
    <s v="China"/>
    <s v="주식회사 이룡제약"/>
    <s v="건조녹용"/>
    <s v="DRIED RED DEER VELVET ANTLER"/>
    <m/>
    <x v="66"/>
    <s v="2020-04-28"/>
    <m/>
    <m/>
    <m/>
  </r>
  <r>
    <x v="6"/>
    <x v="3"/>
    <s v="25"/>
    <x v="11"/>
    <x v="0"/>
    <x v="3"/>
    <s v="New Zealand"/>
    <s v="주식회사 한국인삼공사"/>
    <s v="건조녹용"/>
    <s v="DRIED RED DEER VELVET ANTLER"/>
    <m/>
    <x v="14"/>
    <s v="2020-03-25"/>
    <m/>
    <m/>
    <m/>
  </r>
  <r>
    <x v="6"/>
    <x v="3"/>
    <s v="23"/>
    <x v="44"/>
    <x v="1"/>
    <x v="3"/>
    <s v="New Zealand"/>
    <s v="(주)한동허브"/>
    <s v="생녹용"/>
    <s v="FROZEN RED DEER VELVET ANTLER"/>
    <m/>
    <x v="40"/>
    <s v="2020-03-23"/>
    <m/>
    <m/>
    <m/>
  </r>
  <r>
    <x v="6"/>
    <x v="3"/>
    <s v="16"/>
    <x v="12"/>
    <x v="0"/>
    <x v="3"/>
    <s v="China"/>
    <s v="유진통상"/>
    <s v="건조녹용"/>
    <s v="DRIED RED DEER VELVET"/>
    <m/>
    <x v="3"/>
    <s v="2020-03-16"/>
    <m/>
    <m/>
    <m/>
  </r>
  <r>
    <x v="6"/>
    <x v="3"/>
    <s v="03"/>
    <x v="11"/>
    <x v="0"/>
    <x v="3"/>
    <s v="New Zealand"/>
    <s v="주식회사 한국인삼공사"/>
    <s v="건조녹용"/>
    <s v="DRIED RED DEER VELVET ANTLER"/>
    <m/>
    <x v="5"/>
    <s v="2020-03-03"/>
    <m/>
    <m/>
    <m/>
  </r>
  <r>
    <x v="6"/>
    <x v="4"/>
    <s v="25"/>
    <x v="11"/>
    <x v="0"/>
    <x v="3"/>
    <s v="New Zealand"/>
    <s v="주식회사 한국인삼공사"/>
    <s v="건조녹용"/>
    <s v="DRIED RED DEER VELVET ANTLER"/>
    <m/>
    <x v="14"/>
    <s v="2020-02-25"/>
    <m/>
    <m/>
    <m/>
  </r>
  <r>
    <x v="6"/>
    <x v="4"/>
    <s v="25"/>
    <x v="4"/>
    <x v="1"/>
    <x v="3"/>
    <s v="New Zealand"/>
    <s v="와이더블유 인터내셔날"/>
    <s v="냉동녹용"/>
    <s v="FROZEN RED DEER VELVET ANTLER(WHOLE)"/>
    <m/>
    <x v="21"/>
    <s v="2020-02-25"/>
    <m/>
    <m/>
    <m/>
  </r>
  <r>
    <x v="6"/>
    <x v="4"/>
    <s v="25"/>
    <x v="0"/>
    <x v="0"/>
    <x v="3"/>
    <s v="New Zealand"/>
    <s v="(주)천호엔케어"/>
    <s v="건조녹용"/>
    <s v="DRIED RED DEER VELVET ANTLER"/>
    <m/>
    <x v="40"/>
    <s v="2020-02-25"/>
    <m/>
    <m/>
    <m/>
  </r>
  <r>
    <x v="6"/>
    <x v="4"/>
    <s v="21"/>
    <x v="40"/>
    <x v="3"/>
    <x v="3"/>
    <s v="Russia"/>
    <s v="(주)대흥제약"/>
    <s v="녹용"/>
    <s v="DEER HORN"/>
    <m/>
    <x v="20"/>
    <s v="2020-02-21"/>
    <m/>
    <m/>
    <m/>
  </r>
  <r>
    <x v="6"/>
    <x v="4"/>
    <s v="14"/>
    <x v="45"/>
    <x v="1"/>
    <x v="3"/>
    <s v="New Zealand"/>
    <s v="진가식품"/>
    <s v="생녹용"/>
    <s v="FROZEN RED DEER VELVET ANTLER"/>
    <m/>
    <x v="10"/>
    <s v="2020-02-14"/>
    <m/>
    <m/>
    <m/>
  </r>
  <r>
    <x v="6"/>
    <x v="4"/>
    <s v="14"/>
    <x v="47"/>
    <x v="1"/>
    <x v="3"/>
    <s v="New Zealand"/>
    <s v="(주)원경약업사"/>
    <s v="냉동녹용"/>
    <s v="FROZEN RED DEER VELVET ANTLER(WHOLE)"/>
    <m/>
    <x v="21"/>
    <s v="2020-02-14"/>
    <m/>
    <m/>
    <m/>
  </r>
  <r>
    <x v="6"/>
    <x v="4"/>
    <s v="13"/>
    <x v="34"/>
    <x v="3"/>
    <x v="3"/>
    <s v="China"/>
    <s v="일성식품"/>
    <s v="녹용"/>
    <s v="DEER HORN"/>
    <m/>
    <x v="54"/>
    <s v="2020-02-13"/>
    <m/>
    <m/>
    <m/>
  </r>
  <r>
    <x v="6"/>
    <x v="4"/>
    <s v="13"/>
    <x v="2"/>
    <x v="0"/>
    <x v="3"/>
    <s v="New Zealand"/>
    <s v="주식회사 비봉허브"/>
    <s v="건조녹용"/>
    <s v="DRIED RED DEER VELVET ANTLER"/>
    <m/>
    <x v="40"/>
    <s v="2020-02-13"/>
    <m/>
    <m/>
    <m/>
  </r>
  <r>
    <x v="6"/>
    <x v="5"/>
    <s v="21"/>
    <x v="3"/>
    <x v="1"/>
    <x v="3"/>
    <s v="New Zealand"/>
    <s v="(주)케이앤씨디어트레이드"/>
    <s v="생녹용"/>
    <s v="FROZEN RED DEER VELVET ANTLER"/>
    <m/>
    <x v="34"/>
    <s v="2020-01-21"/>
    <m/>
    <m/>
    <m/>
  </r>
  <r>
    <x v="6"/>
    <x v="5"/>
    <s v="10"/>
    <x v="4"/>
    <x v="1"/>
    <x v="3"/>
    <s v="New Zealand"/>
    <s v="와이더블유 인터내셔날"/>
    <s v="냉동녹용"/>
    <s v="FROZEN RED DEER VELVET ANTLER(WHOLE)"/>
    <m/>
    <x v="21"/>
    <s v="2020-01-10"/>
    <m/>
    <m/>
    <m/>
  </r>
  <r>
    <x v="6"/>
    <x v="5"/>
    <s v="08"/>
    <x v="27"/>
    <x v="3"/>
    <x v="3"/>
    <s v="Russia"/>
    <s v="(주)대덕제약"/>
    <s v="녹용"/>
    <s v="MARAL DEER HORNS"/>
    <m/>
    <x v="32"/>
    <s v="2020-01-08"/>
    <m/>
    <m/>
    <m/>
  </r>
  <r>
    <x v="6"/>
    <x v="5"/>
    <s v="08"/>
    <x v="28"/>
    <x v="3"/>
    <x v="3"/>
    <s v="Russia"/>
    <s v="명가녹용 주식회사"/>
    <s v="녹용"/>
    <s v="MARAL DEER HORNS"/>
    <m/>
    <x v="32"/>
    <s v="2020-01-08"/>
    <m/>
    <m/>
    <m/>
  </r>
  <r>
    <x v="6"/>
    <x v="5"/>
    <s v="06"/>
    <x v="16"/>
    <x v="0"/>
    <x v="3"/>
    <s v="Russia"/>
    <s v="(주)대원알디티"/>
    <s v="건녹용"/>
    <s v="DEER HORNS VELVET ANTLER"/>
    <m/>
    <x v="27"/>
    <s v="2020-01-06"/>
    <m/>
    <m/>
    <m/>
  </r>
  <r>
    <x v="6"/>
    <x v="5"/>
    <s v="06"/>
    <x v="13"/>
    <x v="0"/>
    <x v="3"/>
    <s v="Russia"/>
    <s v="건향제약주식회사"/>
    <s v="건조녹용"/>
    <s v="DRIED MARAL VELVET ANTLER(WHOLE)"/>
    <m/>
    <x v="67"/>
    <s v="2020-01-06"/>
    <m/>
    <m/>
    <m/>
  </r>
  <r>
    <x v="7"/>
    <x v="6"/>
    <s v="31"/>
    <x v="3"/>
    <x v="1"/>
    <x v="3"/>
    <s v="New Zealand"/>
    <s v="(주)케이앤씨디어트레이드"/>
    <s v="생녹용"/>
    <s v="FROZEN RED DEER VELVET ANTLER"/>
    <m/>
    <x v="14"/>
    <s v="2019-12-31"/>
    <m/>
    <m/>
    <m/>
  </r>
  <r>
    <x v="7"/>
    <x v="6"/>
    <s v="18"/>
    <x v="45"/>
    <x v="1"/>
    <x v="3"/>
    <s v="New Zealand"/>
    <s v="진가식품"/>
    <s v="생녹용"/>
    <s v="FROZEN RED DEER VELVET ANTLER"/>
    <m/>
    <x v="10"/>
    <s v="2019-12-18"/>
    <m/>
    <m/>
    <m/>
  </r>
  <r>
    <x v="7"/>
    <x v="6"/>
    <s v="13"/>
    <x v="6"/>
    <x v="1"/>
    <x v="3"/>
    <s v="New Zealand"/>
    <s v="(주)온누리바이오생약"/>
    <s v="생녹용"/>
    <s v="FROZEN RED DEER VELVET ANTLER"/>
    <m/>
    <x v="5"/>
    <s v="2019-12-13"/>
    <m/>
    <m/>
    <m/>
  </r>
  <r>
    <x v="7"/>
    <x v="6"/>
    <s v="03"/>
    <x v="4"/>
    <x v="1"/>
    <x v="3"/>
    <s v="New Zealand"/>
    <s v="와이더블유 인터내셔날"/>
    <s v="냉동녹용"/>
    <s v="FROZEN RED DEER VELVET ANTLER(WHOLE)"/>
    <m/>
    <x v="21"/>
    <s v="2019-12-03"/>
    <m/>
    <m/>
    <m/>
  </r>
  <r>
    <x v="7"/>
    <x v="6"/>
    <s v="03"/>
    <x v="3"/>
    <x v="1"/>
    <x v="3"/>
    <s v="New Zealand"/>
    <s v="(주)케이앤씨디어트레이드"/>
    <s v="생녹용"/>
    <s v="FROZEN RED DEER VELVET ANTLER"/>
    <m/>
    <x v="14"/>
    <s v="2019-12-03"/>
    <m/>
    <m/>
    <m/>
  </r>
  <r>
    <x v="7"/>
    <x v="7"/>
    <s v="28"/>
    <x v="20"/>
    <x v="1"/>
    <x v="3"/>
    <s v="New Zealand"/>
    <s v="대호제약주식회사"/>
    <s v="생녹용"/>
    <s v="FROZEN RED DEER VELVET ANTLER"/>
    <m/>
    <x v="5"/>
    <s v="2019-11-28"/>
    <m/>
    <m/>
    <m/>
  </r>
  <r>
    <x v="7"/>
    <x v="8"/>
    <s v="28"/>
    <x v="16"/>
    <x v="0"/>
    <x v="3"/>
    <s v="Russia"/>
    <s v="(주)대원알디티"/>
    <s v="건녹용"/>
    <s v="DEER HORNS VELVET ANTLER"/>
    <m/>
    <x v="19"/>
    <s v="2019-10-28"/>
    <m/>
    <m/>
    <m/>
  </r>
  <r>
    <x v="7"/>
    <x v="8"/>
    <s v="21"/>
    <x v="11"/>
    <x v="0"/>
    <x v="3"/>
    <s v="New Zealand"/>
    <s v="주식회사 한국인삼공사"/>
    <s v="건조녹용"/>
    <s v="DRIED RED DEER VELVET ANTLER"/>
    <m/>
    <x v="39"/>
    <s v="2019-10-21"/>
    <m/>
    <m/>
    <m/>
  </r>
  <r>
    <x v="7"/>
    <x v="8"/>
    <s v="21"/>
    <x v="34"/>
    <x v="3"/>
    <x v="3"/>
    <s v="Russia"/>
    <s v="일성식품"/>
    <s v="녹용"/>
    <s v="DEER HORN"/>
    <m/>
    <x v="68"/>
    <s v="2019-10-21"/>
    <m/>
    <m/>
    <m/>
  </r>
  <r>
    <x v="7"/>
    <x v="8"/>
    <s v="17"/>
    <x v="40"/>
    <x v="3"/>
    <x v="3"/>
    <s v="Russia"/>
    <s v="(주)대흥제약"/>
    <s v="녹용"/>
    <s v="DEER HORN"/>
    <m/>
    <x v="20"/>
    <s v="2019-10-17"/>
    <m/>
    <m/>
    <m/>
  </r>
  <r>
    <x v="7"/>
    <x v="8"/>
    <s v="17"/>
    <x v="45"/>
    <x v="1"/>
    <x v="3"/>
    <s v="New Zealand"/>
    <s v="진가식품"/>
    <s v="생녹용"/>
    <s v="FROZEN RED DEER VELVET ANTLER"/>
    <m/>
    <x v="10"/>
    <s v="2019-10-17"/>
    <m/>
    <m/>
    <m/>
  </r>
  <r>
    <x v="7"/>
    <x v="8"/>
    <s v="15"/>
    <x v="12"/>
    <x v="0"/>
    <x v="3"/>
    <s v="Russia"/>
    <s v="유진통상"/>
    <s v="건조녹용"/>
    <s v="DEER HORN"/>
    <m/>
    <x v="69"/>
    <s v="2019-10-15"/>
    <m/>
    <m/>
    <m/>
  </r>
  <r>
    <x v="7"/>
    <x v="8"/>
    <s v="02"/>
    <x v="44"/>
    <x v="1"/>
    <x v="3"/>
    <s v="New Zealand"/>
    <s v="한동허브"/>
    <s v="생녹용"/>
    <s v="FROZEN RED DEER VELVET ANTLER"/>
    <m/>
    <x v="28"/>
    <s v="2019-10-02"/>
    <m/>
    <m/>
    <m/>
  </r>
  <r>
    <x v="7"/>
    <x v="9"/>
    <s v="25"/>
    <x v="11"/>
    <x v="0"/>
    <x v="3"/>
    <s v="New Zealand"/>
    <s v="주식회사 한국인삼공사"/>
    <s v="건조녹용"/>
    <s v="DRIED RED DEER VELVET ANTLER"/>
    <m/>
    <x v="39"/>
    <s v="2019-09-25"/>
    <m/>
    <m/>
    <m/>
  </r>
  <r>
    <x v="7"/>
    <x v="10"/>
    <s v="28"/>
    <x v="3"/>
    <x v="1"/>
    <x v="3"/>
    <s v="New Zealand"/>
    <s v="(주)케이앤씨디어트레이드"/>
    <s v="생녹용"/>
    <s v="FROZEN RED DEER VELVET ANTLER"/>
    <m/>
    <x v="14"/>
    <s v="2019-08-28"/>
    <m/>
    <m/>
    <m/>
  </r>
  <r>
    <x v="7"/>
    <x v="10"/>
    <s v="28"/>
    <x v="11"/>
    <x v="0"/>
    <x v="3"/>
    <s v="New Zealand"/>
    <s v="주식회사 한국인삼공사"/>
    <s v="건조녹용"/>
    <s v="DRIED RED DEER VELVET ANTLER"/>
    <m/>
    <x v="39"/>
    <s v="2019-08-28"/>
    <m/>
    <m/>
    <m/>
  </r>
  <r>
    <x v="7"/>
    <x v="10"/>
    <s v="28"/>
    <x v="7"/>
    <x v="0"/>
    <x v="3"/>
    <s v="New Zealand"/>
    <s v="(주)우성생약"/>
    <s v="건조녹용"/>
    <s v="DRIED RED DEER VELVET ANTLER"/>
    <m/>
    <x v="5"/>
    <s v="2019-08-28"/>
    <m/>
    <m/>
    <m/>
  </r>
  <r>
    <x v="7"/>
    <x v="10"/>
    <s v="28"/>
    <x v="2"/>
    <x v="0"/>
    <x v="3"/>
    <s v="New Zealand"/>
    <s v="주식회사 비봉허브"/>
    <s v="건조녹용"/>
    <s v="DRIED RED DEER VELVET ANTLER"/>
    <m/>
    <x v="40"/>
    <s v="2019-08-28"/>
    <m/>
    <m/>
    <m/>
  </r>
  <r>
    <x v="7"/>
    <x v="10"/>
    <s v="06"/>
    <x v="11"/>
    <x v="0"/>
    <x v="3"/>
    <s v="New Zealand"/>
    <s v="주식회사 한국인삼공사"/>
    <s v="건조녹용"/>
    <s v="DRIED RED DEER VELVET ANTLER"/>
    <m/>
    <x v="39"/>
    <s v="2019-08-06"/>
    <m/>
    <m/>
    <m/>
  </r>
  <r>
    <x v="7"/>
    <x v="10"/>
    <s v="06"/>
    <x v="12"/>
    <x v="0"/>
    <x v="3"/>
    <s v="China"/>
    <s v="유진통상"/>
    <s v="건조녹용"/>
    <s v="DRIED RED DEER VELVET ANTLER"/>
    <m/>
    <x v="70"/>
    <s v="2019-08-06"/>
    <m/>
    <m/>
    <m/>
  </r>
  <r>
    <x v="7"/>
    <x v="11"/>
    <s v="29"/>
    <x v="9"/>
    <x v="3"/>
    <x v="3"/>
    <s v="China"/>
    <s v="화용제약"/>
    <s v="녹용"/>
    <s v="DEER HORN"/>
    <m/>
    <x v="33"/>
    <s v="2019-07-29"/>
    <m/>
    <m/>
    <m/>
  </r>
  <r>
    <x v="7"/>
    <x v="11"/>
    <s v="25"/>
    <x v="3"/>
    <x v="1"/>
    <x v="3"/>
    <s v="New Zealand"/>
    <s v="(주)케이앤씨디어트레이드"/>
    <s v="생녹용"/>
    <s v="FROZEN RED DEER VELVET ANTLER"/>
    <m/>
    <x v="10"/>
    <s v="2019-07-25"/>
    <m/>
    <m/>
    <m/>
  </r>
  <r>
    <x v="7"/>
    <x v="11"/>
    <s v="12"/>
    <x v="12"/>
    <x v="0"/>
    <x v="3"/>
    <s v="Russia"/>
    <s v="유진통상"/>
    <s v="건조녹용"/>
    <s v="DEER HORN"/>
    <m/>
    <x v="69"/>
    <s v="2019-07-12"/>
    <m/>
    <m/>
    <m/>
  </r>
  <r>
    <x v="7"/>
    <x v="11"/>
    <s v="02"/>
    <x v="47"/>
    <x v="0"/>
    <x v="3"/>
    <s v="China"/>
    <s v="(주)원경약업사"/>
    <s v="건조녹용"/>
    <s v="DRIED RED DEER VELVET ANTLER"/>
    <m/>
    <x v="8"/>
    <s v="2019-07-02"/>
    <m/>
    <m/>
    <m/>
  </r>
  <r>
    <x v="7"/>
    <x v="11"/>
    <s v="02"/>
    <x v="3"/>
    <x v="0"/>
    <x v="3"/>
    <s v="New Zealand"/>
    <s v="(주)케이앤씨디어트레이드"/>
    <s v="건녹용"/>
    <s v="DEER HORNS VELVET ANTLER"/>
    <m/>
    <x v="71"/>
    <s v="2019-07-02"/>
    <m/>
    <m/>
    <m/>
  </r>
  <r>
    <x v="7"/>
    <x v="11"/>
    <s v="02"/>
    <x v="3"/>
    <x v="0"/>
    <x v="3"/>
    <s v="Russia"/>
    <s v="(주)케이앤씨디어트레이드"/>
    <s v="건녹용"/>
    <s v="DEER HORNS VELVET ANTLER"/>
    <m/>
    <x v="16"/>
    <s v="2019-07-02"/>
    <m/>
    <m/>
    <m/>
  </r>
  <r>
    <x v="7"/>
    <x v="0"/>
    <s v="28"/>
    <x v="45"/>
    <x v="1"/>
    <x v="3"/>
    <s v="New Zealand"/>
    <s v="진가식품"/>
    <s v="생녹용"/>
    <s v="ROZEN RED DEER VELVET ANTLER"/>
    <m/>
    <x v="40"/>
    <s v="2019-06-28"/>
    <m/>
    <m/>
    <m/>
  </r>
  <r>
    <x v="7"/>
    <x v="0"/>
    <s v="25"/>
    <x v="11"/>
    <x v="0"/>
    <x v="3"/>
    <s v="New Zealand"/>
    <s v="주식회사 한국인삼공사"/>
    <s v="건조녹용"/>
    <s v="DRIED RED DEER VELVET ANTLER"/>
    <m/>
    <x v="39"/>
    <s v="2019-06-25"/>
    <m/>
    <m/>
    <m/>
  </r>
  <r>
    <x v="7"/>
    <x v="0"/>
    <s v="04"/>
    <x v="12"/>
    <x v="0"/>
    <x v="3"/>
    <s v="China"/>
    <s v="유진통상"/>
    <s v="건조녹용"/>
    <s v="DEER VELVET"/>
    <m/>
    <x v="72"/>
    <s v="2019-06-04"/>
    <m/>
    <m/>
    <m/>
  </r>
  <r>
    <x v="7"/>
    <x v="1"/>
    <s v="21"/>
    <x v="11"/>
    <x v="0"/>
    <x v="3"/>
    <s v="New Zealand"/>
    <s v="주식회사 한국인삼공사"/>
    <s v="건조녹용"/>
    <s v="DRIED RED DEER VELVET ANTLER"/>
    <m/>
    <x v="5"/>
    <s v="2019-05-21"/>
    <m/>
    <m/>
    <m/>
  </r>
  <r>
    <x v="7"/>
    <x v="1"/>
    <s v="21"/>
    <x v="11"/>
    <x v="0"/>
    <x v="3"/>
    <s v="New Zealand"/>
    <s v="주식회사 한국인삼공사"/>
    <s v="건조녹용"/>
    <s v="DRIED RED DEER VELVET ANTLER"/>
    <m/>
    <x v="5"/>
    <s v="2019-05-21"/>
    <m/>
    <m/>
    <m/>
  </r>
  <r>
    <x v="7"/>
    <x v="1"/>
    <s v="21"/>
    <x v="0"/>
    <x v="0"/>
    <x v="3"/>
    <s v="New Zealand"/>
    <s v="(주)천호엔케어"/>
    <s v="건조녹용"/>
    <s v="DRIED RED DEER VELVET ANTLER"/>
    <m/>
    <x v="40"/>
    <s v="2019-05-21"/>
    <m/>
    <m/>
    <m/>
  </r>
  <r>
    <x v="7"/>
    <x v="1"/>
    <s v="09"/>
    <x v="4"/>
    <x v="1"/>
    <x v="3"/>
    <s v="New Zealand"/>
    <s v="와이더블유 인터내셔날"/>
    <s v="냉동녹용"/>
    <s v="FROZEN RED DEER VELVET ANTLER(WHOLE)"/>
    <m/>
    <x v="39"/>
    <s v="2019-05-09"/>
    <m/>
    <m/>
    <m/>
  </r>
  <r>
    <x v="7"/>
    <x v="1"/>
    <s v="01"/>
    <x v="37"/>
    <x v="1"/>
    <x v="3"/>
    <s v="New Zealand"/>
    <s v="하랑무약"/>
    <s v="생녹용"/>
    <s v="FROZEN RED DEER VELVET ANTLER"/>
    <m/>
    <x v="5"/>
    <s v="2019-05-01"/>
    <m/>
    <m/>
    <m/>
  </r>
  <r>
    <x v="7"/>
    <x v="2"/>
    <s v="23"/>
    <x v="45"/>
    <x v="1"/>
    <x v="3"/>
    <s v="New Zealand"/>
    <s v="진가식품"/>
    <s v="생녹용"/>
    <s v="FROZEN RED DEER VELVET ANTLER"/>
    <m/>
    <x v="4"/>
    <s v="2019-04-23"/>
    <m/>
    <m/>
    <m/>
  </r>
  <r>
    <x v="7"/>
    <x v="2"/>
    <s v="23"/>
    <x v="3"/>
    <x v="1"/>
    <x v="3"/>
    <s v="New Zealand"/>
    <s v="(주)케이앤씨디어트레이드"/>
    <s v="생녹용"/>
    <s v="FROZEN RED DEER VELVET ANTLER"/>
    <m/>
    <x v="10"/>
    <s v="2019-04-23"/>
    <m/>
    <m/>
    <m/>
  </r>
  <r>
    <x v="7"/>
    <x v="2"/>
    <s v="22"/>
    <x v="2"/>
    <x v="0"/>
    <x v="3"/>
    <s v="New Zealand"/>
    <s v="주식회사 비봉허브"/>
    <s v="건조녹용"/>
    <s v="DRIED RED DEER VELVET ANTLER"/>
    <m/>
    <x v="40"/>
    <s v="2019-04-22"/>
    <m/>
    <m/>
    <m/>
  </r>
  <r>
    <x v="7"/>
    <x v="2"/>
    <s v="17"/>
    <x v="28"/>
    <x v="3"/>
    <x v="3"/>
    <s v="New Zealand"/>
    <s v="명가녹용 주식회사"/>
    <s v="녹용"/>
    <s v="DRIED RED DEER VELVET ANTLER(WHOLE)"/>
    <m/>
    <x v="40"/>
    <s v="2019-04-17"/>
    <m/>
    <m/>
    <m/>
  </r>
  <r>
    <x v="7"/>
    <x v="2"/>
    <s v="16"/>
    <x v="14"/>
    <x v="3"/>
    <x v="3"/>
    <s v="New Zealand"/>
    <s v="(주)용보제약"/>
    <s v="녹용"/>
    <s v="DRIED RED DEER VELVET"/>
    <m/>
    <x v="65"/>
    <s v="2019-04-16"/>
    <m/>
    <m/>
    <m/>
  </r>
  <r>
    <x v="7"/>
    <x v="2"/>
    <s v="04"/>
    <x v="11"/>
    <x v="0"/>
    <x v="3"/>
    <s v="New Zealand"/>
    <s v="주식회사 한국인삼공사"/>
    <s v="건조녹용"/>
    <s v="DRIED RED DEER VELVET ANTLER"/>
    <m/>
    <x v="5"/>
    <s v="2019-04-04"/>
    <m/>
    <m/>
    <m/>
  </r>
  <r>
    <x v="7"/>
    <x v="2"/>
    <s v="04"/>
    <x v="11"/>
    <x v="0"/>
    <x v="3"/>
    <s v="New Zealand"/>
    <s v="주식회사 한국인삼공사"/>
    <s v="건조녹용"/>
    <s v="DRIED RED DEER VELVET ANTLER"/>
    <m/>
    <x v="39"/>
    <s v="2019-04-04"/>
    <m/>
    <m/>
    <m/>
  </r>
  <r>
    <x v="7"/>
    <x v="3"/>
    <s v="28"/>
    <x v="0"/>
    <x v="0"/>
    <x v="3"/>
    <s v="New Zealand"/>
    <s v="(주)천호엔케어"/>
    <s v="건조녹용"/>
    <s v="DRIED RED DEER VELVET ANTLER"/>
    <m/>
    <x v="40"/>
    <s v="2019-03-28"/>
    <m/>
    <m/>
    <m/>
  </r>
  <r>
    <x v="7"/>
    <x v="3"/>
    <s v="27"/>
    <x v="3"/>
    <x v="1"/>
    <x v="3"/>
    <s v="New Zealand"/>
    <s v="(주)케이앤씨디어트레이드"/>
    <s v="생녹용"/>
    <s v="FROZEN RED DEER VELVET ANTLER"/>
    <m/>
    <x v="14"/>
    <s v="2019-03-27"/>
    <m/>
    <m/>
    <m/>
  </r>
  <r>
    <x v="7"/>
    <x v="3"/>
    <s v="15"/>
    <x v="45"/>
    <x v="1"/>
    <x v="3"/>
    <s v="New Zealand"/>
    <s v="진가식품"/>
    <s v="생녹용"/>
    <s v="FROZEN RED DEER VELVET ANTLER"/>
    <m/>
    <x v="10"/>
    <s v="2019-03-15"/>
    <m/>
    <m/>
    <m/>
  </r>
  <r>
    <x v="7"/>
    <x v="4"/>
    <s v="27"/>
    <x v="4"/>
    <x v="1"/>
    <x v="3"/>
    <s v="New Zealand"/>
    <s v="와이더블유 인터내셔날"/>
    <s v="냉동녹용"/>
    <s v="FROZEN RED DEER VELVET ANTLER(WHOLE)"/>
    <m/>
    <x v="21"/>
    <s v="2019-02-27"/>
    <m/>
    <m/>
    <m/>
  </r>
  <r>
    <x v="7"/>
    <x v="4"/>
    <s v="15"/>
    <x v="11"/>
    <x v="0"/>
    <x v="3"/>
    <s v="New Zealand"/>
    <s v="주식회사 한국인삼공사"/>
    <s v="건조녹용"/>
    <s v="DRIED RED DEER VELVET ANTLER"/>
    <m/>
    <x v="14"/>
    <s v="2019-02-15"/>
    <m/>
    <m/>
    <m/>
  </r>
  <r>
    <x v="7"/>
    <x v="4"/>
    <s v="15"/>
    <x v="26"/>
    <x v="3"/>
    <x v="3"/>
    <s v="Russia"/>
    <s v="(주)디에이치지글로벌"/>
    <s v="녹용"/>
    <s v="DEER HORN"/>
    <m/>
    <x v="73"/>
    <s v="2019-02-15"/>
    <m/>
    <m/>
    <m/>
  </r>
  <r>
    <x v="7"/>
    <x v="4"/>
    <s v="12"/>
    <x v="3"/>
    <x v="1"/>
    <x v="3"/>
    <s v="New Zealand"/>
    <s v="(주)케이앤씨디어트레이드"/>
    <s v="생녹용"/>
    <s v="FROZEN RED DEER VELVET ANTLER"/>
    <m/>
    <x v="10"/>
    <s v="2019-02-12"/>
    <m/>
    <m/>
    <m/>
  </r>
  <r>
    <x v="7"/>
    <x v="4"/>
    <s v="08"/>
    <x v="44"/>
    <x v="1"/>
    <x v="3"/>
    <s v="New Zealand"/>
    <s v="한동허브"/>
    <s v="생녹용"/>
    <s v="FROZEN RED DEER VELVET"/>
    <m/>
    <x v="39"/>
    <s v="2019-02-08"/>
    <m/>
    <m/>
    <m/>
  </r>
  <r>
    <x v="7"/>
    <x v="5"/>
    <s v="31"/>
    <x v="4"/>
    <x v="1"/>
    <x v="3"/>
    <s v="New Zealand"/>
    <s v="와이더블유 인터내셔날"/>
    <s v="냉동녹용"/>
    <s v="FROZEN RED DEER VELVET ANTLER(WHOLE)"/>
    <m/>
    <x v="39"/>
    <s v="2019-01-31"/>
    <m/>
    <m/>
    <m/>
  </r>
  <r>
    <x v="7"/>
    <x v="5"/>
    <s v="28"/>
    <x v="15"/>
    <x v="3"/>
    <x v="3"/>
    <s v="New Zealand"/>
    <s v="조은생약"/>
    <s v="녹용"/>
    <s v="DEER HORN"/>
    <m/>
    <x v="4"/>
    <s v="2019-01-28"/>
    <m/>
    <m/>
    <m/>
  </r>
  <r>
    <x v="7"/>
    <x v="5"/>
    <s v="24"/>
    <x v="2"/>
    <x v="0"/>
    <x v="3"/>
    <s v="New Zealand"/>
    <s v="주식회사 비봉허브"/>
    <s v="건조녹용"/>
    <s v="DRIED RED DEER VELVET ANTLER"/>
    <m/>
    <x v="40"/>
    <s v="2019-01-24"/>
    <m/>
    <m/>
    <m/>
  </r>
  <r>
    <x v="7"/>
    <x v="5"/>
    <s v="15"/>
    <x v="34"/>
    <x v="3"/>
    <x v="3"/>
    <s v="China"/>
    <s v="일성식품"/>
    <s v="녹용"/>
    <s v="DEER HORN"/>
    <m/>
    <x v="54"/>
    <s v="2019-01-15"/>
    <m/>
    <m/>
    <m/>
  </r>
  <r>
    <x v="7"/>
    <x v="5"/>
    <s v="15"/>
    <x v="48"/>
    <x v="3"/>
    <x v="3"/>
    <s v="Russia"/>
    <s v="신송강무역"/>
    <s v="녹용"/>
    <s v="DEER HORN"/>
    <m/>
    <x v="31"/>
    <s v="2019-01-15"/>
    <m/>
    <m/>
    <m/>
  </r>
  <r>
    <x v="8"/>
    <x v="6"/>
    <s v="26"/>
    <x v="9"/>
    <x v="3"/>
    <x v="3"/>
    <s v="China"/>
    <s v="화용제약"/>
    <s v="녹용"/>
    <s v="DEER HORN"/>
    <m/>
    <x v="8"/>
    <s v="2018-12-26"/>
    <m/>
    <m/>
    <m/>
  </r>
  <r>
    <x v="8"/>
    <x v="6"/>
    <s v="26"/>
    <x v="44"/>
    <x v="1"/>
    <x v="3"/>
    <s v="New Zealand"/>
    <s v="한동허브"/>
    <s v="생녹용"/>
    <s v="FROZEN RED DEER VELVET"/>
    <m/>
    <x v="39"/>
    <s v="2018-12-26"/>
    <m/>
    <m/>
    <m/>
  </r>
  <r>
    <x v="8"/>
    <x v="6"/>
    <s v="21"/>
    <x v="3"/>
    <x v="1"/>
    <x v="3"/>
    <s v="New Zealand"/>
    <s v="(주)케이앤씨디어트레이드"/>
    <s v="생녹용"/>
    <s v="FROZEN RED DEER VELVET ANTLER"/>
    <m/>
    <x v="10"/>
    <s v="2018-12-21"/>
    <m/>
    <m/>
    <m/>
  </r>
  <r>
    <x v="8"/>
    <x v="6"/>
    <s v="18"/>
    <x v="24"/>
    <x v="0"/>
    <x v="3"/>
    <s v="China"/>
    <s v="(주)진수녹용"/>
    <s v="건조녹용"/>
    <s v="DRIED RED DEER VELVET ANTLER"/>
    <m/>
    <x v="54"/>
    <s v="2018-12-18"/>
    <m/>
    <m/>
    <m/>
  </r>
  <r>
    <x v="8"/>
    <x v="6"/>
    <s v="14"/>
    <x v="40"/>
    <x v="3"/>
    <x v="3"/>
    <s v="China"/>
    <s v="(주)대흥제약"/>
    <s v="녹용"/>
    <s v="DEER HORN"/>
    <m/>
    <x v="44"/>
    <s v="2018-12-14"/>
    <m/>
    <m/>
    <m/>
  </r>
  <r>
    <x v="8"/>
    <x v="6"/>
    <s v="13"/>
    <x v="3"/>
    <x v="1"/>
    <x v="3"/>
    <s v="New Zealand"/>
    <s v="(주)케이앤씨디어트레이드"/>
    <s v="생녹용"/>
    <s v="FROZEN RED DEER VELVET ANTLER"/>
    <m/>
    <x v="10"/>
    <s v="2018-12-13"/>
    <m/>
    <m/>
    <m/>
  </r>
  <r>
    <x v="8"/>
    <x v="6"/>
    <s v="06"/>
    <x v="4"/>
    <x v="3"/>
    <x v="3"/>
    <s v="China"/>
    <s v="와이더블유 인터내셔날"/>
    <s v="녹용"/>
    <s v="DRIED RED DEER VELVET ANTLER(WHOLE)"/>
    <m/>
    <x v="44"/>
    <s v="2018-12-06"/>
    <m/>
    <m/>
    <m/>
  </r>
  <r>
    <x v="8"/>
    <x v="6"/>
    <s v="05"/>
    <x v="40"/>
    <x v="0"/>
    <x v="3"/>
    <s v="Russia"/>
    <s v="㈜대흥제약"/>
    <s v="건조녹용"/>
    <s v="DEER HORN"/>
    <m/>
    <x v="20"/>
    <s v="2018-12-05"/>
    <m/>
    <m/>
    <m/>
  </r>
  <r>
    <x v="8"/>
    <x v="7"/>
    <s v="23"/>
    <x v="49"/>
    <x v="1"/>
    <x v="3"/>
    <s v="New Zealand"/>
    <s v="(주)한국온누리제약"/>
    <s v="생녹용"/>
    <s v="FROZEN RED DEER VELVET ANTLER"/>
    <m/>
    <x v="50"/>
    <s v="2018-11-23"/>
    <m/>
    <m/>
    <m/>
  </r>
  <r>
    <x v="8"/>
    <x v="7"/>
    <s v="09"/>
    <x v="34"/>
    <x v="0"/>
    <x v="3"/>
    <s v="Russia"/>
    <s v="일성식품"/>
    <s v="건조녹용"/>
    <s v="DEER HORN"/>
    <m/>
    <x v="32"/>
    <s v="2018-11-09"/>
    <m/>
    <m/>
    <m/>
  </r>
  <r>
    <x v="8"/>
    <x v="8"/>
    <s v="17"/>
    <x v="11"/>
    <x v="0"/>
    <x v="3"/>
    <s v="New Zealand"/>
    <s v="주식회사 한국인삼공사"/>
    <s v="건조녹용"/>
    <s v="DRIED RED DEER VELVET ANTLER"/>
    <m/>
    <x v="39"/>
    <s v="2018-10-17"/>
    <m/>
    <m/>
    <m/>
  </r>
  <r>
    <x v="8"/>
    <x v="8"/>
    <s v="16"/>
    <x v="3"/>
    <x v="1"/>
    <x v="3"/>
    <s v="New Zealand"/>
    <s v="(주)케이앤씨디어트레이드"/>
    <s v="생녹용"/>
    <s v="FROZEN RED DEER VELVET ANTLER"/>
    <m/>
    <x v="10"/>
    <s v="2018-10-16"/>
    <m/>
    <m/>
    <m/>
  </r>
  <r>
    <x v="8"/>
    <x v="8"/>
    <s v="11"/>
    <x v="11"/>
    <x v="0"/>
    <x v="3"/>
    <s v="New Zealand"/>
    <s v="주식회사 한국인삼공사"/>
    <s v="건조녹용"/>
    <s v="DRIED RED DEER VELVET ANTLER"/>
    <m/>
    <x v="39"/>
    <s v="2018-10-11"/>
    <m/>
    <m/>
    <m/>
  </r>
  <r>
    <x v="8"/>
    <x v="8"/>
    <s v="10"/>
    <x v="32"/>
    <x v="1"/>
    <x v="3"/>
    <s v="New Zealand"/>
    <s v="(주)시원생약"/>
    <s v="생녹용"/>
    <s v="FROZEN DEER HORN"/>
    <m/>
    <x v="25"/>
    <s v="2018-10-10"/>
    <m/>
    <m/>
    <m/>
  </r>
  <r>
    <x v="8"/>
    <x v="9"/>
    <s v="13"/>
    <x v="11"/>
    <x v="0"/>
    <x v="3"/>
    <s v="New Zealand"/>
    <s v="주식회사 한국인삼공사"/>
    <s v="건조녹용"/>
    <s v="DRIED RED DEER VELVET ANTLER"/>
    <m/>
    <x v="39"/>
    <s v="2018-09-13"/>
    <m/>
    <m/>
    <m/>
  </r>
  <r>
    <x v="8"/>
    <x v="10"/>
    <s v="30"/>
    <x v="11"/>
    <x v="0"/>
    <x v="3"/>
    <s v="New Zealand"/>
    <s v="주식회사 한국인삼공사"/>
    <s v="건조녹용"/>
    <s v="DRIED RED DEER VELVET ANTLER"/>
    <m/>
    <x v="40"/>
    <s v="2018-08-30"/>
    <m/>
    <m/>
    <m/>
  </r>
  <r>
    <x v="8"/>
    <x v="10"/>
    <s v="30"/>
    <x v="2"/>
    <x v="0"/>
    <x v="3"/>
    <s v="New Zealand"/>
    <s v="주식회사 비봉허브"/>
    <s v="건조녹용"/>
    <s v="DRIED RED DEER VELVET ANTLER"/>
    <m/>
    <x v="40"/>
    <s v="2018-08-30"/>
    <m/>
    <m/>
    <m/>
  </r>
  <r>
    <x v="8"/>
    <x v="10"/>
    <s v="21"/>
    <x v="50"/>
    <x v="1"/>
    <x v="3"/>
    <s v="New Zealand"/>
    <s v="(주)유한양행"/>
    <s v="생녹용"/>
    <s v="FROZEN WHOLE STICK VELVET"/>
    <m/>
    <x v="25"/>
    <s v="2018-08-21"/>
    <m/>
    <m/>
    <m/>
  </r>
  <r>
    <x v="8"/>
    <x v="10"/>
    <s v="14"/>
    <x v="11"/>
    <x v="0"/>
    <x v="3"/>
    <s v="New Zealand"/>
    <s v="주식회사 한국인삼공사"/>
    <s v="건조녹용"/>
    <s v="DRIED RED DEER VELVET ANTLER"/>
    <m/>
    <x v="39"/>
    <s v="2018-08-14"/>
    <m/>
    <m/>
    <m/>
  </r>
  <r>
    <x v="8"/>
    <x v="11"/>
    <s v="31"/>
    <x v="11"/>
    <x v="0"/>
    <x v="3"/>
    <s v="New Zealand"/>
    <s v="주식회사 한국인삼공사"/>
    <s v="건조녹용"/>
    <s v="DRIED RED DEER VELVET ANTLER"/>
    <m/>
    <x v="71"/>
    <s v="2018-07-31"/>
    <m/>
    <m/>
    <m/>
  </r>
  <r>
    <x v="8"/>
    <x v="11"/>
    <s v="24"/>
    <x v="14"/>
    <x v="0"/>
    <x v="3"/>
    <s v="New Zealand"/>
    <s v="(주)용보제약"/>
    <s v="건조녹용"/>
    <s v="DRIED RED DEER VELVET"/>
    <m/>
    <x v="65"/>
    <s v="2018-07-24"/>
    <m/>
    <m/>
    <m/>
  </r>
  <r>
    <x v="8"/>
    <x v="11"/>
    <s v="18"/>
    <x v="12"/>
    <x v="1"/>
    <x v="3"/>
    <s v="New Zealand"/>
    <s v="유진통상"/>
    <s v="생녹용"/>
    <s v="FROZEN RED DEER VELVET ANTLER"/>
    <m/>
    <x v="10"/>
    <s v="2018-07-18"/>
    <m/>
    <m/>
    <m/>
  </r>
  <r>
    <x v="8"/>
    <x v="11"/>
    <s v="18"/>
    <x v="28"/>
    <x v="0"/>
    <x v="3"/>
    <s v="New Zealand"/>
    <s v="명가녹용 주식회사"/>
    <s v="건조녹용"/>
    <s v="DRIED RED DEER VELVET ANTLER(WHOLE)"/>
    <m/>
    <x v="4"/>
    <s v="2018-07-18"/>
    <m/>
    <m/>
    <m/>
  </r>
  <r>
    <x v="8"/>
    <x v="11"/>
    <s v="16"/>
    <x v="11"/>
    <x v="0"/>
    <x v="3"/>
    <s v="New Zealand"/>
    <s v="주식회사 한국인삼공사"/>
    <s v="건조녹용"/>
    <s v="DRIED RED DEER VELVET ANTLER"/>
    <m/>
    <x v="39"/>
    <s v="2018-07-16"/>
    <m/>
    <m/>
    <m/>
  </r>
  <r>
    <x v="8"/>
    <x v="11"/>
    <s v="10"/>
    <x v="9"/>
    <x v="0"/>
    <x v="3"/>
    <s v="China"/>
    <s v="화용제약"/>
    <s v="건조녹용"/>
    <s v="DEER HORN"/>
    <m/>
    <x v="72"/>
    <s v="2018-07-10"/>
    <m/>
    <m/>
    <m/>
  </r>
  <r>
    <x v="8"/>
    <x v="0"/>
    <s v="29"/>
    <x v="11"/>
    <x v="0"/>
    <x v="3"/>
    <s v="New Zealand"/>
    <s v="주식회사 한국인삼공사"/>
    <s v="건조녹용"/>
    <s v="DRIED RED DEER VELVET ANTLER"/>
    <m/>
    <x v="5"/>
    <s v="2018-06-29"/>
    <m/>
    <m/>
    <m/>
  </r>
  <r>
    <x v="8"/>
    <x v="0"/>
    <s v="21"/>
    <x v="11"/>
    <x v="0"/>
    <x v="3"/>
    <s v="New Zealand"/>
    <s v="주식회사 한국인삼공사"/>
    <s v="건조녹용"/>
    <s v="DRIED RED DEER VELVET ANTLER"/>
    <m/>
    <x v="39"/>
    <s v="2018-06-21"/>
    <m/>
    <m/>
    <m/>
  </r>
  <r>
    <x v="8"/>
    <x v="0"/>
    <s v="21"/>
    <x v="11"/>
    <x v="0"/>
    <x v="3"/>
    <s v="New Zealand"/>
    <s v="주식회사 한국인삼공사"/>
    <s v="건조녹용"/>
    <s v="DRIED RED DEER VELVET ANTLER"/>
    <m/>
    <x v="71"/>
    <s v="2018-06-21"/>
    <m/>
    <m/>
    <m/>
  </r>
  <r>
    <x v="8"/>
    <x v="0"/>
    <s v="05"/>
    <x v="44"/>
    <x v="1"/>
    <x v="3"/>
    <s v="New Zealand"/>
    <s v="한동허브"/>
    <s v="생녹용"/>
    <s v="FROZEN RED DEER VELVET"/>
    <m/>
    <x v="39"/>
    <s v="2018-06-05"/>
    <m/>
    <m/>
    <m/>
  </r>
  <r>
    <x v="8"/>
    <x v="1"/>
    <s v="29"/>
    <x v="0"/>
    <x v="0"/>
    <x v="3"/>
    <s v="New Zealand"/>
    <s v="(주)천호엔케어"/>
    <s v="건조녹용"/>
    <s v="DRIED RED DEER VELVET ANTLER"/>
    <m/>
    <x v="40"/>
    <s v="2018-05-29"/>
    <m/>
    <m/>
    <m/>
  </r>
  <r>
    <x v="8"/>
    <x v="1"/>
    <s v="29"/>
    <x v="33"/>
    <x v="0"/>
    <x v="3"/>
    <s v="Hong Kong"/>
    <s v="(주)이룸제약법인"/>
    <s v="건조녹용"/>
    <s v="DRIED RED DEER VELVET ANTLER"/>
    <m/>
    <x v="74"/>
    <s v="2018-05-29"/>
    <m/>
    <m/>
    <m/>
  </r>
  <r>
    <x v="8"/>
    <x v="1"/>
    <s v="23"/>
    <x v="12"/>
    <x v="1"/>
    <x v="3"/>
    <s v="New Zealand"/>
    <s v="유진통상"/>
    <s v="생녹용"/>
    <s v="FROZEN RED DEER VELVET ANTLER"/>
    <m/>
    <x v="5"/>
    <s v="2018-05-23"/>
    <m/>
    <m/>
    <m/>
  </r>
  <r>
    <x v="8"/>
    <x v="1"/>
    <s v="15"/>
    <x v="45"/>
    <x v="1"/>
    <x v="3"/>
    <s v="New Zealand"/>
    <s v="진가식품"/>
    <s v="생녹용"/>
    <s v="FROZEN RED DEER VELVET ANTLER"/>
    <m/>
    <x v="40"/>
    <s v="2018-05-15"/>
    <m/>
    <m/>
    <m/>
  </r>
  <r>
    <x v="8"/>
    <x v="1"/>
    <s v="11"/>
    <x v="14"/>
    <x v="0"/>
    <x v="3"/>
    <s v="Russia"/>
    <s v="(주)용보제약"/>
    <s v="건조녹용"/>
    <s v="MARAL DEER HORNS"/>
    <m/>
    <x v="32"/>
    <s v="2018-05-11"/>
    <m/>
    <m/>
    <m/>
  </r>
  <r>
    <x v="8"/>
    <x v="1"/>
    <s v="11"/>
    <x v="28"/>
    <x v="0"/>
    <x v="3"/>
    <s v="Russia"/>
    <s v="명가녹용 주식회사"/>
    <s v="건조녹용"/>
    <s v="MARAL DEER HORNS"/>
    <m/>
    <x v="32"/>
    <s v="2018-05-11"/>
    <m/>
    <m/>
    <m/>
  </r>
  <r>
    <x v="8"/>
    <x v="1"/>
    <s v="08"/>
    <x v="7"/>
    <x v="0"/>
    <x v="3"/>
    <s v="China"/>
    <s v="(주)우성생약"/>
    <s v="건조녹용"/>
    <s v="DRIED RED DEER VELVET ANTLER"/>
    <m/>
    <x v="75"/>
    <s v="2018-05-08"/>
    <m/>
    <m/>
    <m/>
  </r>
  <r>
    <x v="8"/>
    <x v="1"/>
    <s v="08"/>
    <x v="11"/>
    <x v="0"/>
    <x v="3"/>
    <s v="New Zealand"/>
    <s v="주식회사 한국인삼공사"/>
    <s v="건조녹용"/>
    <s v="DRIED RED DEER VELVET ANTLER"/>
    <m/>
    <x v="39"/>
    <s v="2018-05-08"/>
    <m/>
    <m/>
    <m/>
  </r>
  <r>
    <x v="8"/>
    <x v="1"/>
    <s v="01"/>
    <x v="0"/>
    <x v="0"/>
    <x v="3"/>
    <s v="New Zealand"/>
    <s v="(주)천호엔케어"/>
    <s v="건조녹용"/>
    <s v="DRIED RED DEER VELVET ANTLER"/>
    <m/>
    <x v="40"/>
    <s v="2018-05-01"/>
    <m/>
    <m/>
    <m/>
  </r>
  <r>
    <x v="8"/>
    <x v="2"/>
    <s v="20"/>
    <x v="11"/>
    <x v="0"/>
    <x v="3"/>
    <s v="New Zealand"/>
    <s v="주식회사 한국인삼공사"/>
    <s v="건조녹용"/>
    <s v="DRIED RED DEER VELVET ANTLER"/>
    <m/>
    <x v="39"/>
    <s v="2018-04-20"/>
    <m/>
    <m/>
    <m/>
  </r>
  <r>
    <x v="8"/>
    <x v="2"/>
    <s v="16"/>
    <x v="14"/>
    <x v="0"/>
    <x v="3"/>
    <s v="New Zealand"/>
    <s v="(주)용보제약"/>
    <s v="건조녹용"/>
    <s v="DRIED RED DEER VELVET"/>
    <m/>
    <x v="65"/>
    <s v="2018-04-16"/>
    <m/>
    <m/>
    <m/>
  </r>
  <r>
    <x v="8"/>
    <x v="3"/>
    <s v="30"/>
    <x v="51"/>
    <x v="0"/>
    <x v="3"/>
    <s v="New Zealand"/>
    <s v="천호식품(주)양산공장"/>
    <s v="건조녹용"/>
    <s v="DRIED RED DEER VELVET ANTLER"/>
    <m/>
    <x v="40"/>
    <s v="2018-03-30"/>
    <m/>
    <m/>
    <m/>
  </r>
  <r>
    <x v="8"/>
    <x v="3"/>
    <s v="27"/>
    <x v="44"/>
    <x v="1"/>
    <x v="3"/>
    <s v="New Zealand"/>
    <s v="한동허브"/>
    <s v="생녹용"/>
    <s v="FROZEN RED DEER VELVET"/>
    <m/>
    <x v="39"/>
    <s v="2018-03-27"/>
    <m/>
    <m/>
    <m/>
  </r>
  <r>
    <x v="8"/>
    <x v="3"/>
    <s v="22"/>
    <x v="12"/>
    <x v="1"/>
    <x v="3"/>
    <s v="New Zealand"/>
    <s v="유진통상"/>
    <s v="생녹용"/>
    <s v="FROZEN RED DEER VELVET ANTLER"/>
    <m/>
    <x v="10"/>
    <s v="2018-03-22"/>
    <m/>
    <m/>
    <m/>
  </r>
  <r>
    <x v="8"/>
    <x v="3"/>
    <s v="21"/>
    <x v="14"/>
    <x v="3"/>
    <x v="3"/>
    <s v="New Zealand"/>
    <s v="(주)용보제약"/>
    <s v="녹용"/>
    <s v="DRIED RED DEER VELVET"/>
    <m/>
    <x v="65"/>
    <s v="2018-03-21"/>
    <m/>
    <m/>
    <m/>
  </r>
  <r>
    <x v="8"/>
    <x v="3"/>
    <s v="14"/>
    <x v="44"/>
    <x v="1"/>
    <x v="3"/>
    <s v="New Zealand"/>
    <s v="한동허브"/>
    <s v="생녹용"/>
    <s v="FROZEN RED DEER VELVET"/>
    <m/>
    <x v="40"/>
    <s v="2018-03-14"/>
    <m/>
    <m/>
    <m/>
  </r>
  <r>
    <x v="8"/>
    <x v="3"/>
    <s v="13"/>
    <x v="11"/>
    <x v="0"/>
    <x v="3"/>
    <s v="New Zealand"/>
    <s v="주식회사 한국인삼공사"/>
    <s v="건조녹용"/>
    <s v="DRIED RED DEER VELVET ANTLER"/>
    <m/>
    <x v="39"/>
    <s v="2018-03-13"/>
    <m/>
    <m/>
    <m/>
  </r>
  <r>
    <x v="8"/>
    <x v="3"/>
    <s v="05"/>
    <x v="42"/>
    <x v="3"/>
    <x v="3"/>
    <s v="China"/>
    <s v="(주)대한녹용수출입법인"/>
    <s v="녹용"/>
    <s v="DRIED RED DEER VELVET ANTLER(WHOLE)"/>
    <m/>
    <x v="8"/>
    <s v="2018-03-05"/>
    <m/>
    <m/>
    <m/>
  </r>
  <r>
    <x v="8"/>
    <x v="3"/>
    <s v="05"/>
    <x v="28"/>
    <x v="3"/>
    <x v="3"/>
    <s v="New Zealand"/>
    <s v="명가녹용 주식회사"/>
    <s v="녹용"/>
    <s v="DRIED RED DEER VELVET ANTLER(WHOLE)"/>
    <m/>
    <x v="14"/>
    <s v="2018-03-05"/>
    <m/>
    <m/>
    <m/>
  </r>
  <r>
    <x v="8"/>
    <x v="3"/>
    <s v="02"/>
    <x v="22"/>
    <x v="3"/>
    <x v="3"/>
    <s v="China"/>
    <s v="태안약업(주)"/>
    <s v="녹용"/>
    <s v="DRIED RED DEER VELVET"/>
    <m/>
    <x v="38"/>
    <s v="2018-03-02"/>
    <m/>
    <m/>
    <m/>
  </r>
  <r>
    <x v="8"/>
    <x v="4"/>
    <s v="28"/>
    <x v="11"/>
    <x v="0"/>
    <x v="3"/>
    <s v="New Zealand"/>
    <s v="주식회사 한국인삼공사"/>
    <s v="건조녹용"/>
    <s v="DRIED RED DEER VELVET ANTLER"/>
    <m/>
    <x v="39"/>
    <s v="2018-02-28"/>
    <m/>
    <m/>
    <m/>
  </r>
  <r>
    <x v="8"/>
    <x v="4"/>
    <s v="26"/>
    <x v="50"/>
    <x v="3"/>
    <x v="3"/>
    <s v="New Zealand"/>
    <s v="(주)유한양행"/>
    <s v="녹용"/>
    <s v="FROZEN WHOLE STICK VELVET"/>
    <m/>
    <x v="25"/>
    <s v="2018-02-26"/>
    <m/>
    <m/>
    <m/>
  </r>
  <r>
    <x v="8"/>
    <x v="4"/>
    <s v="14"/>
    <x v="35"/>
    <x v="3"/>
    <x v="3"/>
    <s v="New Zealand"/>
    <s v="삼보제약"/>
    <s v="녹용"/>
    <s v="DRIED RED DEER VELVET ANTLER (WHOLE)"/>
    <m/>
    <x v="65"/>
    <s v="2018-02-14"/>
    <m/>
    <m/>
    <m/>
  </r>
  <r>
    <x v="8"/>
    <x v="4"/>
    <s v="09"/>
    <x v="52"/>
    <x v="0"/>
    <x v="3"/>
    <s v="New Zealand"/>
    <s v="주식회사 허브앤솔루션"/>
    <s v="건조녹용"/>
    <s v="DRIED RED DEER VELVET ANTLER"/>
    <m/>
    <x v="40"/>
    <s v="2018-02-09"/>
    <m/>
    <m/>
    <m/>
  </r>
  <r>
    <x v="8"/>
    <x v="4"/>
    <s v="09"/>
    <x v="3"/>
    <x v="1"/>
    <x v="3"/>
    <s v="New Zealand"/>
    <s v="(주)케이앤씨디어트레이드"/>
    <s v="생녹용"/>
    <s v="FROZEN RED DEER VELVET ANTLER"/>
    <m/>
    <x v="40"/>
    <s v="2018-02-09"/>
    <m/>
    <m/>
    <m/>
  </r>
  <r>
    <x v="8"/>
    <x v="4"/>
    <s v="06"/>
    <x v="12"/>
    <x v="1"/>
    <x v="3"/>
    <s v="New Zealand"/>
    <s v="유진통상"/>
    <s v="생녹용"/>
    <s v="FROZEN RED DEER VELVET ANTLER"/>
    <m/>
    <x v="5"/>
    <s v="2018-02-06"/>
    <m/>
    <m/>
    <m/>
  </r>
  <r>
    <x v="8"/>
    <x v="4"/>
    <s v="06"/>
    <x v="14"/>
    <x v="3"/>
    <x v="3"/>
    <s v="New Zealand"/>
    <s v="(주)용보제약"/>
    <s v="녹용"/>
    <s v="DRIED RED DEER VELVET"/>
    <m/>
    <x v="65"/>
    <s v="2018-02-06"/>
    <m/>
    <m/>
    <m/>
  </r>
  <r>
    <x v="8"/>
    <x v="5"/>
    <s v="25"/>
    <x v="20"/>
    <x v="1"/>
    <x v="3"/>
    <s v="New Zealand"/>
    <s v="대호제약주식회사"/>
    <s v="생녹용"/>
    <s v="FROZEN RED DEER VELVET ANTLER"/>
    <m/>
    <x v="34"/>
    <s v="2018-01-25"/>
    <m/>
    <m/>
    <m/>
  </r>
  <r>
    <x v="8"/>
    <x v="5"/>
    <s v="25"/>
    <x v="11"/>
    <x v="0"/>
    <x v="3"/>
    <s v="New Zealand"/>
    <s v="주식회사 한국인삼공사"/>
    <s v="건조녹용"/>
    <s v="DRIED RED DEER VELVET ANTLER"/>
    <m/>
    <x v="39"/>
    <s v="2018-01-25"/>
    <m/>
    <m/>
    <m/>
  </r>
  <r>
    <x v="8"/>
    <x v="5"/>
    <s v="17"/>
    <x v="33"/>
    <x v="0"/>
    <x v="3"/>
    <s v="China"/>
    <s v="(주)이룸제약법인"/>
    <s v="건조녹용"/>
    <s v="DRIED RED DEER VELVET ANTLER"/>
    <m/>
    <x v="54"/>
    <s v="2018-01-17"/>
    <m/>
    <m/>
    <m/>
  </r>
  <r>
    <x v="8"/>
    <x v="5"/>
    <s v="10"/>
    <x v="12"/>
    <x v="1"/>
    <x v="3"/>
    <s v="New Zealand"/>
    <s v="유진통상"/>
    <s v="생녹용"/>
    <s v="FROZEN RED DEER VELVET ANTLER"/>
    <m/>
    <x v="5"/>
    <s v="2018-01-10"/>
    <m/>
    <m/>
    <m/>
  </r>
  <r>
    <x v="8"/>
    <x v="5"/>
    <s v="05"/>
    <x v="24"/>
    <x v="0"/>
    <x v="3"/>
    <s v="China"/>
    <s v="(주)진수녹용"/>
    <s v="건조녹용"/>
    <s v="DRIED RED DEER VELVET ANTLER"/>
    <m/>
    <x v="38"/>
    <s v="2018-01-05"/>
    <m/>
    <m/>
    <m/>
  </r>
  <r>
    <x v="8"/>
    <x v="5"/>
    <s v="02"/>
    <x v="44"/>
    <x v="1"/>
    <x v="3"/>
    <s v="New Zealand"/>
    <s v="한동허브"/>
    <s v="생녹용"/>
    <s v="FROZEN RED DEER VELVET"/>
    <m/>
    <x v="39"/>
    <s v="2018-01-02"/>
    <m/>
    <m/>
    <m/>
  </r>
  <r>
    <x v="9"/>
    <x v="6"/>
    <s v="28"/>
    <x v="50"/>
    <x v="5"/>
    <x v="3"/>
    <s v="New Zealand"/>
    <s v="(주)유한양행"/>
    <s v="연구용 건조 녹용"/>
    <s v="DRIED DEER VELVET"/>
    <m/>
    <x v="28"/>
    <s v="2017-12-28"/>
    <m/>
    <m/>
    <m/>
  </r>
  <r>
    <x v="9"/>
    <x v="6"/>
    <s v="28"/>
    <x v="35"/>
    <x v="3"/>
    <x v="3"/>
    <s v="New Zealand"/>
    <s v="삼보제약"/>
    <s v="녹용"/>
    <s v="DRIED RED DEER VELVET ANTLER (WHOLE)"/>
    <m/>
    <x v="4"/>
    <s v="2017-12-28"/>
    <m/>
    <m/>
    <m/>
  </r>
  <r>
    <x v="9"/>
    <x v="6"/>
    <s v="27"/>
    <x v="3"/>
    <x v="1"/>
    <x v="3"/>
    <s v="New Zealand"/>
    <s v="(주)케이앤씨디어트레이드"/>
    <s v="생녹용"/>
    <s v="FROZEN RED DEER VELVET ANTLER"/>
    <m/>
    <x v="40"/>
    <s v="2017-12-27"/>
    <m/>
    <m/>
    <m/>
  </r>
  <r>
    <x v="9"/>
    <x v="7"/>
    <s v="15"/>
    <x v="16"/>
    <x v="0"/>
    <x v="3"/>
    <s v="Russia"/>
    <s v="(주)대원알디티"/>
    <s v="건조녹용"/>
    <s v="DRIED MARAL VELVET ANTLER ( CERVUS ELAPHUS )"/>
    <m/>
    <x v="27"/>
    <s v="2017-11-15"/>
    <m/>
    <m/>
    <m/>
  </r>
  <r>
    <x v="9"/>
    <x v="7"/>
    <s v="14"/>
    <x v="3"/>
    <x v="1"/>
    <x v="3"/>
    <s v="New Zealand"/>
    <s v="(주)케이앤씨디어트레이드"/>
    <s v="생녹용"/>
    <s v="FROZEN RED DEER VELVET ANTLER"/>
    <m/>
    <x v="40"/>
    <s v="2017-11-14"/>
    <m/>
    <m/>
    <m/>
  </r>
  <r>
    <x v="9"/>
    <x v="7"/>
    <s v="08"/>
    <x v="16"/>
    <x v="3"/>
    <x v="3"/>
    <s v="Russia"/>
    <s v="(주)대원알디티"/>
    <s v="녹용"/>
    <s v="DRIED MARAL VELVET ANTLER ( CERVUS ELAPHUS )"/>
    <m/>
    <x v="76"/>
    <s v="2017-11-08"/>
    <m/>
    <m/>
    <m/>
  </r>
  <r>
    <x v="9"/>
    <x v="8"/>
    <s v="26"/>
    <x v="14"/>
    <x v="3"/>
    <x v="3"/>
    <s v="New Zealand"/>
    <s v="(주)용보제약"/>
    <s v="녹용"/>
    <s v="DRIED RED DEER VELVET"/>
    <m/>
    <x v="65"/>
    <s v="2017-10-26"/>
    <m/>
    <m/>
    <m/>
  </r>
  <r>
    <x v="9"/>
    <x v="8"/>
    <s v="24"/>
    <x v="35"/>
    <x v="3"/>
    <x v="3"/>
    <s v="New Zealand"/>
    <s v="삼보제약"/>
    <s v="녹용"/>
    <s v="DRIED RED DEER VELVET ANTLER (WHOLE)"/>
    <m/>
    <x v="4"/>
    <s v="2017-10-24"/>
    <m/>
    <m/>
    <m/>
  </r>
  <r>
    <x v="9"/>
    <x v="8"/>
    <s v="19"/>
    <x v="50"/>
    <x v="5"/>
    <x v="3"/>
    <s v="New Zealand"/>
    <s v="(주)유한양행"/>
    <s v="연구용 건조 녹용"/>
    <s v="100% SLICED DRIED DEER ANTLER VELVET"/>
    <m/>
    <x v="77"/>
    <s v="2017-10-19"/>
    <m/>
    <m/>
    <m/>
  </r>
  <r>
    <x v="9"/>
    <x v="9"/>
    <s v="18"/>
    <x v="53"/>
    <x v="6"/>
    <x v="3"/>
    <s v="Russia"/>
    <s v="(주)서화제약"/>
    <s v="녹각"/>
    <s v="DEER HARD ANTLER(CERVUS ELAPHUS)"/>
    <m/>
    <x v="78"/>
    <s v="2017-09-18"/>
    <m/>
    <m/>
    <m/>
  </r>
  <r>
    <x v="9"/>
    <x v="9"/>
    <s v="11"/>
    <x v="22"/>
    <x v="3"/>
    <x v="3"/>
    <s v="Russia"/>
    <s v="태안약업(주)"/>
    <s v="녹용"/>
    <s v="DEER VELVET"/>
    <m/>
    <x v="79"/>
    <s v="2017-09-11"/>
    <m/>
    <m/>
    <m/>
  </r>
  <r>
    <x v="9"/>
    <x v="9"/>
    <s v="06"/>
    <x v="44"/>
    <x v="6"/>
    <x v="3"/>
    <s v="Russia"/>
    <s v="한동허브"/>
    <s v="녹각"/>
    <s v="MARAL HARD ANTLER ( CERVUS ELAPHUS )"/>
    <m/>
    <x v="80"/>
    <s v="2017-09-06"/>
    <m/>
    <m/>
    <m/>
  </r>
  <r>
    <x v="9"/>
    <x v="10"/>
    <s v="22"/>
    <x v="14"/>
    <x v="0"/>
    <x v="3"/>
    <s v="New Zealand"/>
    <s v="(주)용보제약"/>
    <s v="건녹용"/>
    <s v="DRIED RED DEER VELVET"/>
    <m/>
    <x v="65"/>
    <s v="2017-08-22"/>
    <m/>
    <m/>
    <m/>
  </r>
  <r>
    <x v="9"/>
    <x v="10"/>
    <s v="08"/>
    <x v="54"/>
    <x v="6"/>
    <x v="3"/>
    <s v="Russia"/>
    <s v="주신제약(주)"/>
    <s v="녹각"/>
    <s v="DEER HARD HORN (CERVUS ELAPHUS)"/>
    <m/>
    <x v="73"/>
    <s v="2017-08-08"/>
    <m/>
    <m/>
    <m/>
  </r>
  <r>
    <x v="9"/>
    <x v="11"/>
    <s v="20"/>
    <x v="35"/>
    <x v="0"/>
    <x v="3"/>
    <s v="New Zealand"/>
    <s v="삼보제약"/>
    <s v="건녹용"/>
    <s v="DRIED RED DEER VELVET ANTLER (WHOLE)"/>
    <m/>
    <x v="4"/>
    <s v="2017-07-20"/>
    <m/>
    <m/>
    <m/>
  </r>
  <r>
    <x v="9"/>
    <x v="11"/>
    <s v="19"/>
    <x v="11"/>
    <x v="0"/>
    <x v="3"/>
    <s v="New Zealand"/>
    <s v="주식회사 한국인삼공사"/>
    <s v="건녹용"/>
    <s v="DRIED RED DEER VELVET ANTLER"/>
    <m/>
    <x v="39"/>
    <s v="2017-07-19"/>
    <m/>
    <m/>
    <m/>
  </r>
  <r>
    <x v="9"/>
    <x v="11"/>
    <s v="19"/>
    <x v="3"/>
    <x v="0"/>
    <x v="3"/>
    <s v="Russia"/>
    <s v="(주)케이앤씨디어트레이드"/>
    <s v="건녹용"/>
    <s v="DEER HORNS"/>
    <m/>
    <x v="32"/>
    <s v="2017-07-19"/>
    <m/>
    <m/>
    <m/>
  </r>
  <r>
    <x v="9"/>
    <x v="11"/>
    <s v="18"/>
    <x v="44"/>
    <x v="0"/>
    <x v="3"/>
    <s v="Russia"/>
    <s v="한동허브"/>
    <s v="건녹용"/>
    <s v="DEER HORNS"/>
    <m/>
    <x v="32"/>
    <s v="2017-07-18"/>
    <m/>
    <m/>
    <m/>
  </r>
  <r>
    <x v="9"/>
    <x v="11"/>
    <s v="11"/>
    <x v="11"/>
    <x v="0"/>
    <x v="3"/>
    <s v="New Zealand"/>
    <s v="주식회사 한국인삼공사"/>
    <s v="건녹용"/>
    <s v="DRIED RED DEER VELVET ANTLER"/>
    <m/>
    <x v="39"/>
    <s v="2017-07-11"/>
    <m/>
    <m/>
    <m/>
  </r>
  <r>
    <x v="9"/>
    <x v="11"/>
    <s v="11"/>
    <x v="11"/>
    <x v="0"/>
    <x v="3"/>
    <s v="New Zealand"/>
    <s v="주식회사 한국인삼공사"/>
    <s v="건녹용"/>
    <s v="DRIED RED DEER VELVET ANTLER"/>
    <m/>
    <x v="10"/>
    <s v="2017-07-11"/>
    <m/>
    <m/>
    <m/>
  </r>
  <r>
    <x v="9"/>
    <x v="11"/>
    <s v="04"/>
    <x v="11"/>
    <x v="0"/>
    <x v="3"/>
    <s v="New Zealand"/>
    <s v="주식회사 한국인삼공사"/>
    <s v="건녹용"/>
    <s v="DRIED RED DEER VELVET ANTLER"/>
    <m/>
    <x v="40"/>
    <s v="2017-07-04"/>
    <m/>
    <m/>
    <m/>
  </r>
  <r>
    <x v="9"/>
    <x v="0"/>
    <s v="21"/>
    <x v="28"/>
    <x v="0"/>
    <x v="3"/>
    <s v="New Zealand"/>
    <s v="명가녹용 주식회사"/>
    <s v="건녹용"/>
    <s v="DRIED RED DEER VELVET ANTLER (WHOLE)"/>
    <m/>
    <x v="4"/>
    <s v="2017-06-21"/>
    <m/>
    <m/>
    <m/>
  </r>
  <r>
    <x v="9"/>
    <x v="0"/>
    <s v="20"/>
    <x v="44"/>
    <x v="1"/>
    <x v="3"/>
    <s v="New Zealand"/>
    <s v="한동허브"/>
    <s v="생녹용"/>
    <s v="FROZEN RED DEER VELVET"/>
    <m/>
    <x v="39"/>
    <s v="2017-06-20"/>
    <m/>
    <m/>
    <m/>
  </r>
  <r>
    <x v="9"/>
    <x v="0"/>
    <s v="19"/>
    <x v="14"/>
    <x v="0"/>
    <x v="3"/>
    <s v="New Zealand"/>
    <s v="(주)용보제약"/>
    <s v="건녹용"/>
    <s v="DRIED RED DEER VELVET"/>
    <m/>
    <x v="65"/>
    <s v="2017-06-19"/>
    <m/>
    <m/>
    <m/>
  </r>
  <r>
    <x v="9"/>
    <x v="0"/>
    <s v="14"/>
    <x v="11"/>
    <x v="0"/>
    <x v="3"/>
    <s v="New Zealand"/>
    <s v="주식회사 한국인삼공사"/>
    <s v="건녹용"/>
    <s v="DRIED RED DEER VELVET ANTLER"/>
    <m/>
    <x v="65"/>
    <s v="2017-06-14"/>
    <m/>
    <m/>
    <m/>
  </r>
  <r>
    <x v="9"/>
    <x v="0"/>
    <s v="05"/>
    <x v="9"/>
    <x v="3"/>
    <x v="3"/>
    <s v="China"/>
    <s v="화용제약"/>
    <s v="녹용"/>
    <s v="DEER HORN"/>
    <m/>
    <x v="38"/>
    <s v="2017-06-05"/>
    <m/>
    <m/>
    <m/>
  </r>
  <r>
    <x v="9"/>
    <x v="0"/>
    <s v="05"/>
    <x v="11"/>
    <x v="0"/>
    <x v="3"/>
    <s v="New Zealand"/>
    <s v="주식회사 한국인삼공사"/>
    <s v="건녹용"/>
    <s v="DRIED RED DEER VELVET ANTLER"/>
    <m/>
    <x v="10"/>
    <s v="2017-06-05"/>
    <m/>
    <m/>
    <m/>
  </r>
  <r>
    <x v="9"/>
    <x v="0"/>
    <s v="05"/>
    <x v="55"/>
    <x v="3"/>
    <x v="3"/>
    <s v="Russia"/>
    <s v="동화무약"/>
    <s v="녹용"/>
    <s v="DEER HORN"/>
    <m/>
    <x v="32"/>
    <s v="2017-06-05"/>
    <m/>
    <m/>
    <m/>
  </r>
  <r>
    <x v="9"/>
    <x v="0"/>
    <s v="01"/>
    <x v="14"/>
    <x v="0"/>
    <x v="3"/>
    <s v="New Zealand"/>
    <s v="(주)용보제약"/>
    <s v="건녹용"/>
    <s v="DRIED RED DEER VELVET"/>
    <m/>
    <x v="65"/>
    <s v="2017-06-01"/>
    <m/>
    <m/>
    <m/>
  </r>
  <r>
    <x v="9"/>
    <x v="1"/>
    <s v="24"/>
    <x v="11"/>
    <x v="0"/>
    <x v="3"/>
    <s v="New Zealand"/>
    <s v="주식회사 한국인삼공사"/>
    <s v="건녹용"/>
    <s v="DRIED RED DEER VELVET ANTLER"/>
    <m/>
    <x v="40"/>
    <s v="2017-05-24"/>
    <m/>
    <m/>
    <m/>
  </r>
  <r>
    <x v="9"/>
    <x v="1"/>
    <s v="12"/>
    <x v="3"/>
    <x v="1"/>
    <x v="3"/>
    <s v="New Zealand"/>
    <s v="(주)케이앤씨디어트레이드"/>
    <s v="생녹용"/>
    <s v="FROZEN RED DEER VELVET ANTLER"/>
    <m/>
    <x v="10"/>
    <s v="2017-05-12"/>
    <m/>
    <m/>
    <m/>
  </r>
  <r>
    <x v="9"/>
    <x v="1"/>
    <s v="08"/>
    <x v="11"/>
    <x v="0"/>
    <x v="3"/>
    <s v="New Zealand"/>
    <s v="주식회사 한국인삼공사"/>
    <s v="건녹용"/>
    <s v="DRIED RED DEER VELVET ANTLER"/>
    <m/>
    <x v="10"/>
    <s v="2017-05-08"/>
    <m/>
    <m/>
    <m/>
  </r>
  <r>
    <x v="9"/>
    <x v="2"/>
    <s v="27"/>
    <x v="44"/>
    <x v="1"/>
    <x v="3"/>
    <s v="New Zealand"/>
    <s v="한동허브"/>
    <s v="생녹용"/>
    <s v="FROZEN RED DEER VELVET ANTLER"/>
    <m/>
    <x v="10"/>
    <s v="2017-04-27"/>
    <m/>
    <m/>
    <m/>
  </r>
  <r>
    <x v="9"/>
    <x v="2"/>
    <s v="12"/>
    <x v="56"/>
    <x v="1"/>
    <x v="3"/>
    <s v="New Zealand"/>
    <s v="(주)수식품"/>
    <s v="생녹용"/>
    <s v="FROZEN RED DEER VELVET ANTLER"/>
    <m/>
    <x v="40"/>
    <s v="2017-04-12"/>
    <m/>
    <m/>
    <m/>
  </r>
  <r>
    <x v="9"/>
    <x v="2"/>
    <s v="05"/>
    <x v="11"/>
    <x v="0"/>
    <x v="3"/>
    <s v="New Zealand"/>
    <s v="주식회사 한국인삼공사"/>
    <s v="건녹용"/>
    <s v="DRIED RED DEER VELVET ANTLER"/>
    <m/>
    <x v="5"/>
    <s v="2017-04-05"/>
    <m/>
    <m/>
    <m/>
  </r>
  <r>
    <x v="9"/>
    <x v="2"/>
    <s v="04"/>
    <x v="52"/>
    <x v="3"/>
    <x v="3"/>
    <s v="Russia"/>
    <s v="허브앤솔루션"/>
    <s v="녹용"/>
    <s v="MARAL DEER HORN(CERVUS ELAPHUS SIBIRICUS)"/>
    <m/>
    <x v="32"/>
    <s v="2017-04-04"/>
    <m/>
    <m/>
    <m/>
  </r>
  <r>
    <x v="9"/>
    <x v="3"/>
    <s v="09"/>
    <x v="56"/>
    <x v="1"/>
    <x v="3"/>
    <s v="New Zealand"/>
    <s v="(주)수식품"/>
    <s v="생녹용"/>
    <s v="FROZEN RED DEER VELVET ANTLER"/>
    <m/>
    <x v="40"/>
    <s v="2017-03-09"/>
    <m/>
    <m/>
    <m/>
  </r>
  <r>
    <x v="9"/>
    <x v="3"/>
    <s v="08"/>
    <x v="28"/>
    <x v="0"/>
    <x v="3"/>
    <s v="New Zealand"/>
    <s v="명가녹용 주식회사"/>
    <s v="건녹용"/>
    <s v="DRIED RED DEER VELVET ANTLER(WHOLE)"/>
    <m/>
    <x v="14"/>
    <s v="2017-03-08"/>
    <m/>
    <m/>
    <m/>
  </r>
  <r>
    <x v="9"/>
    <x v="4"/>
    <s v="22"/>
    <x v="44"/>
    <x v="1"/>
    <x v="3"/>
    <s v="New Zealand"/>
    <s v="한동허브"/>
    <s v="생녹용"/>
    <s v="FROZEN RED DEER VELVET ANTLER"/>
    <m/>
    <x v="40"/>
    <s v="2017-02-22"/>
    <m/>
    <m/>
    <m/>
  </r>
  <r>
    <x v="9"/>
    <x v="4"/>
    <s v="14"/>
    <x v="3"/>
    <x v="1"/>
    <x v="3"/>
    <s v="New Zealand"/>
    <s v="(주)케이앤씨디어트레이드"/>
    <s v="생녹용"/>
    <s v="FROZEN RED DEER VELVET ANTLER"/>
    <m/>
    <x v="5"/>
    <s v="2017-02-14"/>
    <m/>
    <m/>
    <m/>
  </r>
  <r>
    <x v="9"/>
    <x v="4"/>
    <s v="07"/>
    <x v="56"/>
    <x v="0"/>
    <x v="3"/>
    <s v="Russia"/>
    <s v="(주)수식품"/>
    <s v="건녹용"/>
    <s v="DRIED DEER HORN(CERVUS ELAPHUS SIBIRICUS) (WHOLE)"/>
    <m/>
    <x v="73"/>
    <s v="2017-02-07"/>
    <m/>
    <m/>
    <m/>
  </r>
  <r>
    <x v="9"/>
    <x v="5"/>
    <s v="31"/>
    <x v="42"/>
    <x v="3"/>
    <x v="3"/>
    <s v="China"/>
    <s v="(주)대한녹용수출입법인"/>
    <s v="녹용"/>
    <s v="DEER HORN"/>
    <m/>
    <x v="8"/>
    <s v="2017-01-31"/>
    <m/>
    <m/>
    <m/>
  </r>
  <r>
    <x v="9"/>
    <x v="5"/>
    <s v="18"/>
    <x v="7"/>
    <x v="1"/>
    <x v="3"/>
    <s v="New Zealand"/>
    <s v="(주)우성생약"/>
    <s v="생녹용"/>
    <s v="FROZEN RED DEER VELVET ANTLER"/>
    <m/>
    <x v="40"/>
    <s v="2017-01-18"/>
    <m/>
    <m/>
    <m/>
  </r>
  <r>
    <x v="9"/>
    <x v="5"/>
    <s v="16"/>
    <x v="53"/>
    <x v="3"/>
    <x v="3"/>
    <s v="Russia"/>
    <s v="(주)서화제약"/>
    <s v="녹용"/>
    <s v="DEER HORNS"/>
    <m/>
    <x v="32"/>
    <s v="2017-01-16"/>
    <m/>
    <m/>
    <m/>
  </r>
  <r>
    <x v="9"/>
    <x v="5"/>
    <s v="03"/>
    <x v="56"/>
    <x v="1"/>
    <x v="3"/>
    <s v="New Zealand"/>
    <s v="(주)수식품"/>
    <s v="생녹용"/>
    <s v="FROZEN RED DEER VELVET ANTLER"/>
    <m/>
    <x v="40"/>
    <s v="2017-01-03"/>
    <m/>
    <m/>
    <m/>
  </r>
  <r>
    <x v="10"/>
    <x v="6"/>
    <s v="30"/>
    <x v="57"/>
    <x v="0"/>
    <x v="3"/>
    <s v="New Zealand"/>
    <s v="(주)한국허브"/>
    <s v="건녹용"/>
    <s v="DRIED RED DEER VELVET ANTLER (WHOLE)"/>
    <m/>
    <x v="4"/>
    <s v="2016-12-30"/>
    <m/>
    <m/>
    <m/>
  </r>
  <r>
    <x v="10"/>
    <x v="6"/>
    <s v="20"/>
    <x v="3"/>
    <x v="1"/>
    <x v="3"/>
    <s v="New Zealand"/>
    <s v="(주)케이앤씨디어트레이드"/>
    <s v="생녹용"/>
    <s v="FROZEN RED DEER VELVET ANTLER"/>
    <m/>
    <x v="10"/>
    <s v="2016-12-20"/>
    <m/>
    <m/>
    <m/>
  </r>
  <r>
    <x v="10"/>
    <x v="6"/>
    <s v="05"/>
    <x v="14"/>
    <x v="0"/>
    <x v="3"/>
    <s v="New Zealand"/>
    <s v="(주)용보제약"/>
    <s v="건녹용"/>
    <s v="DRIED DEER VELVET"/>
    <m/>
    <x v="41"/>
    <s v="2016-12-05"/>
    <m/>
    <m/>
    <m/>
  </r>
  <r>
    <x v="10"/>
    <x v="7"/>
    <s v="29"/>
    <x v="58"/>
    <x v="6"/>
    <x v="3"/>
    <s v="Russia"/>
    <s v="바이칼허브"/>
    <s v="녹각"/>
    <s v="DEER HARD HORNS"/>
    <m/>
    <x v="81"/>
    <s v="2016-11-29"/>
    <m/>
    <m/>
    <m/>
  </r>
  <r>
    <x v="10"/>
    <x v="7"/>
    <s v="28"/>
    <x v="22"/>
    <x v="6"/>
    <x v="3"/>
    <s v="Russia"/>
    <s v="태안약업(주)"/>
    <s v="녹각"/>
    <s v="DEER HARD HORN (CERVUS ELAPHUS)"/>
    <m/>
    <x v="82"/>
    <s v="2016-11-28"/>
    <m/>
    <m/>
    <m/>
  </r>
  <r>
    <x v="10"/>
    <x v="7"/>
    <s v="18"/>
    <x v="38"/>
    <x v="6"/>
    <x v="3"/>
    <s v="Russia"/>
    <s v="한선무역"/>
    <s v="녹각"/>
    <s v="DEER HARD HORNS"/>
    <m/>
    <x v="80"/>
    <s v="2016-11-18"/>
    <m/>
    <m/>
    <m/>
  </r>
  <r>
    <x v="10"/>
    <x v="7"/>
    <s v="18"/>
    <x v="15"/>
    <x v="3"/>
    <x v="3"/>
    <s v="Russia"/>
    <s v="조은생약"/>
    <s v="녹용"/>
    <s v="DEER HORN"/>
    <m/>
    <x v="83"/>
    <s v="2016-11-18"/>
    <m/>
    <m/>
    <m/>
  </r>
  <r>
    <x v="10"/>
    <x v="7"/>
    <s v="17"/>
    <x v="56"/>
    <x v="7"/>
    <x v="3"/>
    <s v="New Zealand"/>
    <s v="(주)수식품"/>
    <s v="건조절편녹용"/>
    <s v="DRIED RED DEER VELVET ANTLER (SLICED)"/>
    <m/>
    <x v="40"/>
    <s v="2016-11-17"/>
    <m/>
    <m/>
    <m/>
  </r>
  <r>
    <x v="10"/>
    <x v="7"/>
    <s v="16"/>
    <x v="56"/>
    <x v="0"/>
    <x v="3"/>
    <s v="New Zealand"/>
    <s v="(주)수식품"/>
    <s v="건녹용"/>
    <s v="DRIED RED DEER VELVET ANTLER"/>
    <m/>
    <x v="17"/>
    <s v="2016-11-16"/>
    <m/>
    <m/>
    <m/>
  </r>
  <r>
    <x v="10"/>
    <x v="7"/>
    <s v="11"/>
    <x v="11"/>
    <x v="0"/>
    <x v="3"/>
    <s v="New Zealand"/>
    <s v="주식회사 한국인삼공사"/>
    <s v="건녹용"/>
    <s v="DRIED RED DEER VELVET ANTLER"/>
    <m/>
    <x v="39"/>
    <s v="2016-11-11"/>
    <m/>
    <m/>
    <m/>
  </r>
  <r>
    <x v="10"/>
    <x v="7"/>
    <s v="11"/>
    <x v="11"/>
    <x v="0"/>
    <x v="3"/>
    <s v="New Zealand"/>
    <s v="주식회사 한국인삼공사"/>
    <s v="건녹용"/>
    <s v="DRIED RED DEER VELVET ANTLER"/>
    <m/>
    <x v="41"/>
    <s v="2016-11-11"/>
    <m/>
    <m/>
    <m/>
  </r>
  <r>
    <x v="10"/>
    <x v="8"/>
    <s v="26"/>
    <x v="34"/>
    <x v="3"/>
    <x v="3"/>
    <s v="Russia"/>
    <s v="일성식품"/>
    <s v="녹용"/>
    <s v="DEER HORN"/>
    <m/>
    <x v="32"/>
    <s v="2016-10-26"/>
    <m/>
    <m/>
    <m/>
  </r>
  <r>
    <x v="10"/>
    <x v="8"/>
    <s v="26"/>
    <x v="11"/>
    <x v="0"/>
    <x v="3"/>
    <s v="New Zealand"/>
    <s v="주식회사 한국인삼공사"/>
    <s v="건녹용"/>
    <s v="DRIED RED DEER VELVET ANTLER"/>
    <m/>
    <x v="39"/>
    <s v="2016-10-26"/>
    <m/>
    <m/>
    <m/>
  </r>
  <r>
    <x v="10"/>
    <x v="8"/>
    <s v="17"/>
    <x v="3"/>
    <x v="0"/>
    <x v="3"/>
    <s v="Russia"/>
    <s v="(주)케이앤씨디어트레이드"/>
    <s v="건녹용"/>
    <s v="DEER HORNS"/>
    <m/>
    <x v="84"/>
    <s v="2016-10-17"/>
    <m/>
    <m/>
    <m/>
  </r>
  <r>
    <x v="10"/>
    <x v="8"/>
    <s v="17"/>
    <x v="22"/>
    <x v="0"/>
    <x v="3"/>
    <s v="New Zealand"/>
    <s v="태안약업(주)"/>
    <s v="건녹용"/>
    <s v="DRIED DEER VELVET"/>
    <m/>
    <x v="41"/>
    <s v="2016-10-17"/>
    <m/>
    <m/>
    <m/>
  </r>
  <r>
    <x v="10"/>
    <x v="8"/>
    <s v="11"/>
    <x v="16"/>
    <x v="0"/>
    <x v="3"/>
    <s v="Russia"/>
    <s v="(주)대원알디티"/>
    <s v="건녹용"/>
    <s v="DEER HORNS"/>
    <m/>
    <x v="76"/>
    <s v="2016-10-11"/>
    <m/>
    <m/>
    <m/>
  </r>
  <r>
    <x v="10"/>
    <x v="8"/>
    <s v="10"/>
    <x v="15"/>
    <x v="6"/>
    <x v="3"/>
    <s v="Kazakhstan"/>
    <s v="조은생약"/>
    <s v="녹각"/>
    <s v="ANTLER (DRY DEER HORN)"/>
    <m/>
    <x v="85"/>
    <s v="2016-10-10"/>
    <m/>
    <m/>
    <m/>
  </r>
  <r>
    <x v="10"/>
    <x v="9"/>
    <s v="28"/>
    <x v="57"/>
    <x v="0"/>
    <x v="3"/>
    <s v="New Zealand"/>
    <s v="(주)한국허브"/>
    <s v="건녹용"/>
    <s v="DRIED RED DEER VELVET ANTLER (WHOLE)"/>
    <m/>
    <x v="4"/>
    <s v="2016-09-28"/>
    <m/>
    <m/>
    <m/>
  </r>
  <r>
    <x v="10"/>
    <x v="9"/>
    <s v="07"/>
    <x v="14"/>
    <x v="0"/>
    <x v="3"/>
    <s v="New Zealand"/>
    <s v="(주)용보제약"/>
    <s v="건녹용"/>
    <s v="DRIED DEER VELVET"/>
    <m/>
    <x v="41"/>
    <s v="2016-09-07"/>
    <m/>
    <m/>
    <m/>
  </r>
  <r>
    <x v="10"/>
    <x v="10"/>
    <s v="05"/>
    <x v="11"/>
    <x v="0"/>
    <x v="3"/>
    <s v="New Zealand"/>
    <s v="(주)한국인삼공사"/>
    <s v="건녹용"/>
    <s v="DRIED RED DEER VELVET ANTLER"/>
    <m/>
    <x v="39"/>
    <s v="2016-08-05"/>
    <m/>
    <m/>
    <m/>
  </r>
  <r>
    <x v="10"/>
    <x v="10"/>
    <s v="01"/>
    <x v="35"/>
    <x v="8"/>
    <x v="3"/>
    <s v="New Zealand"/>
    <s v="삼보제약"/>
    <s v="상대녹용절편"/>
    <s v="100% DRIED RED DEER SLICED VELVET (SANGDAE)"/>
    <m/>
    <x v="4"/>
    <s v="2016-08-01"/>
    <m/>
    <m/>
    <m/>
  </r>
  <r>
    <x v="10"/>
    <x v="11"/>
    <s v="27"/>
    <x v="56"/>
    <x v="1"/>
    <x v="3"/>
    <s v="New Zealand"/>
    <s v="(주)수식품"/>
    <s v="생녹용"/>
    <s v="FROZEN RED DEER VELVET ANTLER"/>
    <m/>
    <x v="40"/>
    <s v="2016-07-27"/>
    <m/>
    <m/>
    <m/>
  </r>
  <r>
    <x v="10"/>
    <x v="11"/>
    <s v="21"/>
    <x v="59"/>
    <x v="6"/>
    <x v="3"/>
    <s v="China ,Hong Kong"/>
    <s v="상녹제약(주)"/>
    <s v="녹각"/>
    <s v="DEER HARD ANTLERS"/>
    <m/>
    <x v="86"/>
    <s v="2016-07-21"/>
    <m/>
    <m/>
    <m/>
  </r>
  <r>
    <x v="10"/>
    <x v="11"/>
    <s v="05"/>
    <x v="22"/>
    <x v="0"/>
    <x v="3"/>
    <s v="New Zealand"/>
    <s v="태안약업(주)"/>
    <s v="건녹용"/>
    <s v="DRIED DEER VELVET"/>
    <m/>
    <x v="41"/>
    <s v="2016-07-05"/>
    <m/>
    <m/>
    <m/>
  </r>
  <r>
    <x v="10"/>
    <x v="11"/>
    <s v="04"/>
    <x v="58"/>
    <x v="6"/>
    <x v="3"/>
    <s v="Russia"/>
    <s v="바이칼허브"/>
    <s v="녹각"/>
    <s v="DEER HARD HORNS"/>
    <m/>
    <x v="81"/>
    <s v="2016-07-04"/>
    <m/>
    <m/>
    <m/>
  </r>
  <r>
    <x v="10"/>
    <x v="0"/>
    <s v="29"/>
    <x v="44"/>
    <x v="1"/>
    <x v="3"/>
    <s v="New Zealand"/>
    <s v="한동허브"/>
    <s v="생녹용"/>
    <s v="FROZEN RED DEER VELVET"/>
    <m/>
    <x v="39"/>
    <s v="2016-06-29"/>
    <m/>
    <m/>
    <m/>
  </r>
  <r>
    <x v="10"/>
    <x v="0"/>
    <s v="28"/>
    <x v="28"/>
    <x v="3"/>
    <x v="3"/>
    <s v="New Zealand"/>
    <s v="명가녹용 주식회사"/>
    <s v="녹용"/>
    <s v="DEER HORN"/>
    <m/>
    <x v="65"/>
    <s v="2016-06-28"/>
    <m/>
    <m/>
    <m/>
  </r>
  <r>
    <x v="10"/>
    <x v="0"/>
    <s v="24"/>
    <x v="54"/>
    <x v="6"/>
    <x v="3"/>
    <s v="China ,Hong Kong"/>
    <s v="주신제약(주)"/>
    <s v="녹각"/>
    <s v="DEER HARD HORN (CERVUS ELAPHUS SIBIRICUS)"/>
    <m/>
    <x v="86"/>
    <s v="2016-06-24"/>
    <m/>
    <m/>
    <m/>
  </r>
  <r>
    <x v="10"/>
    <x v="0"/>
    <s v="21"/>
    <x v="56"/>
    <x v="1"/>
    <x v="3"/>
    <s v="New Zealand"/>
    <s v="(주)수식품"/>
    <s v="생녹용"/>
    <s v="FROZEN RED DEER VELVET ANTLER"/>
    <m/>
    <x v="40"/>
    <s v="2016-06-21"/>
    <m/>
    <m/>
    <m/>
  </r>
  <r>
    <x v="10"/>
    <x v="0"/>
    <s v="20"/>
    <x v="11"/>
    <x v="0"/>
    <x v="3"/>
    <s v="New Zealand"/>
    <s v="(주)한국인삼공사"/>
    <s v="건녹용"/>
    <s v="DRIED RED DEER VELVET ANTLER"/>
    <m/>
    <x v="39"/>
    <s v="2016-06-20"/>
    <m/>
    <m/>
    <m/>
  </r>
  <r>
    <x v="10"/>
    <x v="0"/>
    <s v="20"/>
    <x v="56"/>
    <x v="0"/>
    <x v="3"/>
    <s v="New Zealand"/>
    <s v="(주)수식품"/>
    <s v="건녹용"/>
    <s v="DRIED RED DEER VELVET ANTLER"/>
    <m/>
    <x v="40"/>
    <s v="2016-06-20"/>
    <m/>
    <m/>
    <m/>
  </r>
  <r>
    <x v="10"/>
    <x v="0"/>
    <s v="15"/>
    <x v="56"/>
    <x v="1"/>
    <x v="3"/>
    <s v="New Zealand"/>
    <s v="(주)수식품"/>
    <s v="생녹용"/>
    <s v="FROZEN RED DEER VELVET ANTLER"/>
    <m/>
    <x v="40"/>
    <s v="2016-06-15"/>
    <m/>
    <m/>
    <m/>
  </r>
  <r>
    <x v="10"/>
    <x v="1"/>
    <s v="27"/>
    <x v="11"/>
    <x v="3"/>
    <x v="3"/>
    <s v="New Zealand"/>
    <s v="(주)한국인삼공사"/>
    <s v="녹용"/>
    <s v="DEER VELVET"/>
    <m/>
    <x v="40"/>
    <s v="2016-05-27"/>
    <m/>
    <m/>
    <m/>
  </r>
  <r>
    <x v="10"/>
    <x v="1"/>
    <s v="26"/>
    <x v="11"/>
    <x v="0"/>
    <x v="3"/>
    <s v="New Zealand"/>
    <s v="(주)한국인삼공사"/>
    <s v="건녹용"/>
    <s v="DEER VELVET"/>
    <m/>
    <x v="39"/>
    <s v="2016-05-26"/>
    <m/>
    <m/>
    <m/>
  </r>
  <r>
    <x v="10"/>
    <x v="1"/>
    <s v="20"/>
    <x v="42"/>
    <x v="3"/>
    <x v="3"/>
    <s v="China"/>
    <s v="(주)대한녹용수출입법인"/>
    <s v="녹용"/>
    <s v="DEER HORN"/>
    <m/>
    <x v="8"/>
    <s v="2016-05-20"/>
    <m/>
    <m/>
    <m/>
  </r>
  <r>
    <x v="10"/>
    <x v="1"/>
    <s v="16"/>
    <x v="54"/>
    <x v="6"/>
    <x v="3"/>
    <s v="China ,Hong Kong"/>
    <s v="주신제약(주)"/>
    <s v="녹각"/>
    <s v="DEER HARD HORN (CERVUS ELAPHUS SIBIRICUS)"/>
    <m/>
    <x v="86"/>
    <s v="2016-05-16"/>
    <m/>
    <m/>
    <m/>
  </r>
  <r>
    <x v="10"/>
    <x v="1"/>
    <s v="04"/>
    <x v="56"/>
    <x v="1"/>
    <x v="3"/>
    <s v="New Zealand"/>
    <s v="(주)수식품"/>
    <s v="생녹용"/>
    <s v="FROZEN RED DEER VELVET ANTLER"/>
    <m/>
    <x v="40"/>
    <s v="2016-05-04"/>
    <m/>
    <m/>
    <m/>
  </r>
  <r>
    <x v="10"/>
    <x v="2"/>
    <s v="25"/>
    <x v="11"/>
    <x v="0"/>
    <x v="3"/>
    <s v="New Zealand"/>
    <s v="(주)한국인삼공사"/>
    <s v="건녹용"/>
    <s v="DEER VELVET"/>
    <m/>
    <x v="40"/>
    <s v="2016-04-25"/>
    <m/>
    <m/>
    <m/>
  </r>
  <r>
    <x v="10"/>
    <x v="2"/>
    <s v="15"/>
    <x v="60"/>
    <x v="0"/>
    <x v="3"/>
    <s v="Russia"/>
    <s v="(주)루스마르코"/>
    <s v="건녹용"/>
    <s v="DEER HORNS"/>
    <m/>
    <x v="87"/>
    <s v="2016-04-15"/>
    <m/>
    <m/>
    <m/>
  </r>
  <r>
    <x v="10"/>
    <x v="2"/>
    <s v="15"/>
    <x v="11"/>
    <x v="0"/>
    <x v="3"/>
    <s v="New Zealand"/>
    <s v="(주)한국인삼공사"/>
    <s v="건녹용"/>
    <s v="DEER VELVET"/>
    <m/>
    <x v="41"/>
    <s v="2016-04-15"/>
    <m/>
    <m/>
    <m/>
  </r>
  <r>
    <x v="10"/>
    <x v="2"/>
    <s v="14"/>
    <x v="53"/>
    <x v="0"/>
    <x v="3"/>
    <s v="Russia"/>
    <s v="(주)서화제약"/>
    <s v="건녹용"/>
    <s v="DRY DEER HORN"/>
    <m/>
    <x v="88"/>
    <s v="2016-04-14"/>
    <m/>
    <m/>
    <m/>
  </r>
  <r>
    <x v="10"/>
    <x v="3"/>
    <s v="30"/>
    <x v="56"/>
    <x v="1"/>
    <x v="3"/>
    <s v="New Zealand"/>
    <s v="(주)수식품"/>
    <s v="생녹용"/>
    <s v="FROZEN RED DEER VELVET"/>
    <m/>
    <x v="40"/>
    <s v="2016-03-30"/>
    <m/>
    <m/>
    <m/>
  </r>
  <r>
    <x v="10"/>
    <x v="3"/>
    <s v="24"/>
    <x v="11"/>
    <x v="0"/>
    <x v="3"/>
    <s v="New Zealand"/>
    <s v="(주)한국인삼공사"/>
    <s v="건녹용"/>
    <s v="녹용(DEER VELVET)"/>
    <m/>
    <x v="40"/>
    <s v="2016-03-24"/>
    <m/>
    <m/>
    <m/>
  </r>
  <r>
    <x v="10"/>
    <x v="3"/>
    <s v="04"/>
    <x v="22"/>
    <x v="0"/>
    <x v="3"/>
    <s v="New Zealand"/>
    <s v="태안약업(주)"/>
    <s v="건녹용"/>
    <s v="DRIED DEER VELVET"/>
    <m/>
    <x v="41"/>
    <s v="2016-03-04"/>
    <m/>
    <m/>
    <m/>
  </r>
  <r>
    <x v="10"/>
    <x v="4"/>
    <s v="25"/>
    <x v="56"/>
    <x v="0"/>
    <x v="3"/>
    <s v="New Zealand"/>
    <s v="(주)수식품"/>
    <s v="건녹용"/>
    <s v="DEER HORNS"/>
    <m/>
    <x v="40"/>
    <s v="2016-02-25"/>
    <m/>
    <m/>
    <m/>
  </r>
  <r>
    <x v="10"/>
    <x v="4"/>
    <s v="25"/>
    <x v="11"/>
    <x v="0"/>
    <x v="3"/>
    <s v="New Zealand"/>
    <s v="주식회사 한국인삼공사"/>
    <s v="건녹용"/>
    <s v="녹용(DEER VELVET)"/>
    <m/>
    <x v="41"/>
    <s v="2016-02-25"/>
    <m/>
    <m/>
    <m/>
  </r>
  <r>
    <x v="10"/>
    <x v="4"/>
    <s v="23"/>
    <x v="15"/>
    <x v="3"/>
    <x v="3"/>
    <s v="Russia"/>
    <s v="조은생약"/>
    <s v="녹용"/>
    <s v="DEER HORN"/>
    <m/>
    <x v="83"/>
    <s v="2016-02-2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DE11AE-D5D1-4724-8AFD-756A0D046EFD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E25" firstHeaderRow="1" firstDataRow="2" firstDataCol="1" rowPageCount="1" colPageCount="1"/>
  <pivotFields count="16">
    <pivotField axis="axisPage" multipleItemSelectionAllowed="1" showAll="0">
      <items count="12"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x="0"/>
        <item t="default"/>
      </items>
    </pivotField>
    <pivotField showAll="0" sortType="ascending"/>
    <pivotField showAll="0"/>
    <pivotField axis="axisRow" showAll="0">
      <items count="63">
        <item x="58"/>
        <item x="39"/>
        <item x="2"/>
        <item x="10"/>
        <item x="29"/>
        <item x="51"/>
        <item x="0"/>
        <item x="27"/>
        <item x="40"/>
        <item x="20"/>
        <item x="16"/>
        <item x="26"/>
        <item x="55"/>
        <item x="33"/>
        <item x="1"/>
        <item x="13"/>
        <item x="36"/>
        <item x="44"/>
        <item x="57"/>
        <item x="49"/>
        <item x="43"/>
        <item x="25"/>
        <item x="38"/>
        <item x="37"/>
        <item x="52"/>
        <item x="17"/>
        <item x="9"/>
        <item x="18"/>
        <item x="34"/>
        <item x="45"/>
        <item x="24"/>
        <item x="15"/>
        <item x="54"/>
        <item x="31"/>
        <item x="11"/>
        <item x="3"/>
        <item x="42"/>
        <item x="60"/>
        <item x="30"/>
        <item x="28"/>
        <item x="5"/>
        <item x="6"/>
        <item x="35"/>
        <item x="59"/>
        <item x="53"/>
        <item x="48"/>
        <item x="32"/>
        <item x="56"/>
        <item x="22"/>
        <item x="47"/>
        <item x="46"/>
        <item x="7"/>
        <item x="41"/>
        <item x="14"/>
        <item x="23"/>
        <item x="50"/>
        <item x="12"/>
        <item x="4"/>
        <item x="21"/>
        <item x="8"/>
        <item x="19"/>
        <item m="1" x="61"/>
        <item t="default"/>
      </items>
    </pivotField>
    <pivotField axis="axisRow" showAll="0">
      <items count="11">
        <item x="3"/>
        <item x="0"/>
        <item x="1"/>
        <item x="5"/>
        <item x="4"/>
        <item x="7"/>
        <item x="8"/>
        <item x="6"/>
        <item x="2"/>
        <item m="1" x="9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4"/>
    <field x="3"/>
  </rowFields>
  <rowItems count="20">
    <i>
      <x v="1"/>
    </i>
    <i r="1">
      <x v="2"/>
    </i>
    <i r="1">
      <x v="6"/>
    </i>
    <i r="1">
      <x v="14"/>
    </i>
    <i r="1">
      <x v="15"/>
    </i>
    <i r="1">
      <x v="35"/>
    </i>
    <i r="1">
      <x v="40"/>
    </i>
    <i r="1">
      <x v="41"/>
    </i>
    <i r="1">
      <x v="51"/>
    </i>
    <i r="1">
      <x v="56"/>
    </i>
    <i>
      <x v="2"/>
    </i>
    <i r="1">
      <x v="3"/>
    </i>
    <i r="1">
      <x v="14"/>
    </i>
    <i r="1">
      <x v="26"/>
    </i>
    <i r="1">
      <x v="34"/>
    </i>
    <i r="1">
      <x v="35"/>
    </i>
    <i r="1">
      <x v="40"/>
    </i>
    <i r="1">
      <x v="57"/>
    </i>
    <i r="1">
      <x v="59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Count of Exporter (English)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21D20-9A06-42A1-8E46-C51D49EB50AE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N31" firstHeaderRow="1" firstDataRow="2" firstDataCol="1" rowPageCount="1" colPageCount="1"/>
  <pivotFields count="16">
    <pivotField axis="axisPage" multipleItemSelectionAllowed="1" showAll="0">
      <items count="12"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x="0"/>
        <item t="default"/>
      </items>
    </pivotField>
    <pivotField axis="axisCol" sortType="ascending">
      <items count="14">
        <item x="5"/>
        <item x="4"/>
        <item x="3"/>
        <item x="2"/>
        <item x="1"/>
        <item x="0"/>
        <item x="11"/>
        <item x="10"/>
        <item x="9"/>
        <item x="8"/>
        <item x="7"/>
        <item x="6"/>
        <item h="1" m="1" x="12"/>
        <item t="default"/>
      </items>
    </pivotField>
    <pivotField showAll="0"/>
    <pivotField showAll="0"/>
    <pivotField axis="axisRow" showAll="0">
      <items count="11">
        <item x="3"/>
        <item x="0"/>
        <item x="1"/>
        <item x="5"/>
        <item x="4"/>
        <item x="7"/>
        <item x="8"/>
        <item x="6"/>
        <item x="2"/>
        <item m="1" x="9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91">
        <item x="75"/>
        <item x="28"/>
        <item x="51"/>
        <item x="25"/>
        <item x="36"/>
        <item x="61"/>
        <item x="76"/>
        <item x="49"/>
        <item x="31"/>
        <item x="82"/>
        <item x="13"/>
        <item x="10"/>
        <item x="77"/>
        <item x="3"/>
        <item x="63"/>
        <item x="66"/>
        <item x="44"/>
        <item x="37"/>
        <item x="72"/>
        <item x="33"/>
        <item x="29"/>
        <item x="15"/>
        <item x="17"/>
        <item x="78"/>
        <item x="73"/>
        <item x="88"/>
        <item x="79"/>
        <item x="84"/>
        <item x="86"/>
        <item x="80"/>
        <item x="65"/>
        <item x="16"/>
        <item x="27"/>
        <item x="85"/>
        <item x="81"/>
        <item x="46"/>
        <item x="58"/>
        <item x="42"/>
        <item x="20"/>
        <item x="69"/>
        <item x="83"/>
        <item x="32"/>
        <item x="87"/>
        <item x="62"/>
        <item x="68"/>
        <item x="55"/>
        <item x="43"/>
        <item x="14"/>
        <item x="71"/>
        <item x="48"/>
        <item x="39"/>
        <item x="64"/>
        <item x="40"/>
        <item x="57"/>
        <item x="47"/>
        <item x="56"/>
        <item x="5"/>
        <item x="41"/>
        <item x="35"/>
        <item x="67"/>
        <item x="19"/>
        <item x="0"/>
        <item x="50"/>
        <item x="21"/>
        <item x="6"/>
        <item x="70"/>
        <item x="23"/>
        <item x="38"/>
        <item x="34"/>
        <item x="60"/>
        <item x="4"/>
        <item x="52"/>
        <item x="18"/>
        <item x="24"/>
        <item x="45"/>
        <item x="54"/>
        <item x="8"/>
        <item x="53"/>
        <item x="74"/>
        <item x="59"/>
        <item x="11"/>
        <item x="30"/>
        <item x="12"/>
        <item x="26"/>
        <item x="9"/>
        <item x="1"/>
        <item x="22"/>
        <item x="7"/>
        <item m="1" x="89"/>
        <item x="2"/>
        <item t="default"/>
      </items>
    </pivotField>
    <pivotField showAll="0"/>
    <pivotField showAll="0"/>
    <pivotField showAll="0"/>
    <pivotField showAll="0"/>
  </pivotFields>
  <rowFields count="3">
    <field x="5"/>
    <field x="4"/>
    <field x="11"/>
  </rowFields>
  <rowItems count="26">
    <i>
      <x/>
    </i>
    <i r="1">
      <x v="1"/>
    </i>
    <i r="2">
      <x v="64"/>
    </i>
    <i>
      <x v="1"/>
    </i>
    <i r="1">
      <x v="1"/>
    </i>
    <i r="2">
      <x v="13"/>
    </i>
    <i r="2">
      <x v="21"/>
    </i>
    <i r="2">
      <x v="61"/>
    </i>
    <i r="2">
      <x v="64"/>
    </i>
    <i r="2">
      <x v="76"/>
    </i>
    <i r="2">
      <x v="87"/>
    </i>
    <i r="2">
      <x v="89"/>
    </i>
    <i r="1">
      <x v="2"/>
    </i>
    <i r="2">
      <x v="10"/>
    </i>
    <i r="2">
      <x v="11"/>
    </i>
    <i r="2">
      <x v="47"/>
    </i>
    <i r="2">
      <x v="56"/>
    </i>
    <i r="2">
      <x v="70"/>
    </i>
    <i r="2">
      <x v="80"/>
    </i>
    <i r="2">
      <x v="82"/>
    </i>
    <i r="2">
      <x v="84"/>
    </i>
    <i r="2">
      <x v="85"/>
    </i>
    <i>
      <x v="2"/>
    </i>
    <i r="1">
      <x v="1"/>
    </i>
    <i r="2">
      <x v="31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0" hier="-1"/>
  </pageFields>
  <dataFields count="1">
    <dataField name="Count of Exporter (English)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javascript:fn_moveDetail(%22201700087862%22,%221470114%22)" TargetMode="External"/><Relationship Id="rId2" Type="http://schemas.openxmlformats.org/officeDocument/2006/relationships/hyperlink" Target="javascript:fn_moveDetail(%22201700114048%22,%221470114%22)" TargetMode="External"/><Relationship Id="rId1" Type="http://schemas.openxmlformats.org/officeDocument/2006/relationships/hyperlink" Target="javascript:fn_moveDetail(%22201700119971%22,%221470114%22)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impfood.mfds.go.kr/CFCCC01F01" TargetMode="External"/><Relationship Id="rId4" Type="http://schemas.openxmlformats.org/officeDocument/2006/relationships/hyperlink" Target="javascript:fn_moveDetail(%22201700071508%22,%221470101%22)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90D2C-39E2-4D3B-B5BB-AAE6290541BE}">
  <dimension ref="A2:E25"/>
  <sheetViews>
    <sheetView tabSelected="1" workbookViewId="0">
      <selection activeCell="A32" sqref="A32"/>
    </sheetView>
  </sheetViews>
  <sheetFormatPr baseColWidth="10" defaultColWidth="8.83203125" defaultRowHeight="15" x14ac:dyDescent="0.2"/>
  <cols>
    <col min="1" max="1" width="23.33203125" bestFit="1" customWidth="1"/>
    <col min="2" max="2" width="14.83203125" bestFit="1" customWidth="1"/>
    <col min="3" max="3" width="11" bestFit="1" customWidth="1"/>
    <col min="4" max="4" width="5.83203125" bestFit="1" customWidth="1"/>
    <col min="5" max="5" width="10" bestFit="1" customWidth="1"/>
    <col min="6" max="6" width="3" bestFit="1" customWidth="1"/>
    <col min="7" max="7" width="17.5" bestFit="1" customWidth="1"/>
    <col min="8" max="8" width="8.5" bestFit="1" customWidth="1"/>
    <col min="9" max="9" width="3" bestFit="1" customWidth="1"/>
    <col min="10" max="10" width="11.5" bestFit="1" customWidth="1"/>
    <col min="11" max="11" width="11" bestFit="1" customWidth="1"/>
    <col min="12" max="13" width="3" bestFit="1" customWidth="1"/>
    <col min="14" max="14" width="11" bestFit="1" customWidth="1"/>
  </cols>
  <sheetData>
    <row r="2" spans="1:5" x14ac:dyDescent="0.2">
      <c r="A2" s="1" t="s">
        <v>0</v>
      </c>
      <c r="B2" s="2">
        <v>2026</v>
      </c>
    </row>
    <row r="4" spans="1:5" x14ac:dyDescent="0.2">
      <c r="A4" s="1" t="s">
        <v>1</v>
      </c>
      <c r="B4" s="1" t="s">
        <v>2</v>
      </c>
    </row>
    <row r="5" spans="1:5" x14ac:dyDescent="0.2">
      <c r="A5" s="1" t="s">
        <v>3</v>
      </c>
      <c r="B5" t="s">
        <v>767</v>
      </c>
      <c r="C5" t="s">
        <v>4</v>
      </c>
      <c r="D5" t="s">
        <v>5</v>
      </c>
      <c r="E5" t="s">
        <v>6</v>
      </c>
    </row>
    <row r="6" spans="1:5" x14ac:dyDescent="0.2">
      <c r="A6" s="2" t="s">
        <v>7</v>
      </c>
      <c r="B6">
        <v>1</v>
      </c>
      <c r="C6">
        <v>13</v>
      </c>
      <c r="D6">
        <v>1</v>
      </c>
      <c r="E6">
        <v>15</v>
      </c>
    </row>
    <row r="7" spans="1:5" x14ac:dyDescent="0.2">
      <c r="A7" s="3" t="s">
        <v>782</v>
      </c>
      <c r="C7">
        <v>1</v>
      </c>
      <c r="E7">
        <v>1</v>
      </c>
    </row>
    <row r="8" spans="1:5" x14ac:dyDescent="0.2">
      <c r="A8" s="3" t="s">
        <v>783</v>
      </c>
      <c r="C8">
        <v>1</v>
      </c>
      <c r="E8">
        <v>1</v>
      </c>
    </row>
    <row r="9" spans="1:5" x14ac:dyDescent="0.2">
      <c r="A9" s="3" t="s">
        <v>14</v>
      </c>
      <c r="B9">
        <v>1</v>
      </c>
      <c r="E9">
        <v>1</v>
      </c>
    </row>
    <row r="10" spans="1:5" x14ac:dyDescent="0.2">
      <c r="A10" s="3" t="s">
        <v>8</v>
      </c>
      <c r="D10">
        <v>1</v>
      </c>
      <c r="E10">
        <v>1</v>
      </c>
    </row>
    <row r="11" spans="1:5" x14ac:dyDescent="0.2">
      <c r="A11" s="3" t="s">
        <v>9</v>
      </c>
      <c r="C11">
        <v>3</v>
      </c>
      <c r="E11">
        <v>3</v>
      </c>
    </row>
    <row r="12" spans="1:5" x14ac:dyDescent="0.2">
      <c r="A12" s="3" t="s">
        <v>17</v>
      </c>
      <c r="C12">
        <v>1</v>
      </c>
      <c r="E12">
        <v>1</v>
      </c>
    </row>
    <row r="13" spans="1:5" x14ac:dyDescent="0.2">
      <c r="A13" s="3" t="s">
        <v>815</v>
      </c>
      <c r="C13">
        <v>2</v>
      </c>
      <c r="E13">
        <v>2</v>
      </c>
    </row>
    <row r="14" spans="1:5" x14ac:dyDescent="0.2">
      <c r="A14" s="3" t="s">
        <v>10</v>
      </c>
      <c r="C14">
        <v>3</v>
      </c>
      <c r="E14">
        <v>3</v>
      </c>
    </row>
    <row r="15" spans="1:5" x14ac:dyDescent="0.2">
      <c r="A15" s="3" t="s">
        <v>11</v>
      </c>
      <c r="C15">
        <v>2</v>
      </c>
      <c r="E15">
        <v>2</v>
      </c>
    </row>
    <row r="16" spans="1:5" x14ac:dyDescent="0.2">
      <c r="A16" s="2" t="s">
        <v>12</v>
      </c>
      <c r="C16">
        <v>23</v>
      </c>
      <c r="E16">
        <v>23</v>
      </c>
    </row>
    <row r="17" spans="1:5" x14ac:dyDescent="0.2">
      <c r="A17" s="3" t="s">
        <v>13</v>
      </c>
      <c r="C17">
        <v>3</v>
      </c>
      <c r="E17">
        <v>3</v>
      </c>
    </row>
    <row r="18" spans="1:5" x14ac:dyDescent="0.2">
      <c r="A18" s="3" t="s">
        <v>14</v>
      </c>
      <c r="C18">
        <v>2</v>
      </c>
      <c r="E18">
        <v>2</v>
      </c>
    </row>
    <row r="19" spans="1:5" x14ac:dyDescent="0.2">
      <c r="A19" s="3" t="s">
        <v>15</v>
      </c>
      <c r="C19">
        <v>3</v>
      </c>
      <c r="E19">
        <v>3</v>
      </c>
    </row>
    <row r="20" spans="1:5" x14ac:dyDescent="0.2">
      <c r="A20" s="3" t="s">
        <v>16</v>
      </c>
      <c r="C20">
        <v>2</v>
      </c>
      <c r="E20">
        <v>2</v>
      </c>
    </row>
    <row r="21" spans="1:5" x14ac:dyDescent="0.2">
      <c r="A21" s="3" t="s">
        <v>9</v>
      </c>
      <c r="C21">
        <v>5</v>
      </c>
      <c r="E21">
        <v>5</v>
      </c>
    </row>
    <row r="22" spans="1:5" x14ac:dyDescent="0.2">
      <c r="A22" s="3" t="s">
        <v>17</v>
      </c>
      <c r="C22">
        <v>2</v>
      </c>
      <c r="E22">
        <v>2</v>
      </c>
    </row>
    <row r="23" spans="1:5" x14ac:dyDescent="0.2">
      <c r="A23" s="3" t="s">
        <v>18</v>
      </c>
      <c r="C23">
        <v>4</v>
      </c>
      <c r="E23">
        <v>4</v>
      </c>
    </row>
    <row r="24" spans="1:5" x14ac:dyDescent="0.2">
      <c r="A24" s="3" t="s">
        <v>19</v>
      </c>
      <c r="C24">
        <v>2</v>
      </c>
      <c r="E24">
        <v>2</v>
      </c>
    </row>
    <row r="25" spans="1:5" x14ac:dyDescent="0.2">
      <c r="A25" s="2" t="s">
        <v>6</v>
      </c>
      <c r="B25">
        <v>1</v>
      </c>
      <c r="C25">
        <v>36</v>
      </c>
      <c r="D25">
        <v>1</v>
      </c>
      <c r="E25">
        <v>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CF547-551E-47D6-B189-2B8241FA697A}">
  <dimension ref="A2:N31"/>
  <sheetViews>
    <sheetView workbookViewId="0">
      <selection activeCell="A27" sqref="A27"/>
    </sheetView>
  </sheetViews>
  <sheetFormatPr baseColWidth="10" defaultColWidth="8.83203125" defaultRowHeight="15" x14ac:dyDescent="0.2"/>
  <cols>
    <col min="1" max="1" width="60.5" bestFit="1" customWidth="1"/>
    <col min="2" max="2" width="14.83203125" bestFit="1" customWidth="1"/>
    <col min="3" max="13" width="3.1640625" bestFit="1" customWidth="1"/>
    <col min="14" max="14" width="10" bestFit="1" customWidth="1"/>
    <col min="15" max="15" width="6.83203125" bestFit="1" customWidth="1"/>
  </cols>
  <sheetData>
    <row r="2" spans="1:14" x14ac:dyDescent="0.2">
      <c r="A2" s="1" t="s">
        <v>0</v>
      </c>
      <c r="B2" s="2">
        <v>2026</v>
      </c>
    </row>
    <row r="4" spans="1:14" x14ac:dyDescent="0.2">
      <c r="A4" s="1" t="s">
        <v>1</v>
      </c>
      <c r="B4" s="1" t="s">
        <v>2</v>
      </c>
    </row>
    <row r="5" spans="1:14" x14ac:dyDescent="0.2">
      <c r="A5" s="1" t="s">
        <v>3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6</v>
      </c>
    </row>
    <row r="6" spans="1:14" x14ac:dyDescent="0.2">
      <c r="A6" s="2" t="s">
        <v>767</v>
      </c>
      <c r="F6">
        <v>1</v>
      </c>
      <c r="N6">
        <v>1</v>
      </c>
    </row>
    <row r="7" spans="1:14" x14ac:dyDescent="0.2">
      <c r="A7" s="3" t="s">
        <v>7</v>
      </c>
      <c r="F7">
        <v>1</v>
      </c>
      <c r="N7">
        <v>1</v>
      </c>
    </row>
    <row r="8" spans="1:14" x14ac:dyDescent="0.2">
      <c r="A8" s="4" t="s">
        <v>65</v>
      </c>
      <c r="F8">
        <v>1</v>
      </c>
      <c r="N8">
        <v>1</v>
      </c>
    </row>
    <row r="9" spans="1:14" x14ac:dyDescent="0.2">
      <c r="A9" s="2" t="s">
        <v>4</v>
      </c>
      <c r="B9">
        <v>3</v>
      </c>
      <c r="C9">
        <v>2</v>
      </c>
      <c r="D9">
        <v>12</v>
      </c>
      <c r="E9">
        <v>11</v>
      </c>
      <c r="F9">
        <v>4</v>
      </c>
      <c r="G9">
        <v>4</v>
      </c>
      <c r="N9">
        <v>36</v>
      </c>
    </row>
    <row r="10" spans="1:14" x14ac:dyDescent="0.2">
      <c r="A10" s="3" t="s">
        <v>7</v>
      </c>
      <c r="B10">
        <v>1</v>
      </c>
      <c r="D10">
        <v>2</v>
      </c>
      <c r="E10">
        <v>5</v>
      </c>
      <c r="F10">
        <v>2</v>
      </c>
      <c r="G10">
        <v>3</v>
      </c>
      <c r="N10">
        <v>13</v>
      </c>
    </row>
    <row r="11" spans="1:14" x14ac:dyDescent="0.2">
      <c r="A11" s="4" t="s">
        <v>106</v>
      </c>
      <c r="F11">
        <v>1</v>
      </c>
      <c r="G11">
        <v>1</v>
      </c>
      <c r="N11">
        <v>2</v>
      </c>
    </row>
    <row r="12" spans="1:14" x14ac:dyDescent="0.2">
      <c r="A12" s="4" t="s">
        <v>32</v>
      </c>
      <c r="D12">
        <v>2</v>
      </c>
      <c r="N12">
        <v>2</v>
      </c>
    </row>
    <row r="13" spans="1:14" x14ac:dyDescent="0.2">
      <c r="A13" s="4" t="s">
        <v>129</v>
      </c>
      <c r="G13">
        <v>1</v>
      </c>
      <c r="N13">
        <v>1</v>
      </c>
    </row>
    <row r="14" spans="1:14" x14ac:dyDescent="0.2">
      <c r="A14" s="4" t="s">
        <v>65</v>
      </c>
      <c r="E14">
        <v>2</v>
      </c>
      <c r="N14">
        <v>2</v>
      </c>
    </row>
    <row r="15" spans="1:14" x14ac:dyDescent="0.2">
      <c r="A15" s="4" t="s">
        <v>33</v>
      </c>
      <c r="E15">
        <v>3</v>
      </c>
      <c r="N15">
        <v>3</v>
      </c>
    </row>
    <row r="16" spans="1:14" x14ac:dyDescent="0.2">
      <c r="A16" s="4" t="s">
        <v>34</v>
      </c>
      <c r="B16">
        <v>1</v>
      </c>
      <c r="F16">
        <v>1</v>
      </c>
      <c r="N16">
        <v>2</v>
      </c>
    </row>
    <row r="17" spans="1:14" x14ac:dyDescent="0.2">
      <c r="A17" s="4" t="s">
        <v>841</v>
      </c>
      <c r="G17">
        <v>1</v>
      </c>
      <c r="N17">
        <v>1</v>
      </c>
    </row>
    <row r="18" spans="1:14" x14ac:dyDescent="0.2">
      <c r="A18" s="3" t="s">
        <v>12</v>
      </c>
      <c r="B18">
        <v>2</v>
      </c>
      <c r="C18">
        <v>2</v>
      </c>
      <c r="D18">
        <v>10</v>
      </c>
      <c r="E18">
        <v>6</v>
      </c>
      <c r="F18">
        <v>2</v>
      </c>
      <c r="G18">
        <v>1</v>
      </c>
      <c r="N18">
        <v>23</v>
      </c>
    </row>
    <row r="19" spans="1:14" x14ac:dyDescent="0.2">
      <c r="A19" s="4" t="s">
        <v>35</v>
      </c>
      <c r="B19">
        <v>1</v>
      </c>
      <c r="D19">
        <v>2</v>
      </c>
      <c r="N19">
        <v>3</v>
      </c>
    </row>
    <row r="20" spans="1:14" x14ac:dyDescent="0.2">
      <c r="A20" s="4" t="s">
        <v>36</v>
      </c>
      <c r="C20">
        <v>1</v>
      </c>
      <c r="E20">
        <v>2</v>
      </c>
      <c r="N20">
        <v>3</v>
      </c>
    </row>
    <row r="21" spans="1:14" x14ac:dyDescent="0.2">
      <c r="A21" s="4" t="s">
        <v>37</v>
      </c>
      <c r="D21">
        <v>2</v>
      </c>
      <c r="N21">
        <v>2</v>
      </c>
    </row>
    <row r="22" spans="1:14" x14ac:dyDescent="0.2">
      <c r="A22" s="4" t="s">
        <v>38</v>
      </c>
      <c r="B22">
        <v>1</v>
      </c>
      <c r="D22">
        <v>2</v>
      </c>
      <c r="E22">
        <v>2</v>
      </c>
      <c r="F22">
        <v>1</v>
      </c>
      <c r="N22">
        <v>6</v>
      </c>
    </row>
    <row r="23" spans="1:14" x14ac:dyDescent="0.2">
      <c r="A23" s="4" t="s">
        <v>203</v>
      </c>
      <c r="F23">
        <v>1</v>
      </c>
      <c r="N23">
        <v>1</v>
      </c>
    </row>
    <row r="24" spans="1:14" x14ac:dyDescent="0.2">
      <c r="A24" s="4" t="s">
        <v>39</v>
      </c>
      <c r="C24">
        <v>1</v>
      </c>
      <c r="D24">
        <v>2</v>
      </c>
      <c r="N24">
        <v>3</v>
      </c>
    </row>
    <row r="25" spans="1:14" x14ac:dyDescent="0.2">
      <c r="A25" s="4" t="s">
        <v>40</v>
      </c>
      <c r="D25">
        <v>2</v>
      </c>
      <c r="N25">
        <v>2</v>
      </c>
    </row>
    <row r="26" spans="1:14" x14ac:dyDescent="0.2">
      <c r="A26" s="4" t="s">
        <v>41</v>
      </c>
      <c r="E26">
        <v>2</v>
      </c>
      <c r="N26">
        <v>2</v>
      </c>
    </row>
    <row r="27" spans="1:14" x14ac:dyDescent="0.2">
      <c r="A27" s="4" t="s">
        <v>101</v>
      </c>
      <c r="G27">
        <v>1</v>
      </c>
      <c r="N27">
        <v>1</v>
      </c>
    </row>
    <row r="28" spans="1:14" x14ac:dyDescent="0.2">
      <c r="A28" s="2" t="s">
        <v>5</v>
      </c>
      <c r="B28">
        <v>1</v>
      </c>
      <c r="N28">
        <v>1</v>
      </c>
    </row>
    <row r="29" spans="1:14" x14ac:dyDescent="0.2">
      <c r="A29" s="3" t="s">
        <v>7</v>
      </c>
      <c r="B29">
        <v>1</v>
      </c>
      <c r="N29">
        <v>1</v>
      </c>
    </row>
    <row r="30" spans="1:14" x14ac:dyDescent="0.2">
      <c r="A30" s="4" t="s">
        <v>42</v>
      </c>
      <c r="B30">
        <v>1</v>
      </c>
      <c r="N30">
        <v>1</v>
      </c>
    </row>
    <row r="31" spans="1:14" x14ac:dyDescent="0.2">
      <c r="A31" s="2" t="s">
        <v>6</v>
      </c>
      <c r="B31">
        <v>4</v>
      </c>
      <c r="C31">
        <v>2</v>
      </c>
      <c r="D31">
        <v>12</v>
      </c>
      <c r="E31">
        <v>11</v>
      </c>
      <c r="F31">
        <v>5</v>
      </c>
      <c r="G31">
        <v>4</v>
      </c>
      <c r="N31">
        <v>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0"/>
  <sheetViews>
    <sheetView zoomScaleNormal="100" workbookViewId="0">
      <pane ySplit="2" topLeftCell="A3" activePane="bottomLeft" state="frozen"/>
      <selection activeCell="B1" sqref="B1"/>
      <selection pane="bottomLeft" activeCell="D16" sqref="D16"/>
    </sheetView>
  </sheetViews>
  <sheetFormatPr baseColWidth="10" defaultColWidth="8.83203125" defaultRowHeight="12.75" customHeight="1" x14ac:dyDescent="0.2"/>
  <cols>
    <col min="1" max="1" width="7.5" style="15" customWidth="1"/>
    <col min="2" max="2" width="8" style="15" bestFit="1" customWidth="1"/>
    <col min="3" max="3" width="6" style="15" bestFit="1" customWidth="1"/>
    <col min="4" max="4" width="18" style="16" customWidth="1"/>
    <col min="5" max="5" width="13.83203125" style="16" customWidth="1"/>
    <col min="6" max="7" width="12" style="16" customWidth="1"/>
    <col min="8" max="8" width="22.83203125" style="16" customWidth="1"/>
    <col min="9" max="9" width="12.5" style="16" customWidth="1"/>
    <col min="10" max="10" width="27.33203125" style="16" customWidth="1"/>
    <col min="11" max="11" width="9.5" style="16" customWidth="1"/>
    <col min="12" max="12" width="28.5" style="16" customWidth="1"/>
    <col min="13" max="13" width="10.5" style="16" customWidth="1"/>
    <col min="14" max="14" width="10" style="16" customWidth="1"/>
    <col min="15" max="15" width="8.5" style="16" customWidth="1"/>
    <col min="16" max="16" width="18.83203125" style="16" bestFit="1" customWidth="1"/>
    <col min="17" max="16384" width="8.83203125" style="16"/>
  </cols>
  <sheetData>
    <row r="1" spans="1:16" ht="28" customHeight="1" x14ac:dyDescent="0.2">
      <c r="A1" s="14" t="s">
        <v>43</v>
      </c>
      <c r="H1" s="16" t="s">
        <v>44</v>
      </c>
      <c r="J1" s="17" t="s">
        <v>45</v>
      </c>
      <c r="L1" s="31"/>
    </row>
    <row r="2" spans="1:16" ht="14" x14ac:dyDescent="0.2">
      <c r="A2" s="18" t="s">
        <v>0</v>
      </c>
      <c r="B2" s="18" t="s">
        <v>46</v>
      </c>
      <c r="C2" s="18" t="s">
        <v>47</v>
      </c>
      <c r="D2" s="19" t="s">
        <v>48</v>
      </c>
      <c r="E2" s="19" t="s">
        <v>49</v>
      </c>
      <c r="F2" s="19" t="s">
        <v>50</v>
      </c>
      <c r="G2" s="19" t="s">
        <v>51</v>
      </c>
      <c r="H2" s="20" t="s">
        <v>52</v>
      </c>
      <c r="I2" s="20" t="s">
        <v>53</v>
      </c>
      <c r="J2" s="20" t="s">
        <v>54</v>
      </c>
      <c r="K2" s="20" t="s">
        <v>55</v>
      </c>
      <c r="L2" s="20" t="s">
        <v>56</v>
      </c>
      <c r="M2" s="20" t="s">
        <v>57</v>
      </c>
      <c r="N2" s="20" t="s">
        <v>58</v>
      </c>
      <c r="O2" s="30" t="s">
        <v>59</v>
      </c>
      <c r="P2" s="30" t="s">
        <v>60</v>
      </c>
    </row>
    <row r="3" spans="1:16" ht="14" x14ac:dyDescent="0.2">
      <c r="A3" s="13">
        <f t="shared" ref="A3:A6" si="0">YEAR(M3)</f>
        <v>2026</v>
      </c>
      <c r="B3" s="13" t="str">
        <f t="shared" ref="B3:B6" si="1">TEXT(M3,"mm")</f>
        <v>06</v>
      </c>
      <c r="C3" s="13" t="str">
        <f t="shared" ref="C3:C6" si="2">TEXT(M3,"dd")</f>
        <v>29</v>
      </c>
      <c r="D3" s="16" t="str">
        <f>VLOOKUP(H3,'Names for Vlookup'!$B$26:$C$94,2,FALSE)</f>
        <v>Chunho N Care</v>
      </c>
      <c r="E3" s="16" t="str">
        <f>VLOOKUP(K3,'Names for Vlookup'!$B$8:$C$21,2,FALSE)</f>
        <v>Deer velvet (dried)</v>
      </c>
      <c r="F3" s="16" t="str">
        <f>VLOOKUP(O3,'Names for Vlookup'!$B$2:$C$5,2,FALSE)</f>
        <v>New Zealand</v>
      </c>
      <c r="G3" s="16" t="str">
        <f>VLOOKUP(P3,'Names for Vlookup'!$B$2:$C$5,2,FALSE)</f>
        <v>New Zealand</v>
      </c>
      <c r="H3" s="16" t="s">
        <v>128</v>
      </c>
      <c r="I3" s="16" t="s">
        <v>62</v>
      </c>
      <c r="J3" s="16" t="s">
        <v>63</v>
      </c>
      <c r="K3" s="16" t="s">
        <v>64</v>
      </c>
      <c r="L3" s="16" t="s">
        <v>129</v>
      </c>
      <c r="M3" s="32" t="s">
        <v>839</v>
      </c>
      <c r="N3" s="16" t="s">
        <v>66</v>
      </c>
      <c r="O3" s="28" t="s">
        <v>67</v>
      </c>
      <c r="P3" s="28" t="s">
        <v>67</v>
      </c>
    </row>
    <row r="4" spans="1:16" ht="14" x14ac:dyDescent="0.2">
      <c r="A4" s="13">
        <f t="shared" si="0"/>
        <v>2026</v>
      </c>
      <c r="B4" s="13" t="str">
        <f t="shared" si="1"/>
        <v>06</v>
      </c>
      <c r="C4" s="13" t="str">
        <f t="shared" si="2"/>
        <v>17</v>
      </c>
      <c r="D4" s="16" t="str">
        <f>VLOOKUP(H4,'Names for Vlookup'!$B$26:$C$94,2,FALSE)</f>
        <v>Eryong Pharm.</v>
      </c>
      <c r="E4" s="16" t="str">
        <f>VLOOKUP(K4,'Names for Vlookup'!$B$8:$C$21,2,FALSE)</f>
        <v>Deer velvet (frozen)</v>
      </c>
      <c r="F4" s="16" t="str">
        <f>VLOOKUP(O4,'Names for Vlookup'!$B$2:$C$5,2,FALSE)</f>
        <v>New Zealand</v>
      </c>
      <c r="G4" s="16" t="str">
        <f>VLOOKUP(P4,'Names for Vlookup'!$B$2:$C$5,2,FALSE)</f>
        <v>New Zealand</v>
      </c>
      <c r="H4" s="16" t="s">
        <v>92</v>
      </c>
      <c r="I4" s="16" t="s">
        <v>74</v>
      </c>
      <c r="J4" s="16" t="s">
        <v>83</v>
      </c>
      <c r="K4" s="16" t="s">
        <v>74</v>
      </c>
      <c r="L4" s="16" t="s">
        <v>101</v>
      </c>
      <c r="M4" s="32" t="s">
        <v>840</v>
      </c>
      <c r="N4" s="16" t="s">
        <v>66</v>
      </c>
      <c r="O4" s="28" t="s">
        <v>67</v>
      </c>
      <c r="P4" s="28" t="s">
        <v>67</v>
      </c>
    </row>
    <row r="5" spans="1:16" ht="14" x14ac:dyDescent="0.2">
      <c r="A5" s="13">
        <f t="shared" si="0"/>
        <v>2026</v>
      </c>
      <c r="B5" s="13" t="str">
        <f t="shared" si="1"/>
        <v>06</v>
      </c>
      <c r="C5" s="13" t="str">
        <f t="shared" si="2"/>
        <v>04</v>
      </c>
      <c r="D5" s="16" t="str">
        <f>VLOOKUP(H5,'Names for Vlookup'!$B$26:$C$94,2,FALSE)</f>
        <v>Bibong Herb</v>
      </c>
      <c r="E5" s="16" t="str">
        <f>VLOOKUP(K5,'Names for Vlookup'!$B$8:$C$21,2,FALSE)</f>
        <v>Deer velvet (dried)</v>
      </c>
      <c r="F5" s="16" t="str">
        <f>VLOOKUP(O5,'Names for Vlookup'!$B$2:$C$5,2,FALSE)</f>
        <v>New Zealand</v>
      </c>
      <c r="G5" s="16" t="str">
        <f>VLOOKUP(P5,'Names for Vlookup'!$B$2:$C$5,2,FALSE)</f>
        <v>New Zealand</v>
      </c>
      <c r="H5" s="16" t="s">
        <v>135</v>
      </c>
      <c r="I5" s="16" t="s">
        <v>62</v>
      </c>
      <c r="J5" s="16" t="s">
        <v>63</v>
      </c>
      <c r="K5" s="16" t="s">
        <v>64</v>
      </c>
      <c r="L5" s="16" t="s">
        <v>841</v>
      </c>
      <c r="M5" s="32" t="s">
        <v>842</v>
      </c>
      <c r="N5" s="16" t="s">
        <v>66</v>
      </c>
      <c r="O5" s="28" t="s">
        <v>67</v>
      </c>
      <c r="P5" s="28" t="s">
        <v>67</v>
      </c>
    </row>
    <row r="6" spans="1:16" ht="14" x14ac:dyDescent="0.2">
      <c r="A6" s="13">
        <f t="shared" si="0"/>
        <v>2026</v>
      </c>
      <c r="B6" s="13" t="str">
        <f t="shared" si="1"/>
        <v>06</v>
      </c>
      <c r="C6" s="13" t="str">
        <f t="shared" si="2"/>
        <v>04</v>
      </c>
      <c r="D6" s="16" t="str">
        <f>VLOOKUP(H6,'Names for Vlookup'!$B$26:$C$94,2,FALSE)</f>
        <v>KNC Deertrade</v>
      </c>
      <c r="E6" s="16" t="str">
        <f>VLOOKUP(K6,'Names for Vlookup'!$B$8:$C$21,2,FALSE)</f>
        <v>Deer velvet (dried)</v>
      </c>
      <c r="F6" s="16" t="str">
        <f>VLOOKUP(O6,'Names for Vlookup'!$B$2:$C$5,2,FALSE)</f>
        <v>New Zealand</v>
      </c>
      <c r="G6" s="16" t="str">
        <f>VLOOKUP(P6,'Names for Vlookup'!$B$2:$C$5,2,FALSE)</f>
        <v>China</v>
      </c>
      <c r="H6" s="16" t="s">
        <v>75</v>
      </c>
      <c r="I6" s="16" t="s">
        <v>64</v>
      </c>
      <c r="J6" s="16" t="s">
        <v>70</v>
      </c>
      <c r="K6" s="16" t="s">
        <v>64</v>
      </c>
      <c r="L6" s="16" t="s">
        <v>106</v>
      </c>
      <c r="M6" s="32" t="s">
        <v>842</v>
      </c>
      <c r="N6" s="16" t="s">
        <v>66</v>
      </c>
      <c r="O6" s="28" t="s">
        <v>67</v>
      </c>
      <c r="P6" s="28" t="s">
        <v>68</v>
      </c>
    </row>
    <row r="7" spans="1:16" ht="14" x14ac:dyDescent="0.2">
      <c r="A7" s="13">
        <f t="shared" ref="A7" si="3">YEAR(M7)</f>
        <v>2026</v>
      </c>
      <c r="B7" s="13" t="str">
        <f t="shared" ref="B7" si="4">TEXT(M7,"mm")</f>
        <v>05</v>
      </c>
      <c r="C7" s="13" t="str">
        <f t="shared" ref="C7" si="5">TEXT(M7,"dd")</f>
        <v>29</v>
      </c>
      <c r="D7" s="16" t="str">
        <f>VLOOKUP(H7,'Names for Vlookup'!$B$26:$C$94,2,FALSE)</f>
        <v>KNC Deertrade</v>
      </c>
      <c r="E7" s="16" t="str">
        <f>VLOOKUP(K7,'Names for Vlookup'!$B$8:$C$21,2,FALSE)</f>
        <v>Deer velvet (frozen)</v>
      </c>
      <c r="F7" s="16" t="str">
        <f>VLOOKUP(O7,'Names for Vlookup'!$B$2:$C$5,2,FALSE)</f>
        <v>New Zealand</v>
      </c>
      <c r="G7" s="16" t="str">
        <f>VLOOKUP(P7,'Names for Vlookup'!$B$2:$C$5,2,FALSE)</f>
        <v>New Zealand</v>
      </c>
      <c r="H7" s="16" t="s">
        <v>75</v>
      </c>
      <c r="I7" s="16" t="s">
        <v>76</v>
      </c>
      <c r="J7" s="16" t="s">
        <v>73</v>
      </c>
      <c r="K7" s="16" t="s">
        <v>74</v>
      </c>
      <c r="L7" s="16" t="s">
        <v>203</v>
      </c>
      <c r="M7" s="32">
        <v>46171</v>
      </c>
      <c r="N7" s="16" t="s">
        <v>838</v>
      </c>
      <c r="O7" s="28" t="s">
        <v>67</v>
      </c>
      <c r="P7" s="28" t="s">
        <v>67</v>
      </c>
    </row>
    <row r="8" spans="1:16" ht="14" x14ac:dyDescent="0.2">
      <c r="A8" s="13">
        <f t="shared" ref="A8:A23" si="6">YEAR(M8)</f>
        <v>2026</v>
      </c>
      <c r="B8" s="13" t="str">
        <f t="shared" ref="B8:B23" si="7">TEXT(M8,"mm")</f>
        <v>05</v>
      </c>
      <c r="C8" s="13" t="str">
        <f t="shared" ref="C8:C23" si="8">TEXT(M8,"dd")</f>
        <v>27</v>
      </c>
      <c r="D8" s="16" t="str">
        <f>VLOOKUP(H8,'Names for Vlookup'!$B$26:$C$94,2,FALSE)</f>
        <v>KNC Deertrade</v>
      </c>
      <c r="E8" s="16" t="str">
        <f>VLOOKUP(K8,'Names for Vlookup'!$B$8:$C$21,2,FALSE)</f>
        <v>Deer velvet (dried)</v>
      </c>
      <c r="F8" s="16" t="str">
        <f>VLOOKUP(O8,'Names for Vlookup'!$B$2:$C$5,2,FALSE)</f>
        <v>New Zealand</v>
      </c>
      <c r="G8" s="16" t="str">
        <f>VLOOKUP(P8,'Names for Vlookup'!$B$2:$C$5,2,FALSE)</f>
        <v>China</v>
      </c>
      <c r="H8" s="16" t="s">
        <v>75</v>
      </c>
      <c r="I8" s="16" t="s">
        <v>64</v>
      </c>
      <c r="J8" s="16" t="s">
        <v>70</v>
      </c>
      <c r="K8" s="16" t="s">
        <v>64</v>
      </c>
      <c r="L8" s="16" t="s">
        <v>106</v>
      </c>
      <c r="M8" s="32">
        <v>46169</v>
      </c>
      <c r="N8" s="16" t="s">
        <v>66</v>
      </c>
      <c r="O8" s="28" t="s">
        <v>67</v>
      </c>
      <c r="P8" s="28" t="s">
        <v>68</v>
      </c>
    </row>
    <row r="9" spans="1:16" ht="14" x14ac:dyDescent="0.2">
      <c r="A9" s="13">
        <f t="shared" si="6"/>
        <v>2026</v>
      </c>
      <c r="B9" s="13" t="str">
        <f t="shared" si="7"/>
        <v>05</v>
      </c>
      <c r="C9" s="13" t="str">
        <f t="shared" si="8"/>
        <v>19</v>
      </c>
      <c r="D9" s="16" t="str">
        <f>VLOOKUP(H9,'Names for Vlookup'!$B$26:$C$94,2,FALSE)</f>
        <v>YW International</v>
      </c>
      <c r="E9" s="16" t="str">
        <f>VLOOKUP(K9,'Names for Vlookup'!$B$8:$C$21,2,FALSE)</f>
        <v>Deer velvet (frozen)</v>
      </c>
      <c r="F9" s="16" t="str">
        <f>VLOOKUP(O9,'Names for Vlookup'!$B$2:$C$5,2,FALSE)</f>
        <v>New Zealand</v>
      </c>
      <c r="G9" s="16" t="str">
        <f>VLOOKUP(P9,'Names for Vlookup'!$B$2:$C$5,2,FALSE)</f>
        <v>New Zealand</v>
      </c>
      <c r="H9" s="16" t="s">
        <v>88</v>
      </c>
      <c r="I9" s="16" t="s">
        <v>72</v>
      </c>
      <c r="J9" s="16" t="s">
        <v>89</v>
      </c>
      <c r="K9" s="16" t="s">
        <v>74</v>
      </c>
      <c r="L9" s="16" t="s">
        <v>38</v>
      </c>
      <c r="M9" s="32">
        <v>46161</v>
      </c>
      <c r="N9" s="16" t="s">
        <v>66</v>
      </c>
      <c r="O9" s="28" t="s">
        <v>67</v>
      </c>
      <c r="P9" s="28" t="s">
        <v>67</v>
      </c>
    </row>
    <row r="10" spans="1:16" ht="14" x14ac:dyDescent="0.2">
      <c r="A10" s="13">
        <f t="shared" si="6"/>
        <v>2026</v>
      </c>
      <c r="B10" s="13" t="str">
        <f t="shared" si="7"/>
        <v>05</v>
      </c>
      <c r="C10" s="13" t="str">
        <f t="shared" si="8"/>
        <v>13</v>
      </c>
      <c r="D10" s="16" t="str">
        <f>VLOOKUP(H10,'Names for Vlookup'!$B$26:$C$94,2,FALSE)</f>
        <v>Eryong Pharm.</v>
      </c>
      <c r="E10" s="16" t="str">
        <f>VLOOKUP(K10,'Names for Vlookup'!$B$8:$C$21,2,FALSE)</f>
        <v>Deer velvet (dried)</v>
      </c>
      <c r="F10" s="16" t="str">
        <f>VLOOKUP(O10,'Names for Vlookup'!$B$2:$C$5,2,FALSE)</f>
        <v>China</v>
      </c>
      <c r="G10" s="16" t="str">
        <f>VLOOKUP(P10,'Names for Vlookup'!$B$2:$C$5,2,FALSE)</f>
        <v>China</v>
      </c>
      <c r="H10" s="16" t="s">
        <v>92</v>
      </c>
      <c r="I10" s="16" t="s">
        <v>62</v>
      </c>
      <c r="J10" s="16" t="s">
        <v>63</v>
      </c>
      <c r="K10" s="16" t="s">
        <v>64</v>
      </c>
      <c r="L10" s="16" t="s">
        <v>65</v>
      </c>
      <c r="M10" s="32">
        <v>46155</v>
      </c>
      <c r="N10" s="16" t="s">
        <v>66</v>
      </c>
      <c r="O10" s="28" t="s">
        <v>68</v>
      </c>
      <c r="P10" s="28" t="s">
        <v>68</v>
      </c>
    </row>
    <row r="11" spans="1:16" ht="14" x14ac:dyDescent="0.2">
      <c r="A11" s="13">
        <f t="shared" si="6"/>
        <v>2026</v>
      </c>
      <c r="B11" s="13" t="str">
        <f t="shared" si="7"/>
        <v>05</v>
      </c>
      <c r="C11" s="13" t="str">
        <f t="shared" si="8"/>
        <v>08</v>
      </c>
      <c r="D11" s="16" t="str">
        <f>VLOOKUP(H11,'Names for Vlookup'!$B$26:$C$94,2,FALSE)</f>
        <v>OnBio</v>
      </c>
      <c r="E11" s="16" t="str">
        <f>VLOOKUP(K11,'Names for Vlookup'!$B$8:$C$21,2,FALSE)</f>
        <v>Deer velvet (dried)</v>
      </c>
      <c r="F11" s="16" t="str">
        <f>VLOOKUP(O11,'Names for Vlookup'!$B$2:$C$5,2,FALSE)</f>
        <v>New Zealand</v>
      </c>
      <c r="G11" s="16" t="str">
        <f>VLOOKUP(P11,'Names for Vlookup'!$B$2:$C$5,2,FALSE)</f>
        <v>China</v>
      </c>
      <c r="H11" s="16" t="s">
        <v>82</v>
      </c>
      <c r="I11" s="16" t="s">
        <v>64</v>
      </c>
      <c r="J11" s="16" t="s">
        <v>70</v>
      </c>
      <c r="K11" s="16" t="s">
        <v>64</v>
      </c>
      <c r="L11" s="16" t="s">
        <v>34</v>
      </c>
      <c r="M11" s="32">
        <v>46150</v>
      </c>
      <c r="N11" s="16" t="s">
        <v>66</v>
      </c>
      <c r="O11" s="28" t="s">
        <v>67</v>
      </c>
      <c r="P11" s="28" t="s">
        <v>68</v>
      </c>
    </row>
    <row r="12" spans="1:16" ht="14" x14ac:dyDescent="0.2">
      <c r="A12" s="13">
        <f t="shared" si="6"/>
        <v>2026</v>
      </c>
      <c r="B12" s="13" t="str">
        <f t="shared" si="7"/>
        <v>04</v>
      </c>
      <c r="C12" s="13" t="str">
        <f t="shared" si="8"/>
        <v>17</v>
      </c>
      <c r="D12" s="16" t="str">
        <f>VLOOKUP(H12,'Names for Vlookup'!$B$26:$C$94,2,FALSE)</f>
        <v>Onnuri Bio</v>
      </c>
      <c r="E12" s="16" t="str">
        <f>VLOOKUP(K12,'Names for Vlookup'!$B$8:$C$21,2,FALSE)</f>
        <v>Deer velvet (dried)</v>
      </c>
      <c r="F12" s="16" t="str">
        <f>VLOOKUP(O12,'Names for Vlookup'!$B$2:$C$5,2,FALSE)</f>
        <v>New Zealand</v>
      </c>
      <c r="G12" s="16" t="str">
        <f>VLOOKUP(P12,'Names for Vlookup'!$B$2:$C$5,2,FALSE)</f>
        <v>China</v>
      </c>
      <c r="H12" s="16" t="s">
        <v>61</v>
      </c>
      <c r="I12" s="16" t="s">
        <v>62</v>
      </c>
      <c r="J12" s="16" t="s">
        <v>63</v>
      </c>
      <c r="K12" s="16" t="s">
        <v>64</v>
      </c>
      <c r="L12" s="16" t="s">
        <v>65</v>
      </c>
      <c r="M12" s="32">
        <v>46129</v>
      </c>
      <c r="N12" s="16" t="s">
        <v>66</v>
      </c>
      <c r="O12" s="28" t="s">
        <v>67</v>
      </c>
      <c r="P12" s="28" t="s">
        <v>68</v>
      </c>
    </row>
    <row r="13" spans="1:16" ht="14" x14ac:dyDescent="0.2">
      <c r="A13" s="13">
        <f t="shared" si="6"/>
        <v>2026</v>
      </c>
      <c r="B13" s="13" t="str">
        <f t="shared" si="7"/>
        <v>04</v>
      </c>
      <c r="C13" s="13" t="str">
        <f t="shared" si="8"/>
        <v>10</v>
      </c>
      <c r="D13" s="16" t="str">
        <f>VLOOKUP(H13,'Names for Vlookup'!$B$26:$C$94,2,FALSE)</f>
        <v xml:space="preserve">WooSung (Mr Bang) </v>
      </c>
      <c r="E13" s="16" t="str">
        <f>VLOOKUP(K13,'Names for Vlookup'!$B$8:$C$21,2,FALSE)</f>
        <v>Deer velvet (dried)</v>
      </c>
      <c r="F13" s="16" t="str">
        <f>VLOOKUP(O13,'Names for Vlookup'!$B$2:$C$5,2,FALSE)</f>
        <v>New Zealand</v>
      </c>
      <c r="G13" s="16" t="str">
        <f>VLOOKUP(P13,'Names for Vlookup'!$B$2:$C$5,2,FALSE)</f>
        <v>China</v>
      </c>
      <c r="H13" s="16" t="s">
        <v>69</v>
      </c>
      <c r="I13" s="16" t="s">
        <v>64</v>
      </c>
      <c r="J13" s="16" t="s">
        <v>70</v>
      </c>
      <c r="K13" s="16" t="s">
        <v>64</v>
      </c>
      <c r="L13" s="16" t="s">
        <v>33</v>
      </c>
      <c r="M13" s="32">
        <v>46122</v>
      </c>
      <c r="N13" s="16" t="s">
        <v>66</v>
      </c>
      <c r="O13" s="28" t="s">
        <v>67</v>
      </c>
      <c r="P13" s="28" t="s">
        <v>68</v>
      </c>
    </row>
    <row r="14" spans="1:16" ht="14" x14ac:dyDescent="0.2">
      <c r="A14" s="13">
        <f t="shared" si="6"/>
        <v>2026</v>
      </c>
      <c r="B14" s="13" t="str">
        <f t="shared" si="7"/>
        <v>04</v>
      </c>
      <c r="C14" s="13" t="str">
        <f t="shared" si="8"/>
        <v>07</v>
      </c>
      <c r="D14" s="16" t="str">
        <f>VLOOKUP(H14,'Names for Vlookup'!$B$26:$C$94,2,FALSE)</f>
        <v xml:space="preserve">WooSung (Mr Bang) </v>
      </c>
      <c r="E14" s="16" t="str">
        <f>VLOOKUP(K14,'Names for Vlookup'!$B$8:$C$21,2,FALSE)</f>
        <v>Deer velvet (dried)</v>
      </c>
      <c r="F14" s="16" t="str">
        <f>VLOOKUP(O14,'Names for Vlookup'!$B$2:$C$5,2,FALSE)</f>
        <v>New Zealand</v>
      </c>
      <c r="G14" s="16" t="str">
        <f>VLOOKUP(P14,'Names for Vlookup'!$B$2:$C$5,2,FALSE)</f>
        <v>China</v>
      </c>
      <c r="H14" s="16" t="s">
        <v>69</v>
      </c>
      <c r="I14" s="16" t="s">
        <v>64</v>
      </c>
      <c r="J14" s="16" t="s">
        <v>70</v>
      </c>
      <c r="K14" s="16" t="s">
        <v>64</v>
      </c>
      <c r="L14" s="16" t="s">
        <v>33</v>
      </c>
      <c r="M14" s="32">
        <v>46119</v>
      </c>
      <c r="N14" s="16" t="s">
        <v>66</v>
      </c>
      <c r="O14" s="28" t="s">
        <v>67</v>
      </c>
      <c r="P14" s="28" t="s">
        <v>68</v>
      </c>
    </row>
    <row r="15" spans="1:16" ht="14" x14ac:dyDescent="0.2">
      <c r="A15" s="13">
        <f t="shared" si="6"/>
        <v>2026</v>
      </c>
      <c r="B15" s="13" t="str">
        <f t="shared" si="7"/>
        <v>04</v>
      </c>
      <c r="C15" s="13" t="str">
        <f t="shared" si="8"/>
        <v>07</v>
      </c>
      <c r="D15" s="16" t="str">
        <f>VLOOKUP(H15,'Names for Vlookup'!$B$26:$C$94,2,FALSE)</f>
        <v>GaOn Pharm</v>
      </c>
      <c r="E15" s="16" t="str">
        <f>VLOOKUP(K15,'Names for Vlookup'!$B$8:$C$21,2,FALSE)</f>
        <v>Deer velvet (frozen)</v>
      </c>
      <c r="F15" s="16" t="str">
        <f>VLOOKUP(O15,'Names for Vlookup'!$B$2:$C$5,2,FALSE)</f>
        <v>New Zealand</v>
      </c>
      <c r="G15" s="16" t="str">
        <f>VLOOKUP(P15,'Names for Vlookup'!$B$2:$C$5,2,FALSE)</f>
        <v>New Zealand</v>
      </c>
      <c r="H15" s="16" t="s">
        <v>71</v>
      </c>
      <c r="I15" s="16" t="s">
        <v>72</v>
      </c>
      <c r="J15" s="16" t="s">
        <v>73</v>
      </c>
      <c r="K15" s="16" t="s">
        <v>74</v>
      </c>
      <c r="L15" s="16" t="s">
        <v>41</v>
      </c>
      <c r="M15" s="32">
        <v>46119</v>
      </c>
      <c r="N15" s="16" t="s">
        <v>66</v>
      </c>
      <c r="O15" s="28" t="s">
        <v>67</v>
      </c>
      <c r="P15" s="28" t="s">
        <v>67</v>
      </c>
    </row>
    <row r="16" spans="1:16" ht="14" x14ac:dyDescent="0.2">
      <c r="A16" s="13">
        <f t="shared" si="6"/>
        <v>2026</v>
      </c>
      <c r="B16" s="13" t="str">
        <f t="shared" si="7"/>
        <v>04</v>
      </c>
      <c r="C16" s="13" t="str">
        <f t="shared" si="8"/>
        <v>03</v>
      </c>
      <c r="D16" s="16" t="str">
        <f>VLOOKUP(H16,'Names for Vlookup'!$B$26:$C$94,2,FALSE)</f>
        <v>KNC Deertrade</v>
      </c>
      <c r="E16" s="16" t="str">
        <f>VLOOKUP(K16,'Names for Vlookup'!$B$8:$C$21,2,FALSE)</f>
        <v>Deer velvet (frozen)</v>
      </c>
      <c r="F16" s="16" t="str">
        <f>VLOOKUP(O16,'Names for Vlookup'!$B$2:$C$5,2,FALSE)</f>
        <v>New Zealand</v>
      </c>
      <c r="G16" s="16" t="str">
        <f>VLOOKUP(P16,'Names for Vlookup'!$B$2:$C$5,2,FALSE)</f>
        <v>New Zealand</v>
      </c>
      <c r="H16" s="16" t="s">
        <v>75</v>
      </c>
      <c r="I16" s="16" t="s">
        <v>76</v>
      </c>
      <c r="J16" s="16" t="s">
        <v>77</v>
      </c>
      <c r="K16" s="16" t="s">
        <v>74</v>
      </c>
      <c r="L16" s="16" t="s">
        <v>38</v>
      </c>
      <c r="M16" s="32">
        <v>46115</v>
      </c>
      <c r="N16" s="16" t="s">
        <v>79</v>
      </c>
      <c r="O16" s="28" t="s">
        <v>67</v>
      </c>
      <c r="P16" s="28" t="s">
        <v>67</v>
      </c>
    </row>
    <row r="17" spans="1:16" ht="14" x14ac:dyDescent="0.2">
      <c r="A17" s="13">
        <f t="shared" si="6"/>
        <v>2026</v>
      </c>
      <c r="B17" s="13" t="str">
        <f t="shared" si="7"/>
        <v>04</v>
      </c>
      <c r="C17" s="13" t="str">
        <f t="shared" si="8"/>
        <v>03</v>
      </c>
      <c r="D17" s="16" t="str">
        <f>VLOOKUP(H17,'Names for Vlookup'!$B$26:$C$94,2,FALSE)</f>
        <v>HwaYong Pharm.</v>
      </c>
      <c r="E17" s="16" t="str">
        <f>VLOOKUP(K17,'Names for Vlookup'!$B$8:$C$21,2,FALSE)</f>
        <v>Deer velvet (frozen)</v>
      </c>
      <c r="F17" s="16" t="str">
        <f>VLOOKUP(O17,'Names for Vlookup'!$B$2:$C$5,2,FALSE)</f>
        <v>New Zealand</v>
      </c>
      <c r="G17" s="16" t="str">
        <f>VLOOKUP(P17,'Names for Vlookup'!$B$2:$C$5,2,FALSE)</f>
        <v>New Zealand</v>
      </c>
      <c r="H17" s="16" t="s">
        <v>80</v>
      </c>
      <c r="I17" s="16" t="s">
        <v>74</v>
      </c>
      <c r="J17" s="16" t="s">
        <v>81</v>
      </c>
      <c r="K17" s="16" t="s">
        <v>74</v>
      </c>
      <c r="L17" s="16" t="s">
        <v>36</v>
      </c>
      <c r="M17" s="32">
        <v>46115</v>
      </c>
      <c r="N17" s="16" t="s">
        <v>66</v>
      </c>
      <c r="O17" s="28" t="s">
        <v>67</v>
      </c>
      <c r="P17" s="28" t="s">
        <v>67</v>
      </c>
    </row>
    <row r="18" spans="1:16" ht="14" x14ac:dyDescent="0.2">
      <c r="A18" s="13">
        <f t="shared" si="6"/>
        <v>2026</v>
      </c>
      <c r="B18" s="13" t="str">
        <f t="shared" si="7"/>
        <v>03</v>
      </c>
      <c r="C18" s="13" t="str">
        <f t="shared" si="8"/>
        <v>25</v>
      </c>
      <c r="D18" s="16" t="str">
        <f>VLOOKUP(H18,'Names for Vlookup'!$B$26:$C$94,2,FALSE)</f>
        <v>OnBio</v>
      </c>
      <c r="E18" s="16" t="str">
        <f>VLOOKUP(K18,'Names for Vlookup'!$B$8:$C$21,2,FALSE)</f>
        <v>Deer velvet (frozen)</v>
      </c>
      <c r="F18" s="16" t="str">
        <f>VLOOKUP(O18,'Names for Vlookup'!$B$2:$C$5,2,FALSE)</f>
        <v>New Zealand</v>
      </c>
      <c r="G18" s="16" t="str">
        <f>VLOOKUP(P18,'Names for Vlookup'!$B$2:$C$5,2,FALSE)</f>
        <v>New Zealand</v>
      </c>
      <c r="H18" s="16" t="s">
        <v>82</v>
      </c>
      <c r="I18" s="16" t="s">
        <v>74</v>
      </c>
      <c r="J18" s="16" t="s">
        <v>83</v>
      </c>
      <c r="K18" s="16" t="s">
        <v>74</v>
      </c>
      <c r="L18" s="16" t="s">
        <v>39</v>
      </c>
      <c r="M18" s="32">
        <v>46106</v>
      </c>
      <c r="N18" s="16" t="s">
        <v>66</v>
      </c>
      <c r="O18" s="28" t="s">
        <v>67</v>
      </c>
      <c r="P18" s="28" t="s">
        <v>67</v>
      </c>
    </row>
    <row r="19" spans="1:16" ht="14" x14ac:dyDescent="0.2">
      <c r="A19" s="13">
        <f t="shared" si="6"/>
        <v>2026</v>
      </c>
      <c r="B19" s="13" t="str">
        <f t="shared" si="7"/>
        <v>03</v>
      </c>
      <c r="C19" s="13" t="str">
        <f t="shared" si="8"/>
        <v>17</v>
      </c>
      <c r="D19" s="16" t="str">
        <f>VLOOKUP(H19,'Names for Vlookup'!$B$26:$C$94,2,FALSE)</f>
        <v>KNC Deertrade</v>
      </c>
      <c r="E19" s="16" t="str">
        <f>VLOOKUP(K19,'Names for Vlookup'!$B$8:$C$21,2,FALSE)</f>
        <v>Deer velvet (frozen)</v>
      </c>
      <c r="F19" s="16" t="str">
        <f>VLOOKUP(O19,'Names for Vlookup'!$B$2:$C$5,2,FALSE)</f>
        <v>New Zealand</v>
      </c>
      <c r="G19" s="16" t="str">
        <f>VLOOKUP(P19,'Names for Vlookup'!$B$2:$C$5,2,FALSE)</f>
        <v>New Zealand</v>
      </c>
      <c r="H19" s="16" t="s">
        <v>75</v>
      </c>
      <c r="I19" s="16" t="s">
        <v>76</v>
      </c>
      <c r="J19" s="16" t="s">
        <v>73</v>
      </c>
      <c r="K19" s="16" t="s">
        <v>74</v>
      </c>
      <c r="L19" s="16" t="s">
        <v>40</v>
      </c>
      <c r="M19" s="32">
        <v>46098</v>
      </c>
      <c r="N19" s="16" t="s">
        <v>85</v>
      </c>
      <c r="O19" s="28" t="s">
        <v>67</v>
      </c>
      <c r="P19" s="28" t="s">
        <v>67</v>
      </c>
    </row>
    <row r="20" spans="1:16" ht="14" x14ac:dyDescent="0.2">
      <c r="A20" s="13">
        <f t="shared" si="6"/>
        <v>2026</v>
      </c>
      <c r="B20" s="13" t="str">
        <f t="shared" si="7"/>
        <v>03</v>
      </c>
      <c r="C20" s="13" t="str">
        <f t="shared" si="8"/>
        <v>16</v>
      </c>
      <c r="D20" s="16" t="str">
        <f>VLOOKUP(H20,'Names for Vlookup'!$B$26:$C$94,2,FALSE)</f>
        <v>Bio Dot (Han Dong Herb)</v>
      </c>
      <c r="E20" s="16" t="str">
        <f>VLOOKUP(K20,'Names for Vlookup'!$B$8:$C$21,2,FALSE)</f>
        <v>Deer velvet (frozen)</v>
      </c>
      <c r="F20" s="16" t="str">
        <f>VLOOKUP(O20,'Names for Vlookup'!$B$2:$C$5,2,FALSE)</f>
        <v>New Zealand</v>
      </c>
      <c r="G20" s="16" t="str">
        <f>VLOOKUP(P20,'Names for Vlookup'!$B$2:$C$5,2,FALSE)</f>
        <v>New Zealand</v>
      </c>
      <c r="H20" s="16" t="s">
        <v>86</v>
      </c>
      <c r="I20" s="16" t="s">
        <v>76</v>
      </c>
      <c r="J20" s="16" t="s">
        <v>73</v>
      </c>
      <c r="K20" s="16" t="s">
        <v>74</v>
      </c>
      <c r="L20" s="16" t="s">
        <v>35</v>
      </c>
      <c r="M20" s="32">
        <v>46097</v>
      </c>
      <c r="N20" s="16" t="s">
        <v>87</v>
      </c>
      <c r="O20" s="28" t="s">
        <v>67</v>
      </c>
      <c r="P20" s="28" t="s">
        <v>67</v>
      </c>
    </row>
    <row r="21" spans="1:16" ht="14" x14ac:dyDescent="0.2">
      <c r="A21" s="13">
        <f t="shared" si="6"/>
        <v>2026</v>
      </c>
      <c r="B21" s="13" t="str">
        <f t="shared" si="7"/>
        <v>03</v>
      </c>
      <c r="C21" s="13" t="str">
        <f t="shared" si="8"/>
        <v>12</v>
      </c>
      <c r="D21" s="16" t="str">
        <f>VLOOKUP(H21,'Names for Vlookup'!$B$26:$C$94,2,FALSE)</f>
        <v>YW International</v>
      </c>
      <c r="E21" s="16" t="str">
        <f>VLOOKUP(K21,'Names for Vlookup'!$B$8:$C$21,2,FALSE)</f>
        <v>Deer velvet (frozen)</v>
      </c>
      <c r="F21" s="16" t="str">
        <f>VLOOKUP(O21,'Names for Vlookup'!$B$2:$C$5,2,FALSE)</f>
        <v>New Zealand</v>
      </c>
      <c r="G21" s="16" t="str">
        <f>VLOOKUP(P21,'Names for Vlookup'!$B$2:$C$5,2,FALSE)</f>
        <v>New Zealand</v>
      </c>
      <c r="H21" s="16" t="s">
        <v>88</v>
      </c>
      <c r="I21" s="16" t="s">
        <v>72</v>
      </c>
      <c r="J21" s="16" t="s">
        <v>89</v>
      </c>
      <c r="K21" s="16" t="s">
        <v>74</v>
      </c>
      <c r="L21" s="16" t="s">
        <v>38</v>
      </c>
      <c r="M21" s="32">
        <v>46093</v>
      </c>
      <c r="N21" s="16" t="s">
        <v>66</v>
      </c>
      <c r="O21" s="28" t="s">
        <v>67</v>
      </c>
      <c r="P21" s="28" t="s">
        <v>67</v>
      </c>
    </row>
    <row r="22" spans="1:16" ht="14" x14ac:dyDescent="0.2">
      <c r="A22" s="13">
        <f t="shared" si="6"/>
        <v>2026</v>
      </c>
      <c r="B22" s="13" t="str">
        <f t="shared" si="7"/>
        <v>03</v>
      </c>
      <c r="C22" s="13" t="str">
        <f t="shared" si="8"/>
        <v>12</v>
      </c>
      <c r="D22" s="16" t="str">
        <f>VLOOKUP(H22,'Names for Vlookup'!$B$26:$C$94,2,FALSE)</f>
        <v>KGC</v>
      </c>
      <c r="E22" s="16" t="str">
        <f>VLOOKUP(K22,'Names for Vlookup'!$B$8:$C$21,2,FALSE)</f>
        <v>Deer velvet (frozen)</v>
      </c>
      <c r="F22" s="16" t="str">
        <f>VLOOKUP(O22,'Names for Vlookup'!$B$2:$C$5,2,FALSE)</f>
        <v>New Zealand</v>
      </c>
      <c r="G22" s="16" t="str">
        <f>VLOOKUP(P22,'Names for Vlookup'!$B$2:$C$5,2,FALSE)</f>
        <v>New Zealand</v>
      </c>
      <c r="H22" s="16" t="s">
        <v>90</v>
      </c>
      <c r="I22" s="16" t="s">
        <v>74</v>
      </c>
      <c r="J22" s="16" t="s">
        <v>73</v>
      </c>
      <c r="K22" s="16" t="s">
        <v>74</v>
      </c>
      <c r="L22" s="16" t="s">
        <v>37</v>
      </c>
      <c r="M22" s="32">
        <v>46093</v>
      </c>
      <c r="N22" s="16" t="s">
        <v>66</v>
      </c>
      <c r="O22" s="28" t="s">
        <v>67</v>
      </c>
      <c r="P22" s="28" t="s">
        <v>67</v>
      </c>
    </row>
    <row r="23" spans="1:16" ht="14" x14ac:dyDescent="0.2">
      <c r="A23" s="13">
        <f t="shared" si="6"/>
        <v>2026</v>
      </c>
      <c r="B23" s="13" t="str">
        <f t="shared" si="7"/>
        <v>03</v>
      </c>
      <c r="C23" s="13" t="str">
        <f t="shared" si="8"/>
        <v>11</v>
      </c>
      <c r="D23" s="16" t="str">
        <f>VLOOKUP(H23,'Names for Vlookup'!$B$26:$C$94,2,FALSE)</f>
        <v>Yujin Trade</v>
      </c>
      <c r="E23" s="16" t="str">
        <f>VLOOKUP(K23,'Names for Vlookup'!$B$8:$C$21,2,FALSE)</f>
        <v>Deer velvet (dried)</v>
      </c>
      <c r="F23" s="16" t="str">
        <f>VLOOKUP(O23,'Names for Vlookup'!$B$2:$C$5,2,FALSE)</f>
        <v>New Zealand</v>
      </c>
      <c r="G23" s="16" t="str">
        <f>VLOOKUP(P23,'Names for Vlookup'!$B$2:$C$5,2,FALSE)</f>
        <v>China</v>
      </c>
      <c r="H23" s="16" t="s">
        <v>91</v>
      </c>
      <c r="I23" s="16" t="s">
        <v>64</v>
      </c>
      <c r="J23" s="16" t="s">
        <v>70</v>
      </c>
      <c r="K23" s="16" t="s">
        <v>64</v>
      </c>
      <c r="L23" s="16" t="s">
        <v>32</v>
      </c>
      <c r="M23" s="32">
        <v>46092</v>
      </c>
      <c r="N23" s="16" t="s">
        <v>66</v>
      </c>
      <c r="O23" s="28" t="s">
        <v>67</v>
      </c>
      <c r="P23" s="28" t="s">
        <v>68</v>
      </c>
    </row>
    <row r="24" spans="1:16" ht="14" x14ac:dyDescent="0.2">
      <c r="A24" s="13">
        <f t="shared" ref="A24" si="9">YEAR(M24)</f>
        <v>2026</v>
      </c>
      <c r="B24" s="13" t="str">
        <f t="shared" ref="B24" si="10">TEXT(M24,"mm")</f>
        <v>04</v>
      </c>
      <c r="C24" s="13" t="str">
        <f t="shared" ref="C24" si="11">TEXT(M24,"dd")</f>
        <v>17</v>
      </c>
      <c r="D24" s="16" t="str">
        <f>VLOOKUP(H24,'Names for Vlookup'!$B$26:$C$94,2,FALSE)</f>
        <v>Onnuri Bio</v>
      </c>
      <c r="E24" s="16" t="str">
        <f>VLOOKUP(K24,'Names for Vlookup'!$B$8:$C$21,2,FALSE)</f>
        <v>Deer velvet (dried)</v>
      </c>
      <c r="F24" s="16" t="str">
        <f>VLOOKUP(O24,'Names for Vlookup'!$B$2:$C$5,2,FALSE)</f>
        <v>New Zealand</v>
      </c>
      <c r="G24" s="16" t="str">
        <f>VLOOKUP(P24,'Names for Vlookup'!$B$2:$C$5,2,FALSE)</f>
        <v>China</v>
      </c>
      <c r="H24" s="16" t="s">
        <v>61</v>
      </c>
      <c r="I24" s="16" t="s">
        <v>62</v>
      </c>
      <c r="J24" s="16" t="s">
        <v>63</v>
      </c>
      <c r="K24" s="16" t="s">
        <v>64</v>
      </c>
      <c r="L24" s="16" t="s">
        <v>65</v>
      </c>
      <c r="M24" s="32">
        <v>46129</v>
      </c>
      <c r="N24" s="16" t="s">
        <v>66</v>
      </c>
      <c r="O24" s="28" t="s">
        <v>67</v>
      </c>
      <c r="P24" s="28" t="s">
        <v>68</v>
      </c>
    </row>
    <row r="25" spans="1:16" ht="14" x14ac:dyDescent="0.2">
      <c r="A25" s="13">
        <f t="shared" ref="A25:A26" si="12">YEAR(M25)</f>
        <v>2026</v>
      </c>
      <c r="B25" s="13" t="str">
        <f t="shared" ref="B25:B26" si="13">TEXT(M25,"mm")</f>
        <v>04</v>
      </c>
      <c r="C25" s="13" t="str">
        <f t="shared" ref="C25:C26" si="14">TEXT(M25,"dd")</f>
        <v>07</v>
      </c>
      <c r="D25" s="16" t="str">
        <f>VLOOKUP(H25,'Names for Vlookup'!$B$26:$C$94,2,FALSE)</f>
        <v xml:space="preserve">WooSung (Mr Bang) </v>
      </c>
      <c r="E25" s="16" t="str">
        <f>VLOOKUP(K25,'Names for Vlookup'!$B$8:$C$21,2,FALSE)</f>
        <v>Deer velvet (dried)</v>
      </c>
      <c r="F25" s="16" t="str">
        <f>VLOOKUP(O25,'Names for Vlookup'!$B$2:$C$5,2,FALSE)</f>
        <v>New Zealand</v>
      </c>
      <c r="G25" s="16" t="str">
        <f>VLOOKUP(P25,'Names for Vlookup'!$B$2:$C$5,2,FALSE)</f>
        <v>China</v>
      </c>
      <c r="H25" s="16" t="s">
        <v>69</v>
      </c>
      <c r="I25" s="16" t="s">
        <v>64</v>
      </c>
      <c r="J25" s="16" t="s">
        <v>70</v>
      </c>
      <c r="K25" s="16" t="s">
        <v>64</v>
      </c>
      <c r="L25" s="16" t="s">
        <v>33</v>
      </c>
      <c r="M25" s="32">
        <v>46119</v>
      </c>
      <c r="N25" s="16" t="s">
        <v>66</v>
      </c>
      <c r="O25" s="28" t="s">
        <v>67</v>
      </c>
      <c r="P25" s="28" t="s">
        <v>68</v>
      </c>
    </row>
    <row r="26" spans="1:16" ht="14" x14ac:dyDescent="0.2">
      <c r="A26" s="13">
        <f t="shared" si="12"/>
        <v>2026</v>
      </c>
      <c r="B26" s="13" t="str">
        <f t="shared" si="13"/>
        <v>04</v>
      </c>
      <c r="C26" s="13" t="str">
        <f t="shared" si="14"/>
        <v>07</v>
      </c>
      <c r="D26" s="16" t="str">
        <f>VLOOKUP(H26,'Names for Vlookup'!$B$26:$C$94,2,FALSE)</f>
        <v>GaOn Pharm</v>
      </c>
      <c r="E26" s="16" t="str">
        <f>VLOOKUP(K26,'Names for Vlookup'!$B$8:$C$21,2,FALSE)</f>
        <v>Deer velvet (frozen)</v>
      </c>
      <c r="F26" s="16" t="str">
        <f>VLOOKUP(O26,'Names for Vlookup'!$B$2:$C$5,2,FALSE)</f>
        <v>New Zealand</v>
      </c>
      <c r="G26" s="16" t="str">
        <f>VLOOKUP(P26,'Names for Vlookup'!$B$2:$C$5,2,FALSE)</f>
        <v>New Zealand</v>
      </c>
      <c r="H26" s="16" t="s">
        <v>71</v>
      </c>
      <c r="I26" s="16" t="s">
        <v>72</v>
      </c>
      <c r="J26" s="16" t="s">
        <v>73</v>
      </c>
      <c r="K26" s="16" t="s">
        <v>74</v>
      </c>
      <c r="L26" s="16" t="s">
        <v>41</v>
      </c>
      <c r="M26" s="32">
        <v>46119</v>
      </c>
      <c r="N26" s="16" t="s">
        <v>66</v>
      </c>
      <c r="O26" s="28" t="s">
        <v>67</v>
      </c>
      <c r="P26" s="28" t="s">
        <v>67</v>
      </c>
    </row>
    <row r="27" spans="1:16" ht="14" x14ac:dyDescent="0.2">
      <c r="A27" s="13">
        <f t="shared" ref="A27:A29" si="15">YEAR(M27)</f>
        <v>2026</v>
      </c>
      <c r="B27" s="13" t="str">
        <f t="shared" ref="B27:B29" si="16">TEXT(M27,"mm")</f>
        <v>04</v>
      </c>
      <c r="C27" s="13" t="str">
        <f t="shared" ref="C27:C29" si="17">TEXT(M27,"dd")</f>
        <v>03</v>
      </c>
      <c r="D27" s="16" t="str">
        <f>VLOOKUP(H27,'Names for Vlookup'!$B$26:$C$94,2,FALSE)</f>
        <v>KNC Deertrade</v>
      </c>
      <c r="E27" s="16" t="str">
        <f>VLOOKUP(K27,'Names for Vlookup'!$B$8:$C$21,2,FALSE)</f>
        <v>Deer velvet (frozen)</v>
      </c>
      <c r="F27" s="16" t="str">
        <f>VLOOKUP(O27,'Names for Vlookup'!$B$2:$C$5,2,FALSE)</f>
        <v>New Zealand</v>
      </c>
      <c r="G27" s="16" t="str">
        <f>VLOOKUP(P27,'Names for Vlookup'!$B$2:$C$5,2,FALSE)</f>
        <v>New Zealand</v>
      </c>
      <c r="H27" s="16" t="s">
        <v>75</v>
      </c>
      <c r="I27" s="16" t="s">
        <v>76</v>
      </c>
      <c r="J27" s="16" t="s">
        <v>77</v>
      </c>
      <c r="K27" s="16" t="s">
        <v>74</v>
      </c>
      <c r="L27" s="16" t="s">
        <v>38</v>
      </c>
      <c r="M27" s="16" t="s">
        <v>78</v>
      </c>
      <c r="N27" s="16" t="s">
        <v>79</v>
      </c>
      <c r="O27" s="28" t="s">
        <v>67</v>
      </c>
      <c r="P27" s="28" t="s">
        <v>67</v>
      </c>
    </row>
    <row r="28" spans="1:16" ht="14" x14ac:dyDescent="0.2">
      <c r="A28" s="13">
        <f t="shared" si="15"/>
        <v>2026</v>
      </c>
      <c r="B28" s="13" t="str">
        <f t="shared" si="16"/>
        <v>04</v>
      </c>
      <c r="C28" s="13" t="str">
        <f t="shared" si="17"/>
        <v>03</v>
      </c>
      <c r="D28" s="16" t="str">
        <f>VLOOKUP(H28,'Names for Vlookup'!$B$26:$C$94,2,FALSE)</f>
        <v>HwaYong Pharm.</v>
      </c>
      <c r="E28" s="16" t="str">
        <f>VLOOKUP(K28,'Names for Vlookup'!$B$8:$C$21,2,FALSE)</f>
        <v>Deer velvet (frozen)</v>
      </c>
      <c r="F28" s="16" t="str">
        <f>VLOOKUP(O28,'Names for Vlookup'!$B$2:$C$5,2,FALSE)</f>
        <v>New Zealand</v>
      </c>
      <c r="G28" s="16" t="str">
        <f>VLOOKUP(P28,'Names for Vlookup'!$B$2:$C$5,2,FALSE)</f>
        <v>New Zealand</v>
      </c>
      <c r="H28" s="16" t="s">
        <v>80</v>
      </c>
      <c r="I28" s="16" t="s">
        <v>74</v>
      </c>
      <c r="J28" s="16" t="s">
        <v>81</v>
      </c>
      <c r="K28" s="16" t="s">
        <v>74</v>
      </c>
      <c r="L28" s="16" t="s">
        <v>36</v>
      </c>
      <c r="M28" s="16" t="s">
        <v>78</v>
      </c>
      <c r="N28" s="16" t="s">
        <v>66</v>
      </c>
      <c r="O28" s="28" t="s">
        <v>67</v>
      </c>
      <c r="P28" s="28" t="s">
        <v>67</v>
      </c>
    </row>
    <row r="29" spans="1:16" ht="14" x14ac:dyDescent="0.2">
      <c r="A29" s="13">
        <f t="shared" si="15"/>
        <v>2026</v>
      </c>
      <c r="B29" s="13" t="str">
        <f t="shared" si="16"/>
        <v>03</v>
      </c>
      <c r="C29" s="13" t="str">
        <f t="shared" si="17"/>
        <v>25</v>
      </c>
      <c r="D29" s="16" t="str">
        <f>VLOOKUP(H29,'Names for Vlookup'!$B$26:$C$94,2,FALSE)</f>
        <v>OnBio</v>
      </c>
      <c r="E29" s="16" t="str">
        <f>VLOOKUP(K29,'Names for Vlookup'!$B$8:$C$21,2,FALSE)</f>
        <v>Deer velvet (frozen)</v>
      </c>
      <c r="F29" s="16" t="str">
        <f>VLOOKUP(O29,'Names for Vlookup'!$B$2:$C$5,2,FALSE)</f>
        <v>New Zealand</v>
      </c>
      <c r="G29" s="16" t="str">
        <f>VLOOKUP(P29,'Names for Vlookup'!$B$2:$C$5,2,FALSE)</f>
        <v>New Zealand</v>
      </c>
      <c r="H29" s="16" t="s">
        <v>82</v>
      </c>
      <c r="I29" s="16" t="s">
        <v>74</v>
      </c>
      <c r="J29" s="16" t="s">
        <v>83</v>
      </c>
      <c r="K29" s="16" t="s">
        <v>74</v>
      </c>
      <c r="L29" s="16" t="s">
        <v>39</v>
      </c>
      <c r="M29" s="16" t="s">
        <v>84</v>
      </c>
      <c r="N29" s="16" t="s">
        <v>66</v>
      </c>
      <c r="O29" s="28" t="s">
        <v>67</v>
      </c>
      <c r="P29" s="28" t="s">
        <v>67</v>
      </c>
    </row>
    <row r="30" spans="1:16" ht="14" x14ac:dyDescent="0.2">
      <c r="A30" s="13">
        <f t="shared" ref="A30:A46" si="18">YEAR(M30)</f>
        <v>2026</v>
      </c>
      <c r="B30" s="13" t="str">
        <f t="shared" ref="B30:B46" si="19">TEXT(M30,"mm")</f>
        <v>03</v>
      </c>
      <c r="C30" s="13" t="str">
        <f t="shared" ref="C30:C46" si="20">TEXT(M30,"dd")</f>
        <v>17</v>
      </c>
      <c r="D30" s="16" t="str">
        <f>VLOOKUP(H30,'Names for Vlookup'!$B$26:$C$94,2,FALSE)</f>
        <v>KNC Deertrade</v>
      </c>
      <c r="E30" s="16" t="str">
        <f>VLOOKUP(K30,'Names for Vlookup'!$B$8:$C$21,2,FALSE)</f>
        <v>Deer velvet (frozen)</v>
      </c>
      <c r="F30" s="16" t="str">
        <f>VLOOKUP(O30,'Names for Vlookup'!$B$2:$C$5,2,FALSE)</f>
        <v>New Zealand</v>
      </c>
      <c r="G30" s="16" t="str">
        <f>VLOOKUP(P30,'Names for Vlookup'!$B$2:$C$5,2,FALSE)</f>
        <v>New Zealand</v>
      </c>
      <c r="H30" s="33" t="s">
        <v>75</v>
      </c>
      <c r="I30" s="33" t="s">
        <v>76</v>
      </c>
      <c r="J30" s="33" t="s">
        <v>73</v>
      </c>
      <c r="K30" s="33" t="s">
        <v>74</v>
      </c>
      <c r="L30" s="33" t="s">
        <v>40</v>
      </c>
      <c r="M30" s="34">
        <v>46098</v>
      </c>
      <c r="N30" s="33" t="s">
        <v>85</v>
      </c>
      <c r="O30" s="35" t="s">
        <v>67</v>
      </c>
      <c r="P30" s="35" t="s">
        <v>67</v>
      </c>
    </row>
    <row r="31" spans="1:16" ht="14" x14ac:dyDescent="0.2">
      <c r="A31" s="13">
        <f t="shared" si="18"/>
        <v>2026</v>
      </c>
      <c r="B31" s="13" t="str">
        <f t="shared" si="19"/>
        <v>03</v>
      </c>
      <c r="C31" s="13" t="str">
        <f t="shared" si="20"/>
        <v>16</v>
      </c>
      <c r="D31" s="16" t="str">
        <f>VLOOKUP(H31,'Names for Vlookup'!$B$26:$C$94,2,FALSE)</f>
        <v>Bio Dot (Han Dong Herb)</v>
      </c>
      <c r="E31" s="16" t="str">
        <f>VLOOKUP(K31,'Names for Vlookup'!$B$8:$C$21,2,FALSE)</f>
        <v>Deer velvet (frozen)</v>
      </c>
      <c r="F31" s="16" t="str">
        <f>VLOOKUP(O31,'Names for Vlookup'!$B$2:$C$5,2,FALSE)</f>
        <v>New Zealand</v>
      </c>
      <c r="G31" s="16" t="str">
        <f>VLOOKUP(P31,'Names for Vlookup'!$B$2:$C$5,2,FALSE)</f>
        <v>New Zealand</v>
      </c>
      <c r="H31" s="33" t="s">
        <v>86</v>
      </c>
      <c r="I31" s="33" t="s">
        <v>76</v>
      </c>
      <c r="J31" s="33" t="s">
        <v>73</v>
      </c>
      <c r="K31" s="33" t="s">
        <v>74</v>
      </c>
      <c r="L31" s="33" t="s">
        <v>35</v>
      </c>
      <c r="M31" s="34">
        <v>46097</v>
      </c>
      <c r="N31" s="33" t="s">
        <v>87</v>
      </c>
      <c r="O31" s="35" t="s">
        <v>67</v>
      </c>
      <c r="P31" s="35" t="s">
        <v>67</v>
      </c>
    </row>
    <row r="32" spans="1:16" ht="14" x14ac:dyDescent="0.2">
      <c r="A32" s="13">
        <f t="shared" si="18"/>
        <v>2026</v>
      </c>
      <c r="B32" s="13" t="str">
        <f t="shared" si="19"/>
        <v>03</v>
      </c>
      <c r="C32" s="13" t="str">
        <f t="shared" si="20"/>
        <v>12</v>
      </c>
      <c r="D32" s="16" t="str">
        <f>VLOOKUP(H32,'Names for Vlookup'!$B$26:$C$94,2,FALSE)</f>
        <v>YW International</v>
      </c>
      <c r="E32" s="16" t="str">
        <f>VLOOKUP(K32,'Names for Vlookup'!$B$8:$C$21,2,FALSE)</f>
        <v>Deer velvet (frozen)</v>
      </c>
      <c r="F32" s="16" t="str">
        <f>VLOOKUP(O32,'Names for Vlookup'!$B$2:$C$5,2,FALSE)</f>
        <v>New Zealand</v>
      </c>
      <c r="G32" s="16" t="str">
        <f>VLOOKUP(P32,'Names for Vlookup'!$B$2:$C$5,2,FALSE)</f>
        <v>New Zealand</v>
      </c>
      <c r="H32" s="33" t="s">
        <v>88</v>
      </c>
      <c r="I32" s="33" t="s">
        <v>72</v>
      </c>
      <c r="J32" s="33" t="s">
        <v>89</v>
      </c>
      <c r="K32" s="33" t="s">
        <v>74</v>
      </c>
      <c r="L32" s="33" t="s">
        <v>38</v>
      </c>
      <c r="M32" s="34">
        <v>46093</v>
      </c>
      <c r="N32" s="33" t="s">
        <v>66</v>
      </c>
      <c r="O32" s="35" t="s">
        <v>67</v>
      </c>
      <c r="P32" s="35" t="s">
        <v>67</v>
      </c>
    </row>
    <row r="33" spans="1:16" ht="14" x14ac:dyDescent="0.2">
      <c r="A33" s="13">
        <f t="shared" si="18"/>
        <v>2026</v>
      </c>
      <c r="B33" s="13" t="str">
        <f t="shared" si="19"/>
        <v>03</v>
      </c>
      <c r="C33" s="13" t="str">
        <f t="shared" si="20"/>
        <v>12</v>
      </c>
      <c r="D33" s="16" t="str">
        <f>VLOOKUP(H33,'Names for Vlookup'!$B$26:$C$94,2,FALSE)</f>
        <v>KGC</v>
      </c>
      <c r="E33" s="16" t="str">
        <f>VLOOKUP(K33,'Names for Vlookup'!$B$8:$C$21,2,FALSE)</f>
        <v>Deer velvet (frozen)</v>
      </c>
      <c r="F33" s="16" t="str">
        <f>VLOOKUP(O33,'Names for Vlookup'!$B$2:$C$5,2,FALSE)</f>
        <v>New Zealand</v>
      </c>
      <c r="G33" s="16" t="str">
        <f>VLOOKUP(P33,'Names for Vlookup'!$B$2:$C$5,2,FALSE)</f>
        <v>New Zealand</v>
      </c>
      <c r="H33" s="33" t="s">
        <v>90</v>
      </c>
      <c r="I33" s="33" t="s">
        <v>74</v>
      </c>
      <c r="J33" s="33" t="s">
        <v>73</v>
      </c>
      <c r="K33" s="33" t="s">
        <v>74</v>
      </c>
      <c r="L33" s="33" t="s">
        <v>37</v>
      </c>
      <c r="M33" s="34">
        <v>46093</v>
      </c>
      <c r="N33" s="33" t="s">
        <v>66</v>
      </c>
      <c r="O33" s="35" t="s">
        <v>67</v>
      </c>
      <c r="P33" s="35" t="s">
        <v>67</v>
      </c>
    </row>
    <row r="34" spans="1:16" ht="14" x14ac:dyDescent="0.2">
      <c r="A34" s="13">
        <f t="shared" si="18"/>
        <v>2026</v>
      </c>
      <c r="B34" s="13" t="str">
        <f t="shared" si="19"/>
        <v>03</v>
      </c>
      <c r="C34" s="13" t="str">
        <f t="shared" si="20"/>
        <v>11</v>
      </c>
      <c r="D34" s="16" t="str">
        <f>VLOOKUP(H34,'Names for Vlookup'!$B$26:$C$94,2,FALSE)</f>
        <v>Yujin Trade</v>
      </c>
      <c r="E34" s="16" t="str">
        <f>VLOOKUP(K34,'Names for Vlookup'!$B$8:$C$21,2,FALSE)</f>
        <v>Deer velvet (dried)</v>
      </c>
      <c r="F34" s="16" t="str">
        <f>VLOOKUP(O34,'Names for Vlookup'!$B$2:$C$5,2,FALSE)</f>
        <v>New Zealand</v>
      </c>
      <c r="G34" s="16" t="str">
        <f>VLOOKUP(P34,'Names for Vlookup'!$B$2:$C$5,2,FALSE)</f>
        <v>China</v>
      </c>
      <c r="H34" s="33" t="s">
        <v>91</v>
      </c>
      <c r="I34" s="33" t="s">
        <v>64</v>
      </c>
      <c r="J34" s="33" t="s">
        <v>70</v>
      </c>
      <c r="K34" s="33" t="s">
        <v>64</v>
      </c>
      <c r="L34" s="33" t="s">
        <v>32</v>
      </c>
      <c r="M34" s="34">
        <v>46092</v>
      </c>
      <c r="N34" s="33" t="s">
        <v>66</v>
      </c>
      <c r="O34" s="35" t="s">
        <v>67</v>
      </c>
      <c r="P34" s="35" t="s">
        <v>68</v>
      </c>
    </row>
    <row r="35" spans="1:16" ht="14" x14ac:dyDescent="0.2">
      <c r="A35" s="13">
        <f t="shared" si="18"/>
        <v>2026</v>
      </c>
      <c r="B35" s="13" t="str">
        <f t="shared" si="19"/>
        <v>02</v>
      </c>
      <c r="C35" s="13" t="str">
        <f t="shared" si="20"/>
        <v>20</v>
      </c>
      <c r="D35" s="16" t="str">
        <f>VLOOKUP(H35,'Names for Vlookup'!$B$26:$C$94,2,FALSE)</f>
        <v>Eryong Pharm.</v>
      </c>
      <c r="E35" s="16" t="str">
        <f>VLOOKUP(K35,'Names for Vlookup'!$B$8:$C$21,2,FALSE)</f>
        <v>Deer velvet (frozen)</v>
      </c>
      <c r="F35" s="16" t="str">
        <f>VLOOKUP(O35,'Names for Vlookup'!$B$2:$C$5,2,FALSE)</f>
        <v>New Zealand</v>
      </c>
      <c r="G35" s="16" t="str">
        <f>VLOOKUP(P35,'Names for Vlookup'!$B$2:$C$5,2,FALSE)</f>
        <v>New Zealand</v>
      </c>
      <c r="H35" s="33" t="s">
        <v>92</v>
      </c>
      <c r="I35" s="33" t="s">
        <v>74</v>
      </c>
      <c r="J35" s="33" t="s">
        <v>83</v>
      </c>
      <c r="K35" s="33" t="s">
        <v>74</v>
      </c>
      <c r="L35" s="33" t="s">
        <v>39</v>
      </c>
      <c r="M35" s="34">
        <v>46073</v>
      </c>
      <c r="N35" s="33" t="s">
        <v>66</v>
      </c>
      <c r="O35" s="35" t="s">
        <v>67</v>
      </c>
      <c r="P35" s="35" t="s">
        <v>67</v>
      </c>
    </row>
    <row r="36" spans="1:16" ht="14" x14ac:dyDescent="0.2">
      <c r="A36" s="13">
        <f t="shared" si="18"/>
        <v>2026</v>
      </c>
      <c r="B36" s="13" t="str">
        <f t="shared" si="19"/>
        <v>02</v>
      </c>
      <c r="C36" s="13" t="str">
        <f t="shared" si="20"/>
        <v>05</v>
      </c>
      <c r="D36" s="16" t="str">
        <f>VLOOKUP(H36,'Names for Vlookup'!$B$26:$C$94,2,FALSE)</f>
        <v>HwaYong Pharm.</v>
      </c>
      <c r="E36" s="16" t="str">
        <f>VLOOKUP(K36,'Names for Vlookup'!$B$8:$C$21,2,FALSE)</f>
        <v>Deer velvet (frozen)</v>
      </c>
      <c r="F36" s="16" t="str">
        <f>VLOOKUP(O36,'Names for Vlookup'!$B$2:$C$5,2,FALSE)</f>
        <v>New Zealand</v>
      </c>
      <c r="G36" s="16" t="str">
        <f>VLOOKUP(P36,'Names for Vlookup'!$B$2:$C$5,2,FALSE)</f>
        <v>New Zealand</v>
      </c>
      <c r="H36" s="33" t="s">
        <v>80</v>
      </c>
      <c r="I36" s="33" t="s">
        <v>74</v>
      </c>
      <c r="J36" s="33" t="s">
        <v>81</v>
      </c>
      <c r="K36" s="33" t="s">
        <v>74</v>
      </c>
      <c r="L36" s="33" t="s">
        <v>36</v>
      </c>
      <c r="M36" s="34">
        <v>46058</v>
      </c>
      <c r="N36" s="33" t="s">
        <v>66</v>
      </c>
      <c r="O36" s="35" t="s">
        <v>67</v>
      </c>
      <c r="P36" s="35" t="s">
        <v>67</v>
      </c>
    </row>
    <row r="37" spans="1:16" ht="14" x14ac:dyDescent="0.2">
      <c r="A37" s="13">
        <f t="shared" si="18"/>
        <v>2026</v>
      </c>
      <c r="B37" s="13" t="str">
        <f t="shared" si="19"/>
        <v>01</v>
      </c>
      <c r="C37" s="13" t="str">
        <f t="shared" si="20"/>
        <v>27</v>
      </c>
      <c r="D37" s="16" t="str">
        <f>VLOOKUP(H37,'Names for Vlookup'!$B$26:$C$94,2,FALSE)</f>
        <v>KNC Deertrade</v>
      </c>
      <c r="E37" s="16" t="str">
        <f>VLOOKUP(K37,'Names for Vlookup'!$B$8:$C$21,2,FALSE)</f>
        <v>Deer velvet (dried)</v>
      </c>
      <c r="F37" s="16" t="str">
        <f>VLOOKUP(O37,'Names for Vlookup'!$B$2:$C$5,2,FALSE)</f>
        <v>New Zealand</v>
      </c>
      <c r="G37" s="16" t="str">
        <f>VLOOKUP(P37,'Names for Vlookup'!$B$2:$C$5,2,FALSE)</f>
        <v>China</v>
      </c>
      <c r="H37" s="33" t="s">
        <v>75</v>
      </c>
      <c r="I37" s="33" t="s">
        <v>64</v>
      </c>
      <c r="J37" s="33" t="s">
        <v>70</v>
      </c>
      <c r="K37" s="33" t="s">
        <v>64</v>
      </c>
      <c r="L37" s="33" t="s">
        <v>34</v>
      </c>
      <c r="M37" s="34">
        <v>46049</v>
      </c>
      <c r="N37" s="33" t="s">
        <v>66</v>
      </c>
      <c r="O37" s="35" t="s">
        <v>67</v>
      </c>
      <c r="P37" s="35" t="s">
        <v>68</v>
      </c>
    </row>
    <row r="38" spans="1:16" ht="14" x14ac:dyDescent="0.2">
      <c r="A38" s="13">
        <f t="shared" si="18"/>
        <v>2026</v>
      </c>
      <c r="B38" s="13" t="str">
        <f t="shared" si="19"/>
        <v>01</v>
      </c>
      <c r="C38" s="13" t="str">
        <f t="shared" si="20"/>
        <v>15</v>
      </c>
      <c r="D38" s="16" t="str">
        <f>VLOOKUP(H38,'Names for Vlookup'!$B$26:$C$94,2,FALSE)</f>
        <v>YW International</v>
      </c>
      <c r="E38" s="16" t="str">
        <f>VLOOKUP(K38,'Names for Vlookup'!$B$8:$C$21,2,FALSE)</f>
        <v>Deer velvet (frozen)</v>
      </c>
      <c r="F38" s="16" t="str">
        <f>VLOOKUP(O38,'Names for Vlookup'!$B$2:$C$5,2,FALSE)</f>
        <v>New Zealand</v>
      </c>
      <c r="G38" s="16" t="str">
        <f>VLOOKUP(P38,'Names for Vlookup'!$B$2:$C$5,2,FALSE)</f>
        <v>New Zealand</v>
      </c>
      <c r="H38" s="33" t="s">
        <v>88</v>
      </c>
      <c r="I38" s="33" t="s">
        <v>72</v>
      </c>
      <c r="J38" s="33" t="s">
        <v>89</v>
      </c>
      <c r="K38" s="33" t="s">
        <v>74</v>
      </c>
      <c r="L38" s="33" t="s">
        <v>38</v>
      </c>
      <c r="M38" s="34">
        <v>46037</v>
      </c>
      <c r="N38" s="33" t="s">
        <v>66</v>
      </c>
      <c r="O38" s="35" t="s">
        <v>67</v>
      </c>
      <c r="P38" s="35" t="s">
        <v>67</v>
      </c>
    </row>
    <row r="39" spans="1:16" ht="14" x14ac:dyDescent="0.2">
      <c r="A39" s="13">
        <f t="shared" si="18"/>
        <v>2026</v>
      </c>
      <c r="B39" s="13" t="str">
        <f t="shared" si="19"/>
        <v>01</v>
      </c>
      <c r="C39" s="13" t="str">
        <f t="shared" si="20"/>
        <v>09</v>
      </c>
      <c r="D39" s="16" t="str">
        <f>VLOOKUP(H39,'Names for Vlookup'!$B$26:$C$94,2,FALSE)</f>
        <v>Geonhyang Pharm.</v>
      </c>
      <c r="E39" s="16" t="str">
        <f>VLOOKUP(K39,'Names for Vlookup'!$B$8:$C$21,2,FALSE)</f>
        <v>Deer velvet (dried)</v>
      </c>
      <c r="F39" s="16" t="str">
        <f>VLOOKUP(O39,'Names for Vlookup'!$B$2:$C$5,2,FALSE)</f>
        <v>Russia</v>
      </c>
      <c r="G39" s="16" t="str">
        <f>VLOOKUP(P39,'Names for Vlookup'!$B$2:$C$5,2,FALSE)</f>
        <v>Russia</v>
      </c>
      <c r="H39" s="33" t="s">
        <v>93</v>
      </c>
      <c r="I39" s="33" t="s">
        <v>64</v>
      </c>
      <c r="J39" s="33" t="s">
        <v>94</v>
      </c>
      <c r="K39" s="33" t="s">
        <v>64</v>
      </c>
      <c r="L39" s="33" t="s">
        <v>42</v>
      </c>
      <c r="M39" s="34">
        <v>46031</v>
      </c>
      <c r="N39" s="33" t="s">
        <v>66</v>
      </c>
      <c r="O39" s="35" t="s">
        <v>95</v>
      </c>
      <c r="P39" s="35" t="s">
        <v>95</v>
      </c>
    </row>
    <row r="40" spans="1:16" ht="14" x14ac:dyDescent="0.2">
      <c r="A40" s="13">
        <f t="shared" si="18"/>
        <v>2026</v>
      </c>
      <c r="B40" s="13" t="str">
        <f t="shared" si="19"/>
        <v>01</v>
      </c>
      <c r="C40" s="13" t="str">
        <f t="shared" si="20"/>
        <v>09</v>
      </c>
      <c r="D40" s="16" t="str">
        <f>VLOOKUP(H40,'Names for Vlookup'!$B$26:$C$94,2,FALSE)</f>
        <v>Bio Dot (Han Dong Herb)</v>
      </c>
      <c r="E40" s="16" t="str">
        <f>VLOOKUP(K40,'Names for Vlookup'!$B$8:$C$21,2,FALSE)</f>
        <v>Deer velvet (frozen)</v>
      </c>
      <c r="F40" s="16" t="str">
        <f>VLOOKUP(O40,'Names for Vlookup'!$B$2:$C$5,2,FALSE)</f>
        <v>New Zealand</v>
      </c>
      <c r="G40" s="16" t="str">
        <f>VLOOKUP(P40,'Names for Vlookup'!$B$2:$C$5,2,FALSE)</f>
        <v>New Zealand</v>
      </c>
      <c r="H40" s="33" t="s">
        <v>86</v>
      </c>
      <c r="I40" s="33" t="s">
        <v>76</v>
      </c>
      <c r="J40" s="33" t="s">
        <v>73</v>
      </c>
      <c r="K40" s="33" t="s">
        <v>74</v>
      </c>
      <c r="L40" s="33" t="s">
        <v>35</v>
      </c>
      <c r="M40" s="34">
        <v>46031</v>
      </c>
      <c r="N40" s="33" t="s">
        <v>96</v>
      </c>
      <c r="O40" s="35" t="s">
        <v>67</v>
      </c>
      <c r="P40" s="35" t="s">
        <v>67</v>
      </c>
    </row>
    <row r="41" spans="1:16" ht="14" x14ac:dyDescent="0.2">
      <c r="A41" s="13">
        <f t="shared" si="18"/>
        <v>2025</v>
      </c>
      <c r="B41" s="13" t="str">
        <f t="shared" si="19"/>
        <v>12</v>
      </c>
      <c r="C41" s="13" t="str">
        <f t="shared" si="20"/>
        <v>15</v>
      </c>
      <c r="D41" s="16" t="str">
        <f>VLOOKUP(H41,'Names for Vlookup'!$B$26:$C$94,2,FALSE)</f>
        <v>HwaYong Pharm.</v>
      </c>
      <c r="E41" s="16" t="str">
        <f>VLOOKUP(K41,'Names for Vlookup'!$B$8:$C$21,2,FALSE)</f>
        <v>Deer velvet (dried)</v>
      </c>
      <c r="F41" s="16" t="str">
        <f>VLOOKUP(O41,'Names for Vlookup'!$B$2:$C$5,2,FALSE)</f>
        <v>New Zealand</v>
      </c>
      <c r="G41" s="16" t="str">
        <f>VLOOKUP(P41,'Names for Vlookup'!$B$2:$C$5,2,FALSE)</f>
        <v>China</v>
      </c>
      <c r="H41" s="33" t="s">
        <v>80</v>
      </c>
      <c r="I41" s="33" t="s">
        <v>62</v>
      </c>
      <c r="J41" s="33" t="s">
        <v>63</v>
      </c>
      <c r="K41" s="33" t="s">
        <v>64</v>
      </c>
      <c r="L41" s="33" t="s">
        <v>97</v>
      </c>
      <c r="M41" s="34">
        <v>46006</v>
      </c>
      <c r="N41" s="33" t="s">
        <v>66</v>
      </c>
      <c r="O41" s="35" t="s">
        <v>67</v>
      </c>
      <c r="P41" s="35" t="s">
        <v>68</v>
      </c>
    </row>
    <row r="42" spans="1:16" ht="14" x14ac:dyDescent="0.2">
      <c r="A42" s="13">
        <f t="shared" si="18"/>
        <v>2025</v>
      </c>
      <c r="B42" s="13" t="str">
        <f t="shared" si="19"/>
        <v>12</v>
      </c>
      <c r="C42" s="13" t="str">
        <f t="shared" si="20"/>
        <v>15</v>
      </c>
      <c r="D42" s="16" t="str">
        <f>VLOOKUP(H42,'Names for Vlookup'!$B$26:$C$94,2,FALSE)</f>
        <v>YongBo (Mr. Woljin Kim)</v>
      </c>
      <c r="E42" s="16" t="str">
        <f>VLOOKUP(K42,'Names for Vlookup'!$B$8:$C$21,2,FALSE)</f>
        <v>Deer velvet (dried)</v>
      </c>
      <c r="F42" s="16" t="str">
        <f>VLOOKUP(O42,'Names for Vlookup'!$B$2:$C$5,2,FALSE)</f>
        <v>New Zealand</v>
      </c>
      <c r="G42" s="16" t="str">
        <f>VLOOKUP(P42,'Names for Vlookup'!$B$2:$C$5,2,FALSE)</f>
        <v>China</v>
      </c>
      <c r="H42" s="33" t="s">
        <v>98</v>
      </c>
      <c r="I42" s="33" t="s">
        <v>64</v>
      </c>
      <c r="J42" s="33" t="s">
        <v>70</v>
      </c>
      <c r="K42" s="33" t="s">
        <v>64</v>
      </c>
      <c r="L42" s="33" t="s">
        <v>33</v>
      </c>
      <c r="M42" s="34">
        <v>46006</v>
      </c>
      <c r="N42" s="33" t="s">
        <v>66</v>
      </c>
      <c r="O42" s="35" t="s">
        <v>67</v>
      </c>
      <c r="P42" s="35" t="s">
        <v>68</v>
      </c>
    </row>
    <row r="43" spans="1:16" ht="14" x14ac:dyDescent="0.2">
      <c r="A43" s="13">
        <f t="shared" si="18"/>
        <v>2025</v>
      </c>
      <c r="B43" s="13" t="str">
        <f t="shared" si="19"/>
        <v>12</v>
      </c>
      <c r="C43" s="13" t="str">
        <f t="shared" si="20"/>
        <v>10</v>
      </c>
      <c r="D43" s="16" t="str">
        <f>VLOOKUP(H43,'Names for Vlookup'!$B$26:$C$94,2,FALSE)</f>
        <v>HwaYong Pharm.</v>
      </c>
      <c r="E43" s="16" t="str">
        <f>VLOOKUP(K43,'Names for Vlookup'!$B$8:$C$21,2,FALSE)</f>
        <v>Deer velvet (frozen)</v>
      </c>
      <c r="F43" s="16" t="str">
        <f>VLOOKUP(O43,'Names for Vlookup'!$B$2:$C$5,2,FALSE)</f>
        <v>New Zealand</v>
      </c>
      <c r="G43" s="16" t="str">
        <f>VLOOKUP(P43,'Names for Vlookup'!$B$2:$C$5,2,FALSE)</f>
        <v>New Zealand</v>
      </c>
      <c r="H43" s="33" t="s">
        <v>80</v>
      </c>
      <c r="I43" s="33" t="s">
        <v>74</v>
      </c>
      <c r="J43" s="33" t="s">
        <v>81</v>
      </c>
      <c r="K43" s="33" t="s">
        <v>74</v>
      </c>
      <c r="L43" s="33" t="s">
        <v>36</v>
      </c>
      <c r="M43" s="34">
        <v>46001</v>
      </c>
      <c r="N43" s="33" t="s">
        <v>66</v>
      </c>
      <c r="O43" s="35" t="s">
        <v>67</v>
      </c>
      <c r="P43" s="35" t="s">
        <v>67</v>
      </c>
    </row>
    <row r="44" spans="1:16" ht="14" x14ac:dyDescent="0.2">
      <c r="A44" s="13">
        <f t="shared" si="18"/>
        <v>2025</v>
      </c>
      <c r="B44" s="13" t="str">
        <f t="shared" si="19"/>
        <v>12</v>
      </c>
      <c r="C44" s="13" t="str">
        <f t="shared" si="20"/>
        <v>10</v>
      </c>
      <c r="D44" s="16" t="str">
        <f>VLOOKUP(H44,'Names for Vlookup'!$B$26:$C$94,2,FALSE)</f>
        <v>KNC Deertrade</v>
      </c>
      <c r="E44" s="16" t="str">
        <f>VLOOKUP(K44,'Names for Vlookup'!$B$8:$C$21,2,FALSE)</f>
        <v>Deer velvet (frozen)</v>
      </c>
      <c r="F44" s="16" t="str">
        <f>VLOOKUP(O44,'Names for Vlookup'!$B$2:$C$5,2,FALSE)</f>
        <v>New Zealand</v>
      </c>
      <c r="G44" s="16" t="str">
        <f>VLOOKUP(P44,'Names for Vlookup'!$B$2:$C$5,2,FALSE)</f>
        <v>New Zealand</v>
      </c>
      <c r="H44" s="33" t="s">
        <v>75</v>
      </c>
      <c r="I44" s="33" t="s">
        <v>74</v>
      </c>
      <c r="J44" s="33" t="s">
        <v>73</v>
      </c>
      <c r="K44" s="33" t="s">
        <v>74</v>
      </c>
      <c r="L44" s="33" t="s">
        <v>40</v>
      </c>
      <c r="M44" s="34">
        <v>46001</v>
      </c>
      <c r="N44" s="33" t="s">
        <v>66</v>
      </c>
      <c r="O44" s="35" t="s">
        <v>67</v>
      </c>
      <c r="P44" s="35" t="s">
        <v>67</v>
      </c>
    </row>
    <row r="45" spans="1:16" ht="14" x14ac:dyDescent="0.2">
      <c r="A45" s="13">
        <f t="shared" si="18"/>
        <v>2025</v>
      </c>
      <c r="B45" s="13" t="str">
        <f t="shared" si="19"/>
        <v>12</v>
      </c>
      <c r="C45" s="13" t="str">
        <f t="shared" si="20"/>
        <v>08</v>
      </c>
      <c r="D45" s="16" t="str">
        <f>VLOOKUP(H45,'Names for Vlookup'!$B$26:$C$94,2,FALSE)</f>
        <v>Yujin Trade</v>
      </c>
      <c r="E45" s="16" t="str">
        <f>VLOOKUP(K45,'Names for Vlookup'!$B$8:$C$21,2,FALSE)</f>
        <v>Deer velvet (dried)</v>
      </c>
      <c r="F45" s="16" t="str">
        <f>VLOOKUP(O45,'Names for Vlookup'!$B$2:$C$5,2,FALSE)</f>
        <v>New Zealand</v>
      </c>
      <c r="G45" s="16" t="str">
        <f>VLOOKUP(P45,'Names for Vlookup'!$B$2:$C$5,2,FALSE)</f>
        <v>China</v>
      </c>
      <c r="H45" s="33" t="s">
        <v>91</v>
      </c>
      <c r="I45" s="33" t="s">
        <v>64</v>
      </c>
      <c r="J45" s="33" t="s">
        <v>94</v>
      </c>
      <c r="K45" s="33" t="s">
        <v>64</v>
      </c>
      <c r="L45" s="33" t="s">
        <v>32</v>
      </c>
      <c r="M45" s="34">
        <v>45999</v>
      </c>
      <c r="N45" s="33" t="s">
        <v>66</v>
      </c>
      <c r="O45" s="35" t="s">
        <v>67</v>
      </c>
      <c r="P45" s="35" t="s">
        <v>68</v>
      </c>
    </row>
    <row r="46" spans="1:16" ht="14" x14ac:dyDescent="0.2">
      <c r="A46" s="13">
        <f t="shared" si="18"/>
        <v>2025</v>
      </c>
      <c r="B46" s="13" t="str">
        <f t="shared" si="19"/>
        <v>12</v>
      </c>
      <c r="C46" s="13" t="str">
        <f t="shared" si="20"/>
        <v>04</v>
      </c>
      <c r="D46" s="16" t="str">
        <f>VLOOKUP(H46,'Names for Vlookup'!$B$26:$C$94,2,FALSE)</f>
        <v xml:space="preserve">JoEun Pharm </v>
      </c>
      <c r="E46" s="16" t="str">
        <f>VLOOKUP(K46,'Names for Vlookup'!$B$8:$C$21,2,FALSE)</f>
        <v>Deer velvet (dried)</v>
      </c>
      <c r="F46" s="16" t="str">
        <f>VLOOKUP(O46,'Names for Vlookup'!$B$2:$C$5,2,FALSE)</f>
        <v>Russia</v>
      </c>
      <c r="G46" s="16" t="str">
        <f>VLOOKUP(P46,'Names for Vlookup'!$B$2:$C$5,2,FALSE)</f>
        <v>Russia</v>
      </c>
      <c r="H46" s="33" t="s">
        <v>99</v>
      </c>
      <c r="I46" s="33" t="s">
        <v>62</v>
      </c>
      <c r="J46" s="33" t="s">
        <v>63</v>
      </c>
      <c r="K46" s="33" t="s">
        <v>64</v>
      </c>
      <c r="L46" s="33" t="s">
        <v>100</v>
      </c>
      <c r="M46" s="34">
        <v>45995</v>
      </c>
      <c r="N46" s="33" t="s">
        <v>66</v>
      </c>
      <c r="O46" s="35" t="s">
        <v>95</v>
      </c>
      <c r="P46" s="35" t="s">
        <v>95</v>
      </c>
    </row>
    <row r="47" spans="1:16" ht="14" x14ac:dyDescent="0.2">
      <c r="A47" s="13">
        <f t="shared" ref="A47:A53" si="21">YEAR(M47)</f>
        <v>2025</v>
      </c>
      <c r="B47" s="13" t="str">
        <f t="shared" ref="B47:B53" si="22">TEXT(M47,"mm")</f>
        <v>11</v>
      </c>
      <c r="C47" s="13" t="str">
        <f t="shared" ref="C47:C53" si="23">TEXT(M47,"dd")</f>
        <v>28</v>
      </c>
      <c r="D47" s="16" t="str">
        <f>VLOOKUP(H47,'Names for Vlookup'!$B$26:$C$94,2,FALSE)</f>
        <v xml:space="preserve">WooSung (Mr Bang) </v>
      </c>
      <c r="E47" s="16" t="str">
        <f>VLOOKUP(K47,'Names for Vlookup'!$B$8:$C$21,2,FALSE)</f>
        <v>Deer velvet (dried)</v>
      </c>
      <c r="F47" s="16" t="str">
        <f>VLOOKUP(O47,'Names for Vlookup'!$B$2:$C$5,2,FALSE)</f>
        <v>New Zealand</v>
      </c>
      <c r="G47" s="16" t="str">
        <f>VLOOKUP(P47,'Names for Vlookup'!$B$2:$C$5,2,FALSE)</f>
        <v>China</v>
      </c>
      <c r="H47" s="16" t="s">
        <v>69</v>
      </c>
      <c r="I47" s="16" t="s">
        <v>64</v>
      </c>
      <c r="J47" s="16" t="s">
        <v>70</v>
      </c>
      <c r="K47" s="16" t="s">
        <v>64</v>
      </c>
      <c r="L47" s="16" t="s">
        <v>33</v>
      </c>
      <c r="M47" s="32">
        <v>45989</v>
      </c>
      <c r="N47" s="16" t="s">
        <v>66</v>
      </c>
      <c r="O47" s="28" t="s">
        <v>67</v>
      </c>
      <c r="P47" s="28" t="s">
        <v>68</v>
      </c>
    </row>
    <row r="48" spans="1:16" ht="14" x14ac:dyDescent="0.2">
      <c r="A48" s="13">
        <f t="shared" si="21"/>
        <v>2025</v>
      </c>
      <c r="B48" s="13" t="str">
        <f t="shared" si="22"/>
        <v>11</v>
      </c>
      <c r="C48" s="13" t="str">
        <f t="shared" si="23"/>
        <v>20</v>
      </c>
      <c r="D48" s="16" t="str">
        <f>VLOOKUP(H48,'Names for Vlookup'!$B$26:$C$94,2,FALSE)</f>
        <v>OnBio</v>
      </c>
      <c r="E48" s="16" t="str">
        <f>VLOOKUP(K48,'Names for Vlookup'!$B$8:$C$21,2,FALSE)</f>
        <v>Deer velvet (dried)</v>
      </c>
      <c r="F48" s="16" t="str">
        <f>VLOOKUP(O48,'Names for Vlookup'!$B$2:$C$5,2,FALSE)</f>
        <v>New Zealand</v>
      </c>
      <c r="G48" s="16" t="str">
        <f>VLOOKUP(P48,'Names for Vlookup'!$B$2:$C$5,2,FALSE)</f>
        <v>China</v>
      </c>
      <c r="H48" s="16" t="s">
        <v>82</v>
      </c>
      <c r="I48" s="16" t="s">
        <v>64</v>
      </c>
      <c r="J48" s="16" t="s">
        <v>70</v>
      </c>
      <c r="K48" s="16" t="s">
        <v>64</v>
      </c>
      <c r="L48" s="16" t="s">
        <v>97</v>
      </c>
      <c r="M48" s="32">
        <v>45981</v>
      </c>
      <c r="N48" s="16" t="s">
        <v>66</v>
      </c>
      <c r="O48" s="28" t="s">
        <v>67</v>
      </c>
      <c r="P48" s="28" t="s">
        <v>68</v>
      </c>
    </row>
    <row r="49" spans="1:16" ht="14" x14ac:dyDescent="0.2">
      <c r="A49" s="13">
        <f t="shared" si="21"/>
        <v>2025</v>
      </c>
      <c r="B49" s="13" t="str">
        <f t="shared" si="22"/>
        <v>11</v>
      </c>
      <c r="C49" s="13" t="str">
        <f t="shared" si="23"/>
        <v>14</v>
      </c>
      <c r="D49" s="16" t="str">
        <f>VLOOKUP(H49,'Names for Vlookup'!$B$26:$C$94,2,FALSE)</f>
        <v>Eryong Pharm.</v>
      </c>
      <c r="E49" s="16" t="str">
        <f>VLOOKUP(K49,'Names for Vlookup'!$B$8:$C$21,2,FALSE)</f>
        <v>Deer velvet (frozen)</v>
      </c>
      <c r="F49" s="16" t="str">
        <f>VLOOKUP(O49,'Names for Vlookup'!$B$2:$C$5,2,FALSE)</f>
        <v>New Zealand</v>
      </c>
      <c r="G49" s="16" t="str">
        <f>VLOOKUP(P49,'Names for Vlookup'!$B$2:$C$5,2,FALSE)</f>
        <v>New Zealand</v>
      </c>
      <c r="H49" s="16" t="s">
        <v>92</v>
      </c>
      <c r="I49" s="16" t="s">
        <v>74</v>
      </c>
      <c r="J49" s="16" t="s">
        <v>81</v>
      </c>
      <c r="K49" s="16" t="s">
        <v>74</v>
      </c>
      <c r="L49" s="16" t="s">
        <v>101</v>
      </c>
      <c r="M49" s="32">
        <v>45975</v>
      </c>
      <c r="N49" s="16" t="s">
        <v>66</v>
      </c>
      <c r="O49" s="28" t="s">
        <v>67</v>
      </c>
      <c r="P49" s="28" t="s">
        <v>67</v>
      </c>
    </row>
    <row r="50" spans="1:16" ht="14" x14ac:dyDescent="0.2">
      <c r="A50" s="13">
        <f t="shared" si="21"/>
        <v>2025</v>
      </c>
      <c r="B50" s="13" t="str">
        <f t="shared" si="22"/>
        <v>11</v>
      </c>
      <c r="C50" s="13" t="str">
        <f t="shared" si="23"/>
        <v>11</v>
      </c>
      <c r="D50" s="16" t="str">
        <f>VLOOKUP(H50,'Names for Vlookup'!$B$26:$C$94,2,FALSE)</f>
        <v>DaeWon RTD</v>
      </c>
      <c r="E50" s="16" t="str">
        <f>VLOOKUP(K50,'Names for Vlookup'!$B$8:$C$21,2,FALSE)</f>
        <v>Deer velvet (dried)</v>
      </c>
      <c r="F50" s="16" t="str">
        <f>VLOOKUP(O50,'Names for Vlookup'!$B$2:$C$5,2,FALSE)</f>
        <v>Russia</v>
      </c>
      <c r="G50" s="16" t="str">
        <f>VLOOKUP(P50,'Names for Vlookup'!$B$2:$C$5,2,FALSE)</f>
        <v>Russia</v>
      </c>
      <c r="H50" s="16" t="s">
        <v>102</v>
      </c>
      <c r="I50" s="16" t="s">
        <v>64</v>
      </c>
      <c r="J50" s="16" t="s">
        <v>94</v>
      </c>
      <c r="K50" s="16" t="s">
        <v>64</v>
      </c>
      <c r="L50" s="16" t="s">
        <v>103</v>
      </c>
      <c r="M50" s="32">
        <v>45972</v>
      </c>
      <c r="N50" s="16" t="s">
        <v>66</v>
      </c>
      <c r="O50" s="28" t="s">
        <v>95</v>
      </c>
      <c r="P50" s="28" t="s">
        <v>95</v>
      </c>
    </row>
    <row r="51" spans="1:16" ht="14" x14ac:dyDescent="0.2">
      <c r="A51" s="13">
        <f t="shared" si="21"/>
        <v>2025</v>
      </c>
      <c r="B51" s="13" t="str">
        <f t="shared" si="22"/>
        <v>11</v>
      </c>
      <c r="C51" s="13" t="str">
        <f t="shared" si="23"/>
        <v>11</v>
      </c>
      <c r="D51" s="16" t="str">
        <f>VLOOKUP(H51,'Names for Vlookup'!$B$26:$C$94,2,FALSE)</f>
        <v>Heungsoo Nogyong</v>
      </c>
      <c r="E51" s="16" t="str">
        <f>VLOOKUP(K51,'Names for Vlookup'!$B$8:$C$21,2,FALSE)</f>
        <v>Deer velvet (dried)</v>
      </c>
      <c r="F51" s="16" t="str">
        <f>VLOOKUP(O51,'Names for Vlookup'!$B$2:$C$5,2,FALSE)</f>
        <v>Russia</v>
      </c>
      <c r="G51" s="16" t="str">
        <f>VLOOKUP(P51,'Names for Vlookup'!$B$2:$C$5,2,FALSE)</f>
        <v>Russia</v>
      </c>
      <c r="H51" s="16" t="s">
        <v>104</v>
      </c>
      <c r="I51" s="16" t="s">
        <v>64</v>
      </c>
      <c r="J51" s="16" t="s">
        <v>105</v>
      </c>
      <c r="K51" s="16" t="s">
        <v>64</v>
      </c>
      <c r="L51" s="16" t="s">
        <v>103</v>
      </c>
      <c r="M51" s="32">
        <v>45972</v>
      </c>
      <c r="N51" s="16" t="s">
        <v>66</v>
      </c>
      <c r="O51" s="28" t="s">
        <v>95</v>
      </c>
      <c r="P51" s="28" t="s">
        <v>95</v>
      </c>
    </row>
    <row r="52" spans="1:16" ht="14" x14ac:dyDescent="0.2">
      <c r="A52" s="13">
        <f t="shared" si="21"/>
        <v>2025</v>
      </c>
      <c r="B52" s="13" t="str">
        <f t="shared" si="22"/>
        <v>10</v>
      </c>
      <c r="C52" s="13" t="str">
        <f t="shared" si="23"/>
        <v>23</v>
      </c>
      <c r="D52" s="16" t="str">
        <f>VLOOKUP(H52,'Names for Vlookup'!$B$26:$C$94,2,FALSE)</f>
        <v>Eryong Pharm.</v>
      </c>
      <c r="E52" s="16" t="str">
        <f>VLOOKUP(K52,'Names for Vlookup'!$B$8:$C$21,2,FALSE)</f>
        <v>Deer velvet (dried)</v>
      </c>
      <c r="F52" s="16" t="str">
        <f>VLOOKUP(O52,'Names for Vlookup'!$B$2:$C$5,2,FALSE)</f>
        <v>New Zealand</v>
      </c>
      <c r="G52" s="16" t="str">
        <f>VLOOKUP(P52,'Names for Vlookup'!$B$2:$C$5,2,FALSE)</f>
        <v>China</v>
      </c>
      <c r="H52" s="16" t="s">
        <v>92</v>
      </c>
      <c r="I52" s="16" t="s">
        <v>62</v>
      </c>
      <c r="J52" s="16" t="s">
        <v>63</v>
      </c>
      <c r="K52" s="16" t="s">
        <v>64</v>
      </c>
      <c r="L52" s="16" t="s">
        <v>106</v>
      </c>
      <c r="M52" s="32">
        <v>45953</v>
      </c>
      <c r="N52" s="16" t="s">
        <v>107</v>
      </c>
      <c r="O52" s="28" t="s">
        <v>67</v>
      </c>
      <c r="P52" s="28" t="s">
        <v>68</v>
      </c>
    </row>
    <row r="53" spans="1:16" ht="14" x14ac:dyDescent="0.2">
      <c r="A53" s="13">
        <f t="shared" si="21"/>
        <v>2025</v>
      </c>
      <c r="B53" s="13" t="str">
        <f t="shared" si="22"/>
        <v>10</v>
      </c>
      <c r="C53" s="13" t="str">
        <f t="shared" si="23"/>
        <v>23</v>
      </c>
      <c r="D53" s="16" t="str">
        <f>VLOOKUP(H53,'Names for Vlookup'!$B$26:$C$94,2,FALSE)</f>
        <v>KNC Deertrade</v>
      </c>
      <c r="E53" s="16" t="str">
        <f>VLOOKUP(K53,'Names for Vlookup'!$B$8:$C$21,2,FALSE)</f>
        <v>Deer velvet (frozen)</v>
      </c>
      <c r="F53" s="16" t="str">
        <f>VLOOKUP(O53,'Names for Vlookup'!$B$2:$C$5,2,FALSE)</f>
        <v>New Zealand</v>
      </c>
      <c r="G53" s="16" t="str">
        <f>VLOOKUP(P53,'Names for Vlookup'!$B$2:$C$5,2,FALSE)</f>
        <v>New Zealand</v>
      </c>
      <c r="H53" s="16" t="s">
        <v>75</v>
      </c>
      <c r="I53" s="16" t="s">
        <v>76</v>
      </c>
      <c r="J53" s="16" t="s">
        <v>73</v>
      </c>
      <c r="K53" s="16" t="s">
        <v>74</v>
      </c>
      <c r="L53" s="16" t="s">
        <v>101</v>
      </c>
      <c r="M53" s="32">
        <v>45953</v>
      </c>
      <c r="N53" s="16" t="s">
        <v>108</v>
      </c>
      <c r="O53" s="28" t="s">
        <v>67</v>
      </c>
      <c r="P53" s="28" t="s">
        <v>67</v>
      </c>
    </row>
    <row r="54" spans="1:16" ht="14" x14ac:dyDescent="0.2">
      <c r="A54" s="13">
        <f t="shared" ref="A54:A61" si="24">YEAR(M54)</f>
        <v>2025</v>
      </c>
      <c r="B54" s="13" t="str">
        <f t="shared" ref="B54:B61" si="25">TEXT(M54,"mm")</f>
        <v>09</v>
      </c>
      <c r="C54" s="13" t="str">
        <f t="shared" ref="C54:C61" si="26">TEXT(M54,"dd")</f>
        <v>23</v>
      </c>
      <c r="D54" s="16" t="str">
        <f>VLOOKUP(H54,'Names for Vlookup'!$B$26:$C$94,2,FALSE)</f>
        <v>KGC</v>
      </c>
      <c r="E54" s="16" t="str">
        <f>VLOOKUP(K54,'Names for Vlookup'!$B$8:$C$21,2,FALSE)</f>
        <v>Deer velvet (dried)</v>
      </c>
      <c r="F54" s="16" t="str">
        <f>VLOOKUP(O54,'Names for Vlookup'!$B$2:$C$5,2,FALSE)</f>
        <v>New Zealand</v>
      </c>
      <c r="G54" s="16" t="str">
        <f>VLOOKUP(P54,'Names for Vlookup'!$B$2:$C$5,2,FALSE)</f>
        <v>New Zealand</v>
      </c>
      <c r="H54" s="16" t="s">
        <v>90</v>
      </c>
      <c r="I54" s="16" t="s">
        <v>64</v>
      </c>
      <c r="J54" s="16" t="s">
        <v>70</v>
      </c>
      <c r="K54" s="16" t="s">
        <v>64</v>
      </c>
      <c r="L54" s="16" t="s">
        <v>37</v>
      </c>
      <c r="M54" s="16" t="s">
        <v>109</v>
      </c>
      <c r="N54" s="16" t="s">
        <v>66</v>
      </c>
      <c r="O54" s="28" t="s">
        <v>67</v>
      </c>
      <c r="P54" s="28" t="s">
        <v>67</v>
      </c>
    </row>
    <row r="55" spans="1:16" ht="14" x14ac:dyDescent="0.2">
      <c r="A55" s="13">
        <f t="shared" si="24"/>
        <v>2025</v>
      </c>
      <c r="B55" s="13" t="str">
        <f t="shared" si="25"/>
        <v>09</v>
      </c>
      <c r="C55" s="13" t="str">
        <f t="shared" si="26"/>
        <v>23</v>
      </c>
      <c r="D55" s="16" t="str">
        <f>VLOOKUP(H55,'Names for Vlookup'!$B$26:$C$94,2,FALSE)</f>
        <v>OnBio</v>
      </c>
      <c r="E55" s="16" t="str">
        <f>VLOOKUP(K55,'Names for Vlookup'!$B$8:$C$21,2,FALSE)</f>
        <v>Deer velvet (dried)</v>
      </c>
      <c r="F55" s="16" t="str">
        <f>VLOOKUP(O55,'Names for Vlookup'!$B$2:$C$5,2,FALSE)</f>
        <v>New Zealand</v>
      </c>
      <c r="G55" s="16" t="str">
        <f>VLOOKUP(P55,'Names for Vlookup'!$B$2:$C$5,2,FALSE)</f>
        <v>China</v>
      </c>
      <c r="H55" s="16" t="s">
        <v>82</v>
      </c>
      <c r="I55" s="16" t="s">
        <v>64</v>
      </c>
      <c r="J55" s="16" t="s">
        <v>70</v>
      </c>
      <c r="K55" s="16" t="s">
        <v>64</v>
      </c>
      <c r="L55" s="16" t="s">
        <v>34</v>
      </c>
      <c r="M55" s="16" t="s">
        <v>109</v>
      </c>
      <c r="N55" s="16" t="s">
        <v>66</v>
      </c>
      <c r="O55" s="28" t="s">
        <v>67</v>
      </c>
      <c r="P55" s="28" t="s">
        <v>68</v>
      </c>
    </row>
    <row r="56" spans="1:16" ht="14" x14ac:dyDescent="0.2">
      <c r="A56" s="13">
        <f t="shared" si="24"/>
        <v>2025</v>
      </c>
      <c r="B56" s="13" t="str">
        <f t="shared" si="25"/>
        <v>09</v>
      </c>
      <c r="C56" s="13" t="str">
        <f t="shared" si="26"/>
        <v>09</v>
      </c>
      <c r="D56" s="16" t="str">
        <f>VLOOKUP(H56,'Names for Vlookup'!$B$26:$C$94,2,FALSE)</f>
        <v>KGC</v>
      </c>
      <c r="E56" s="16" t="str">
        <f>VLOOKUP(K56,'Names for Vlookup'!$B$8:$C$21,2,FALSE)</f>
        <v>Deer velvet (dried)</v>
      </c>
      <c r="F56" s="16" t="str">
        <f>VLOOKUP(O56,'Names for Vlookup'!$B$2:$C$5,2,FALSE)</f>
        <v>New Zealand</v>
      </c>
      <c r="G56" s="16" t="str">
        <f>VLOOKUP(P56,'Names for Vlookup'!$B$2:$C$5,2,FALSE)</f>
        <v>New Zealand</v>
      </c>
      <c r="H56" s="16" t="s">
        <v>90</v>
      </c>
      <c r="I56" s="16" t="s">
        <v>64</v>
      </c>
      <c r="J56" s="16" t="s">
        <v>70</v>
      </c>
      <c r="K56" s="16" t="s">
        <v>64</v>
      </c>
      <c r="L56" s="16" t="s">
        <v>101</v>
      </c>
      <c r="M56" s="16" t="s">
        <v>110</v>
      </c>
      <c r="N56" s="16" t="s">
        <v>66</v>
      </c>
      <c r="O56" s="28" t="s">
        <v>67</v>
      </c>
      <c r="P56" s="28" t="s">
        <v>67</v>
      </c>
    </row>
    <row r="57" spans="1:16" ht="14" x14ac:dyDescent="0.2">
      <c r="A57" s="13">
        <f t="shared" si="24"/>
        <v>2025</v>
      </c>
      <c r="B57" s="13" t="str">
        <f t="shared" si="25"/>
        <v>09</v>
      </c>
      <c r="C57" s="13" t="str">
        <f t="shared" si="26"/>
        <v>02</v>
      </c>
      <c r="D57" s="16" t="str">
        <f>VLOOKUP(H57,'Names for Vlookup'!$B$26:$C$94,2,FALSE)</f>
        <v>Hyangna Bio</v>
      </c>
      <c r="E57" s="16" t="str">
        <f>VLOOKUP(K57,'Names for Vlookup'!$B$8:$C$21,2,FALSE)</f>
        <v>Deer velvet (dried)</v>
      </c>
      <c r="F57" s="16" t="str">
        <f>VLOOKUP(O57,'Names for Vlookup'!$B$2:$C$5,2,FALSE)</f>
        <v>New Zealand</v>
      </c>
      <c r="G57" s="16" t="str">
        <f>VLOOKUP(P57,'Names for Vlookup'!$B$2:$C$5,2,FALSE)</f>
        <v>China</v>
      </c>
      <c r="H57" s="16" t="s">
        <v>111</v>
      </c>
      <c r="I57" s="16" t="s">
        <v>62</v>
      </c>
      <c r="J57" s="16" t="s">
        <v>63</v>
      </c>
      <c r="K57" s="16" t="s">
        <v>64</v>
      </c>
      <c r="L57" s="16" t="s">
        <v>97</v>
      </c>
      <c r="M57" s="16" t="s">
        <v>112</v>
      </c>
      <c r="N57" s="16" t="s">
        <v>66</v>
      </c>
      <c r="O57" s="28" t="s">
        <v>67</v>
      </c>
      <c r="P57" s="28" t="s">
        <v>68</v>
      </c>
    </row>
    <row r="58" spans="1:16" ht="14" x14ac:dyDescent="0.2">
      <c r="A58" s="13">
        <f t="shared" si="24"/>
        <v>2025</v>
      </c>
      <c r="B58" s="13" t="str">
        <f t="shared" si="25"/>
        <v>08</v>
      </c>
      <c r="C58" s="13" t="str">
        <f t="shared" si="26"/>
        <v>29</v>
      </c>
      <c r="D58" s="16" t="str">
        <f>VLOOKUP(H58,'Names for Vlookup'!$B$26:$C$94,2,FALSE)</f>
        <v>Yujin Trade</v>
      </c>
      <c r="E58" s="16" t="str">
        <f>VLOOKUP(K58,'Names for Vlookup'!$B$8:$C$21,2,FALSE)</f>
        <v>Deer velvet (dried)</v>
      </c>
      <c r="F58" s="16" t="str">
        <f>VLOOKUP(O58,'Names for Vlookup'!$B$2:$C$5,2,FALSE)</f>
        <v>New Zealand</v>
      </c>
      <c r="G58" s="16" t="str">
        <f>VLOOKUP(P58,'Names for Vlookup'!$B$2:$C$5,2,FALSE)</f>
        <v>China</v>
      </c>
      <c r="H58" s="16" t="s">
        <v>91</v>
      </c>
      <c r="I58" s="16" t="s">
        <v>64</v>
      </c>
      <c r="J58" s="16" t="s">
        <v>94</v>
      </c>
      <c r="K58" s="16" t="s">
        <v>64</v>
      </c>
      <c r="L58" s="16" t="s">
        <v>32</v>
      </c>
      <c r="M58" s="16" t="s">
        <v>113</v>
      </c>
      <c r="N58" s="16" t="s">
        <v>66</v>
      </c>
      <c r="O58" s="28" t="s">
        <v>67</v>
      </c>
      <c r="P58" s="28" t="s">
        <v>68</v>
      </c>
    </row>
    <row r="59" spans="1:16" ht="14" x14ac:dyDescent="0.2">
      <c r="A59" s="13">
        <f t="shared" si="24"/>
        <v>2025</v>
      </c>
      <c r="B59" s="13" t="str">
        <f t="shared" si="25"/>
        <v>08</v>
      </c>
      <c r="C59" s="13" t="str">
        <f t="shared" si="26"/>
        <v>27</v>
      </c>
      <c r="D59" s="16" t="str">
        <f>VLOOKUP(H59,'Names for Vlookup'!$B$26:$C$94,2,FALSE)</f>
        <v>Siberian Antlers Pharms Inc.</v>
      </c>
      <c r="E59" s="16" t="str">
        <f>VLOOKUP(K59,'Names for Vlookup'!$B$8:$C$21,2,FALSE)</f>
        <v>Deer velvet (dried)</v>
      </c>
      <c r="F59" s="16" t="str">
        <f>VLOOKUP(O59,'Names for Vlookup'!$B$2:$C$5,2,FALSE)</f>
        <v>Russia</v>
      </c>
      <c r="G59" s="16" t="str">
        <f>VLOOKUP(P59,'Names for Vlookup'!$B$2:$C$5,2,FALSE)</f>
        <v>Russia</v>
      </c>
      <c r="H59" s="28" t="s">
        <v>114</v>
      </c>
      <c r="I59" s="16" t="s">
        <v>64</v>
      </c>
      <c r="J59" s="16" t="s">
        <v>63</v>
      </c>
      <c r="K59" s="16" t="s">
        <v>64</v>
      </c>
      <c r="L59" s="16" t="s">
        <v>115</v>
      </c>
      <c r="M59" s="16" t="s">
        <v>116</v>
      </c>
      <c r="N59" s="16" t="s">
        <v>66</v>
      </c>
      <c r="O59" s="28" t="s">
        <v>95</v>
      </c>
      <c r="P59" s="28" t="s">
        <v>95</v>
      </c>
    </row>
    <row r="60" spans="1:16" ht="14" x14ac:dyDescent="0.2">
      <c r="A60" s="13">
        <f t="shared" si="24"/>
        <v>2025</v>
      </c>
      <c r="B60" s="13" t="str">
        <f t="shared" si="25"/>
        <v>07</v>
      </c>
      <c r="C60" s="13" t="str">
        <f t="shared" si="26"/>
        <v>01</v>
      </c>
      <c r="D60" s="16" t="str">
        <f>VLOOKUP(H60,'Names for Vlookup'!$B$26:$C$94,2,FALSE)</f>
        <v>Onnuri Bio</v>
      </c>
      <c r="E60" s="16" t="str">
        <f>VLOOKUP(K60,'Names for Vlookup'!$B$8:$C$21,2,FALSE)</f>
        <v>Deer velvet (dried)</v>
      </c>
      <c r="F60" s="16" t="str">
        <f>VLOOKUP(O60,'Names for Vlookup'!$B$2:$C$5,2,FALSE)</f>
        <v>New Zealand</v>
      </c>
      <c r="G60" s="16" t="str">
        <f>VLOOKUP(P60,'Names for Vlookup'!$B$2:$C$5,2,FALSE)</f>
        <v>China</v>
      </c>
      <c r="H60" s="16" t="s">
        <v>61</v>
      </c>
      <c r="I60" s="16" t="s">
        <v>62</v>
      </c>
      <c r="J60" s="16" t="s">
        <v>63</v>
      </c>
      <c r="K60" s="16" t="s">
        <v>64</v>
      </c>
      <c r="L60" s="16" t="s">
        <v>97</v>
      </c>
      <c r="M60" s="16" t="s">
        <v>117</v>
      </c>
      <c r="N60" s="16" t="s">
        <v>66</v>
      </c>
      <c r="O60" s="28" t="s">
        <v>67</v>
      </c>
      <c r="P60" s="28" t="s">
        <v>68</v>
      </c>
    </row>
    <row r="61" spans="1:16" ht="14" x14ac:dyDescent="0.2">
      <c r="A61" s="13">
        <f t="shared" si="24"/>
        <v>2025</v>
      </c>
      <c r="B61" s="13" t="str">
        <f t="shared" si="25"/>
        <v>06</v>
      </c>
      <c r="C61" s="13" t="str">
        <f t="shared" si="26"/>
        <v>26</v>
      </c>
      <c r="D61" s="16" t="str">
        <f>VLOOKUP(H61,'Names for Vlookup'!$B$26:$C$94,2,FALSE)</f>
        <v>HwaYong Pharm.</v>
      </c>
      <c r="E61" s="16" t="str">
        <f>VLOOKUP(K61,'Names for Vlookup'!$B$8:$C$21,2,FALSE)</f>
        <v>Deer velvet (frozen)</v>
      </c>
      <c r="F61" s="16" t="str">
        <f>VLOOKUP(O61,'Names for Vlookup'!$B$2:$C$5,2,FALSE)</f>
        <v>New Zealand</v>
      </c>
      <c r="G61" s="16" t="str">
        <f>VLOOKUP(P61,'Names for Vlookup'!$B$2:$C$5,2,FALSE)</f>
        <v>New Zealand</v>
      </c>
      <c r="H61" s="16" t="s">
        <v>80</v>
      </c>
      <c r="I61" s="16" t="s">
        <v>74</v>
      </c>
      <c r="J61" s="16" t="s">
        <v>81</v>
      </c>
      <c r="K61" s="16" t="s">
        <v>74</v>
      </c>
      <c r="L61" s="16" t="s">
        <v>36</v>
      </c>
      <c r="M61" s="16" t="s">
        <v>118</v>
      </c>
      <c r="N61" s="16" t="s">
        <v>66</v>
      </c>
      <c r="O61" s="28" t="s">
        <v>67</v>
      </c>
      <c r="P61" s="28" t="s">
        <v>67</v>
      </c>
    </row>
    <row r="62" spans="1:16" ht="14" x14ac:dyDescent="0.2">
      <c r="A62" s="13">
        <f t="shared" ref="A62:A70" si="27">YEAR(M62)</f>
        <v>2025</v>
      </c>
      <c r="B62" s="13" t="str">
        <f t="shared" ref="B62:B70" si="28">TEXT(M62,"mm")</f>
        <v>06</v>
      </c>
      <c r="C62" s="13" t="str">
        <f t="shared" ref="C62:C70" si="29">TEXT(M62,"dd")</f>
        <v>04</v>
      </c>
      <c r="D62" s="16" t="str">
        <f>VLOOKUP(H62,'Names for Vlookup'!$B$26:$C$94,2,FALSE)</f>
        <v>KNC Deertrade</v>
      </c>
      <c r="E62" s="16" t="str">
        <f>VLOOKUP(K62,'Names for Vlookup'!$B$8:$C$21,2,FALSE)</f>
        <v>Deer velvet (frozen)</v>
      </c>
      <c r="F62" s="16" t="str">
        <f>VLOOKUP(O62,'Names for Vlookup'!$B$2:$C$5,2,FALSE)</f>
        <v>New Zealand</v>
      </c>
      <c r="G62" s="16" t="str">
        <f>VLOOKUP(P62,'Names for Vlookup'!$B$2:$C$5,2,FALSE)</f>
        <v>New Zealand</v>
      </c>
      <c r="H62" s="16" t="s">
        <v>75</v>
      </c>
      <c r="I62" s="16" t="s">
        <v>74</v>
      </c>
      <c r="J62" s="16" t="s">
        <v>73</v>
      </c>
      <c r="K62" s="16" t="s">
        <v>74</v>
      </c>
      <c r="L62" s="16" t="s">
        <v>101</v>
      </c>
      <c r="M62" s="16" t="s">
        <v>119</v>
      </c>
      <c r="N62" s="16" t="s">
        <v>66</v>
      </c>
      <c r="O62" s="28" t="s">
        <v>67</v>
      </c>
      <c r="P62" s="28" t="s">
        <v>67</v>
      </c>
    </row>
    <row r="63" spans="1:16" ht="14" x14ac:dyDescent="0.2">
      <c r="A63" s="13">
        <f t="shared" si="27"/>
        <v>2025</v>
      </c>
      <c r="B63" s="13" t="str">
        <f t="shared" si="28"/>
        <v>06</v>
      </c>
      <c r="C63" s="13" t="str">
        <f t="shared" si="29"/>
        <v>04</v>
      </c>
      <c r="D63" s="16" t="str">
        <f>VLOOKUP(H63,'Names for Vlookup'!$B$26:$C$94,2,FALSE)</f>
        <v>YW International</v>
      </c>
      <c r="E63" s="16" t="str">
        <f>VLOOKUP(K63,'Names for Vlookup'!$B$8:$C$21,2,FALSE)</f>
        <v>Deer velvet (frozen)</v>
      </c>
      <c r="F63" s="16" t="str">
        <f>VLOOKUP(O63,'Names for Vlookup'!$B$2:$C$5,2,FALSE)</f>
        <v>New Zealand</v>
      </c>
      <c r="G63" s="16" t="str">
        <f>VLOOKUP(P63,'Names for Vlookup'!$B$2:$C$5,2,FALSE)</f>
        <v>New Zealand</v>
      </c>
      <c r="H63" s="16" t="s">
        <v>88</v>
      </c>
      <c r="I63" s="16" t="s">
        <v>72</v>
      </c>
      <c r="J63" s="16" t="s">
        <v>120</v>
      </c>
      <c r="K63" s="16" t="s">
        <v>74</v>
      </c>
      <c r="L63" s="16" t="s">
        <v>121</v>
      </c>
      <c r="M63" s="16" t="s">
        <v>119</v>
      </c>
      <c r="N63" s="16" t="s">
        <v>66</v>
      </c>
      <c r="O63" s="28" t="s">
        <v>67</v>
      </c>
      <c r="P63" s="28" t="s">
        <v>67</v>
      </c>
    </row>
    <row r="64" spans="1:16" ht="14" x14ac:dyDescent="0.2">
      <c r="A64" s="13">
        <f t="shared" si="27"/>
        <v>2025</v>
      </c>
      <c r="B64" s="13" t="str">
        <f t="shared" si="28"/>
        <v>05</v>
      </c>
      <c r="C64" s="13" t="str">
        <f t="shared" si="29"/>
        <v>27</v>
      </c>
      <c r="D64" s="16" t="str">
        <f>VLOOKUP(H64,'Names for Vlookup'!$B$26:$C$94,2,FALSE)</f>
        <v>Onnuri Bio</v>
      </c>
      <c r="E64" s="16" t="str">
        <f>VLOOKUP(K64,'Names for Vlookup'!$B$8:$C$21,2,FALSE)</f>
        <v>Deer velvet (dried)</v>
      </c>
      <c r="F64" s="16" t="str">
        <f>VLOOKUP(O64,'Names for Vlookup'!$B$2:$C$5,2,FALSE)</f>
        <v>Russia</v>
      </c>
      <c r="G64" s="16" t="str">
        <f>VLOOKUP(P64,'Names for Vlookup'!$B$2:$C$5,2,FALSE)</f>
        <v>Russia</v>
      </c>
      <c r="H64" s="16" t="s">
        <v>61</v>
      </c>
      <c r="I64" s="16" t="s">
        <v>62</v>
      </c>
      <c r="J64" s="16" t="s">
        <v>63</v>
      </c>
      <c r="K64" s="16" t="s">
        <v>64</v>
      </c>
      <c r="L64" s="16" t="s">
        <v>122</v>
      </c>
      <c r="M64" s="16" t="s">
        <v>123</v>
      </c>
      <c r="N64" s="16" t="s">
        <v>66</v>
      </c>
      <c r="O64" s="28" t="s">
        <v>95</v>
      </c>
      <c r="P64" s="28" t="s">
        <v>95</v>
      </c>
    </row>
    <row r="65" spans="1:16" ht="14" x14ac:dyDescent="0.2">
      <c r="A65" s="13">
        <f t="shared" si="27"/>
        <v>2025</v>
      </c>
      <c r="B65" s="13" t="str">
        <f t="shared" si="28"/>
        <v>05</v>
      </c>
      <c r="C65" s="13" t="str">
        <f t="shared" si="29"/>
        <v>22</v>
      </c>
      <c r="D65" s="16" t="str">
        <f>VLOOKUP(H65,'Names for Vlookup'!$B$26:$C$94,2,FALSE)</f>
        <v>Onnuri Bio</v>
      </c>
      <c r="E65" s="16" t="str">
        <f>VLOOKUP(K65,'Names for Vlookup'!$B$8:$C$21,2,FALSE)</f>
        <v>Deer velvet (frozen)</v>
      </c>
      <c r="F65" s="16" t="str">
        <f>VLOOKUP(O65,'Names for Vlookup'!$B$2:$C$5,2,FALSE)</f>
        <v>New Zealand</v>
      </c>
      <c r="G65" s="16" t="str">
        <f>VLOOKUP(P65,'Names for Vlookup'!$B$2:$C$5,2,FALSE)</f>
        <v>New Zealand</v>
      </c>
      <c r="H65" s="16" t="s">
        <v>61</v>
      </c>
      <c r="I65" s="16" t="s">
        <v>74</v>
      </c>
      <c r="J65" s="16" t="s">
        <v>81</v>
      </c>
      <c r="K65" s="16" t="s">
        <v>74</v>
      </c>
      <c r="L65" s="16" t="s">
        <v>101</v>
      </c>
      <c r="M65" s="16" t="s">
        <v>124</v>
      </c>
      <c r="N65" s="16" t="s">
        <v>66</v>
      </c>
      <c r="O65" s="28" t="s">
        <v>67</v>
      </c>
      <c r="P65" s="28" t="s">
        <v>67</v>
      </c>
    </row>
    <row r="66" spans="1:16" ht="14" x14ac:dyDescent="0.2">
      <c r="A66" s="13">
        <f t="shared" si="27"/>
        <v>2025</v>
      </c>
      <c r="B66" s="13" t="str">
        <f t="shared" si="28"/>
        <v>05</v>
      </c>
      <c r="C66" s="13" t="str">
        <f t="shared" si="29"/>
        <v>01</v>
      </c>
      <c r="D66" s="16" t="str">
        <f>VLOOKUP(H66,'Names for Vlookup'!$B$26:$C$94,2,FALSE)</f>
        <v>KNC Deertrade</v>
      </c>
      <c r="E66" s="16" t="str">
        <f>VLOOKUP(K66,'Names for Vlookup'!$B$8:$C$21,2,FALSE)</f>
        <v>Deer velvet (frozen)</v>
      </c>
      <c r="F66" s="16" t="str">
        <f>VLOOKUP(O66,'Names for Vlookup'!$B$2:$C$5,2,FALSE)</f>
        <v>New Zealand</v>
      </c>
      <c r="G66" s="16" t="str">
        <f>VLOOKUP(P66,'Names for Vlookup'!$B$2:$C$5,2,FALSE)</f>
        <v>New Zealand</v>
      </c>
      <c r="H66" s="16" t="s">
        <v>75</v>
      </c>
      <c r="I66" s="16" t="s">
        <v>74</v>
      </c>
      <c r="J66" s="16" t="s">
        <v>73</v>
      </c>
      <c r="K66" s="16" t="s">
        <v>74</v>
      </c>
      <c r="L66" s="16" t="s">
        <v>38</v>
      </c>
      <c r="M66" s="16" t="s">
        <v>125</v>
      </c>
      <c r="N66" s="16" t="s">
        <v>66</v>
      </c>
      <c r="O66" s="28" t="s">
        <v>67</v>
      </c>
      <c r="P66" s="28" t="s">
        <v>67</v>
      </c>
    </row>
    <row r="67" spans="1:16" ht="14" x14ac:dyDescent="0.2">
      <c r="A67" s="13">
        <f t="shared" si="27"/>
        <v>2025</v>
      </c>
      <c r="B67" s="13" t="str">
        <f t="shared" si="28"/>
        <v>05</v>
      </c>
      <c r="C67" s="13" t="str">
        <f t="shared" si="29"/>
        <v>01</v>
      </c>
      <c r="D67" s="16" t="str">
        <f>VLOOKUP(H67,'Names for Vlookup'!$B$26:$C$94,2,FALSE)</f>
        <v>HwaYong Pharm.</v>
      </c>
      <c r="E67" s="16" t="str">
        <f>VLOOKUP(K67,'Names for Vlookup'!$B$8:$C$21,2,FALSE)</f>
        <v>Deer velvet (frozen)</v>
      </c>
      <c r="F67" s="16" t="str">
        <f>VLOOKUP(O67,'Names for Vlookup'!$B$2:$C$5,2,FALSE)</f>
        <v>New Zealand</v>
      </c>
      <c r="G67" s="16" t="str">
        <f>VLOOKUP(P67,'Names for Vlookup'!$B$2:$C$5,2,FALSE)</f>
        <v>New Zealand</v>
      </c>
      <c r="H67" s="16" t="s">
        <v>80</v>
      </c>
      <c r="I67" s="16" t="s">
        <v>74</v>
      </c>
      <c r="J67" s="16" t="s">
        <v>81</v>
      </c>
      <c r="K67" s="16" t="s">
        <v>74</v>
      </c>
      <c r="L67" s="16" t="s">
        <v>36</v>
      </c>
      <c r="M67" s="16" t="s">
        <v>125</v>
      </c>
      <c r="N67" s="16" t="s">
        <v>66</v>
      </c>
      <c r="O67" s="28" t="s">
        <v>67</v>
      </c>
      <c r="P67" s="28" t="s">
        <v>67</v>
      </c>
    </row>
    <row r="68" spans="1:16" ht="14" x14ac:dyDescent="0.2">
      <c r="A68" s="13">
        <f t="shared" si="27"/>
        <v>2025</v>
      </c>
      <c r="B68" s="13" t="str">
        <f t="shared" si="28"/>
        <v>04</v>
      </c>
      <c r="C68" s="13" t="str">
        <f t="shared" si="29"/>
        <v>25</v>
      </c>
      <c r="D68" s="16" t="str">
        <f>VLOOKUP(H68,'Names for Vlookup'!$B$26:$C$94,2,FALSE)</f>
        <v>KNC Deertrade</v>
      </c>
      <c r="E68" s="16" t="str">
        <f>VLOOKUP(K68,'Names for Vlookup'!$B$8:$C$21,2,FALSE)</f>
        <v>Deer velvet (frozen)</v>
      </c>
      <c r="F68" s="16" t="str">
        <f>VLOOKUP(O68,'Names for Vlookup'!$B$2:$C$5,2,FALSE)</f>
        <v>New Zealand</v>
      </c>
      <c r="G68" s="16" t="str">
        <f>VLOOKUP(P68,'Names for Vlookup'!$B$2:$C$5,2,FALSE)</f>
        <v>New Zealand</v>
      </c>
      <c r="H68" s="16" t="s">
        <v>75</v>
      </c>
      <c r="I68" s="16" t="s">
        <v>76</v>
      </c>
      <c r="J68" s="16" t="s">
        <v>73</v>
      </c>
      <c r="K68" s="16" t="s">
        <v>74</v>
      </c>
      <c r="L68" s="16" t="s">
        <v>40</v>
      </c>
      <c r="M68" s="16" t="s">
        <v>126</v>
      </c>
      <c r="N68" s="16" t="s">
        <v>127</v>
      </c>
      <c r="O68" s="28" t="s">
        <v>67</v>
      </c>
      <c r="P68" s="28" t="s">
        <v>67</v>
      </c>
    </row>
    <row r="69" spans="1:16" ht="14" x14ac:dyDescent="0.2">
      <c r="A69" s="13">
        <f t="shared" si="27"/>
        <v>2025</v>
      </c>
      <c r="B69" s="13" t="str">
        <f t="shared" si="28"/>
        <v>04</v>
      </c>
      <c r="C69" s="13" t="str">
        <f t="shared" si="29"/>
        <v>18</v>
      </c>
      <c r="D69" s="16" t="str">
        <f>VLOOKUP(H69,'Names for Vlookup'!$B$26:$C$94,2,FALSE)</f>
        <v>Chunho N Care</v>
      </c>
      <c r="E69" s="16" t="str">
        <f>VLOOKUP(K69,'Names for Vlookup'!$B$8:$C$21,2,FALSE)</f>
        <v>Deer velvet (dried)</v>
      </c>
      <c r="F69" s="16" t="str">
        <f>VLOOKUP(O69,'Names for Vlookup'!$B$2:$C$5,2,FALSE)</f>
        <v>New Zealand</v>
      </c>
      <c r="G69" s="16" t="str">
        <f>VLOOKUP(P69,'Names for Vlookup'!$B$2:$C$5,2,FALSE)</f>
        <v>New Zealand</v>
      </c>
      <c r="H69" s="16" t="s">
        <v>128</v>
      </c>
      <c r="I69" s="16" t="s">
        <v>62</v>
      </c>
      <c r="J69" s="16" t="s">
        <v>63</v>
      </c>
      <c r="K69" s="16" t="s">
        <v>64</v>
      </c>
      <c r="L69" s="16" t="s">
        <v>129</v>
      </c>
      <c r="M69" s="16" t="s">
        <v>130</v>
      </c>
      <c r="N69" s="16" t="s">
        <v>131</v>
      </c>
      <c r="O69" s="28" t="s">
        <v>67</v>
      </c>
      <c r="P69" s="28" t="s">
        <v>67</v>
      </c>
    </row>
    <row r="70" spans="1:16" ht="14" x14ac:dyDescent="0.2">
      <c r="A70" s="13">
        <f t="shared" si="27"/>
        <v>2025</v>
      </c>
      <c r="B70" s="13" t="str">
        <f t="shared" si="28"/>
        <v>04</v>
      </c>
      <c r="C70" s="13" t="str">
        <f t="shared" si="29"/>
        <v>11</v>
      </c>
      <c r="D70" s="16" t="str">
        <f>VLOOKUP(H70,'Names for Vlookup'!$B$26:$C$94,2,FALSE)</f>
        <v>Yujin Trade</v>
      </c>
      <c r="E70" s="16" t="str">
        <f>VLOOKUP(K70,'Names for Vlookup'!$B$8:$C$21,2,FALSE)</f>
        <v>Deer velvet (dried)</v>
      </c>
      <c r="F70" s="16" t="str">
        <f>VLOOKUP(O70,'Names for Vlookup'!$B$2:$C$5,2,FALSE)</f>
        <v>New Zealand</v>
      </c>
      <c r="G70" s="16" t="str">
        <f>VLOOKUP(P70,'Names for Vlookup'!$B$2:$C$5,2,FALSE)</f>
        <v>China</v>
      </c>
      <c r="H70" s="16" t="s">
        <v>91</v>
      </c>
      <c r="I70" s="16" t="s">
        <v>64</v>
      </c>
      <c r="J70" s="16" t="s">
        <v>94</v>
      </c>
      <c r="K70" s="16" t="s">
        <v>64</v>
      </c>
      <c r="L70" s="16" t="s">
        <v>106</v>
      </c>
      <c r="M70" s="16" t="s">
        <v>132</v>
      </c>
      <c r="N70" s="16" t="s">
        <v>66</v>
      </c>
      <c r="O70" s="28" t="s">
        <v>67</v>
      </c>
      <c r="P70" s="28" t="s">
        <v>68</v>
      </c>
    </row>
    <row r="71" spans="1:16" ht="14" x14ac:dyDescent="0.2">
      <c r="A71" s="13">
        <f t="shared" ref="A71:A89" si="30">YEAR(M71)</f>
        <v>2025</v>
      </c>
      <c r="B71" s="13" t="str">
        <f t="shared" ref="B71:B89" si="31">TEXT(M71,"mm")</f>
        <v>04</v>
      </c>
      <c r="C71" s="13" t="str">
        <f t="shared" ref="C71:C89" si="32">TEXT(M71,"dd")</f>
        <v>02</v>
      </c>
      <c r="D71" s="16" t="str">
        <f>VLOOKUP(H71,'Names for Vlookup'!$B$26:$C$94,2,FALSE)</f>
        <v>Bio Dot (Han Dong Herb)</v>
      </c>
      <c r="E71" s="16" t="str">
        <f>VLOOKUP(K71,'Names for Vlookup'!$B$8:$C$21,2,FALSE)</f>
        <v>Deer velvet (frozen)</v>
      </c>
      <c r="F71" s="16" t="str">
        <f>VLOOKUP(O71,'Names for Vlookup'!$B$2:$C$5,2,FALSE)</f>
        <v>New Zealand</v>
      </c>
      <c r="G71" s="16" t="str">
        <f>VLOOKUP(P71,'Names for Vlookup'!$B$2:$C$5,2,FALSE)</f>
        <v>New Zealand</v>
      </c>
      <c r="H71" s="16" t="s">
        <v>86</v>
      </c>
      <c r="I71" s="16" t="s">
        <v>76</v>
      </c>
      <c r="J71" s="16" t="s">
        <v>73</v>
      </c>
      <c r="K71" s="16" t="s">
        <v>74</v>
      </c>
      <c r="L71" s="16" t="s">
        <v>39</v>
      </c>
      <c r="M71" s="16" t="s">
        <v>133</v>
      </c>
      <c r="N71" s="16" t="s">
        <v>134</v>
      </c>
      <c r="O71" s="28" t="s">
        <v>67</v>
      </c>
      <c r="P71" s="28" t="s">
        <v>67</v>
      </c>
    </row>
    <row r="72" spans="1:16" ht="14" x14ac:dyDescent="0.2">
      <c r="A72" s="13">
        <f t="shared" si="30"/>
        <v>2025</v>
      </c>
      <c r="B72" s="13" t="str">
        <f t="shared" si="31"/>
        <v>03</v>
      </c>
      <c r="C72" s="13" t="str">
        <f t="shared" si="32"/>
        <v>28</v>
      </c>
      <c r="D72" s="16" t="str">
        <f>VLOOKUP(H72,'Names for Vlookup'!$B$26:$C$94,2,FALSE)</f>
        <v>Bibong Herb</v>
      </c>
      <c r="E72" s="16" t="str">
        <f>VLOOKUP(K72,'Names for Vlookup'!$B$8:$C$21,2,FALSE)</f>
        <v>Deer velvet (dried)</v>
      </c>
      <c r="F72" s="16" t="str">
        <f>VLOOKUP(O72,'Names for Vlookup'!$B$2:$C$5,2,FALSE)</f>
        <v>New Zealand</v>
      </c>
      <c r="G72" s="16" t="str">
        <f>VLOOKUP(P72,'Names for Vlookup'!$B$2:$C$5,2,FALSE)</f>
        <v>New Zealand</v>
      </c>
      <c r="H72" s="16" t="s">
        <v>135</v>
      </c>
      <c r="I72" s="16" t="s">
        <v>62</v>
      </c>
      <c r="J72" s="16" t="s">
        <v>63</v>
      </c>
      <c r="K72" s="16" t="s">
        <v>64</v>
      </c>
      <c r="L72" s="16" t="s">
        <v>129</v>
      </c>
      <c r="M72" s="16" t="s">
        <v>136</v>
      </c>
      <c r="N72" s="16" t="s">
        <v>137</v>
      </c>
      <c r="O72" s="28" t="s">
        <v>67</v>
      </c>
      <c r="P72" s="28" t="s">
        <v>67</v>
      </c>
    </row>
    <row r="73" spans="1:16" ht="14" x14ac:dyDescent="0.2">
      <c r="A73" s="13">
        <f t="shared" si="30"/>
        <v>2025</v>
      </c>
      <c r="B73" s="13" t="str">
        <f t="shared" si="31"/>
        <v>03</v>
      </c>
      <c r="C73" s="13" t="str">
        <f t="shared" si="32"/>
        <v>26</v>
      </c>
      <c r="D73" s="16" t="str">
        <f>VLOOKUP(H73,'Names for Vlookup'!$B$26:$C$94,2,FALSE)</f>
        <v>Eryong Pharm.</v>
      </c>
      <c r="E73" s="16" t="str">
        <f>VLOOKUP(K73,'Names for Vlookup'!$B$8:$C$21,2,FALSE)</f>
        <v>Deer velvet (frozen)</v>
      </c>
      <c r="F73" s="16" t="str">
        <f>VLOOKUP(O73,'Names for Vlookup'!$B$2:$C$5,2,FALSE)</f>
        <v>New Zealand</v>
      </c>
      <c r="G73" s="16" t="str">
        <f>VLOOKUP(P73,'Names for Vlookup'!$B$2:$C$5,2,FALSE)</f>
        <v>New Zealand</v>
      </c>
      <c r="H73" s="16" t="s">
        <v>92</v>
      </c>
      <c r="I73" s="16" t="s">
        <v>76</v>
      </c>
      <c r="J73" s="16" t="s">
        <v>73</v>
      </c>
      <c r="K73" s="16" t="s">
        <v>74</v>
      </c>
      <c r="L73" s="16" t="s">
        <v>101</v>
      </c>
      <c r="M73" s="16" t="s">
        <v>138</v>
      </c>
      <c r="N73" s="16" t="s">
        <v>66</v>
      </c>
      <c r="O73" s="28" t="s">
        <v>67</v>
      </c>
      <c r="P73" s="28" t="s">
        <v>67</v>
      </c>
    </row>
    <row r="74" spans="1:16" ht="14" x14ac:dyDescent="0.2">
      <c r="A74" s="13">
        <f t="shared" si="30"/>
        <v>2025</v>
      </c>
      <c r="B74" s="13" t="str">
        <f t="shared" si="31"/>
        <v>03</v>
      </c>
      <c r="C74" s="13" t="str">
        <f t="shared" si="32"/>
        <v>17</v>
      </c>
      <c r="D74" s="16" t="str">
        <f>VLOOKUP(H74,'Names for Vlookup'!$B$26:$C$94,2,FALSE)</f>
        <v>KNC Deertrade</v>
      </c>
      <c r="E74" s="16" t="str">
        <f>VLOOKUP(K74,'Names for Vlookup'!$B$8:$C$21,2,FALSE)</f>
        <v>Deer velvet (frozen)</v>
      </c>
      <c r="F74" s="16" t="str">
        <f>VLOOKUP(O74,'Names for Vlookup'!$B$2:$C$5,2,FALSE)</f>
        <v>New Zealand</v>
      </c>
      <c r="G74" s="16" t="str">
        <f>VLOOKUP(P74,'Names for Vlookup'!$B$2:$C$5,2,FALSE)</f>
        <v>New Zealand</v>
      </c>
      <c r="H74" s="16" t="s">
        <v>75</v>
      </c>
      <c r="I74" s="16" t="s">
        <v>74</v>
      </c>
      <c r="J74" s="16" t="s">
        <v>73</v>
      </c>
      <c r="K74" s="16" t="s">
        <v>74</v>
      </c>
      <c r="L74" s="16" t="s">
        <v>38</v>
      </c>
      <c r="M74" s="16" t="s">
        <v>139</v>
      </c>
      <c r="N74" s="16" t="s">
        <v>66</v>
      </c>
      <c r="O74" s="28" t="s">
        <v>67</v>
      </c>
      <c r="P74" s="28" t="s">
        <v>67</v>
      </c>
    </row>
    <row r="75" spans="1:16" ht="14" x14ac:dyDescent="0.2">
      <c r="A75" s="13">
        <f t="shared" si="30"/>
        <v>2025</v>
      </c>
      <c r="B75" s="13" t="str">
        <f t="shared" si="31"/>
        <v>03</v>
      </c>
      <c r="C75" s="13" t="str">
        <f t="shared" si="32"/>
        <v>13</v>
      </c>
      <c r="D75" s="16" t="str">
        <f>VLOOKUP(H75,'Names for Vlookup'!$B$26:$C$94,2,FALSE)</f>
        <v>YW International</v>
      </c>
      <c r="E75" s="16" t="str">
        <f>VLOOKUP(K75,'Names for Vlookup'!$B$8:$C$21,2,FALSE)</f>
        <v>Deer velvet (frozen)</v>
      </c>
      <c r="F75" s="16" t="str">
        <f>VLOOKUP(O75,'Names for Vlookup'!$B$2:$C$5,2,FALSE)</f>
        <v>New Zealand</v>
      </c>
      <c r="G75" s="16" t="str">
        <f>VLOOKUP(P75,'Names for Vlookup'!$B$2:$C$5,2,FALSE)</f>
        <v>New Zealand</v>
      </c>
      <c r="H75" s="16" t="s">
        <v>88</v>
      </c>
      <c r="I75" s="16" t="s">
        <v>72</v>
      </c>
      <c r="J75" s="16" t="s">
        <v>120</v>
      </c>
      <c r="K75" s="16" t="s">
        <v>74</v>
      </c>
      <c r="L75" s="16" t="s">
        <v>121</v>
      </c>
      <c r="M75" s="16" t="s">
        <v>140</v>
      </c>
      <c r="N75" s="16" t="s">
        <v>66</v>
      </c>
      <c r="O75" s="28" t="s">
        <v>67</v>
      </c>
      <c r="P75" s="28" t="s">
        <v>67</v>
      </c>
    </row>
    <row r="76" spans="1:16" ht="14" x14ac:dyDescent="0.2">
      <c r="A76" s="13">
        <f t="shared" si="30"/>
        <v>2025</v>
      </c>
      <c r="B76" s="13" t="str">
        <f t="shared" si="31"/>
        <v>03</v>
      </c>
      <c r="C76" s="13" t="str">
        <f t="shared" si="32"/>
        <v>12</v>
      </c>
      <c r="D76" s="16" t="str">
        <f>VLOOKUP(H76,'Names for Vlookup'!$B$26:$C$94,2,FALSE)</f>
        <v>GaOn Pharm</v>
      </c>
      <c r="E76" s="16" t="str">
        <f>VLOOKUP(K76,'Names for Vlookup'!$B$8:$C$21,2,FALSE)</f>
        <v>Deer velvet (frozen)</v>
      </c>
      <c r="F76" s="16" t="str">
        <f>VLOOKUP(O76,'Names for Vlookup'!$B$2:$C$5,2,FALSE)</f>
        <v>New Zealand</v>
      </c>
      <c r="G76" s="16" t="str">
        <f>VLOOKUP(P76,'Names for Vlookup'!$B$2:$C$5,2,FALSE)</f>
        <v>New Zealand</v>
      </c>
      <c r="H76" s="16" t="s">
        <v>71</v>
      </c>
      <c r="I76" s="16" t="s">
        <v>76</v>
      </c>
      <c r="J76" s="16" t="s">
        <v>73</v>
      </c>
      <c r="K76" s="16" t="s">
        <v>74</v>
      </c>
      <c r="L76" s="16" t="s">
        <v>40</v>
      </c>
      <c r="M76" s="16" t="s">
        <v>141</v>
      </c>
      <c r="N76" s="16" t="s">
        <v>142</v>
      </c>
      <c r="O76" s="28" t="s">
        <v>67</v>
      </c>
      <c r="P76" s="28" t="s">
        <v>67</v>
      </c>
    </row>
    <row r="77" spans="1:16" ht="14" x14ac:dyDescent="0.2">
      <c r="A77" s="13">
        <f t="shared" si="30"/>
        <v>2025</v>
      </c>
      <c r="B77" s="13" t="str">
        <f t="shared" si="31"/>
        <v>03</v>
      </c>
      <c r="C77" s="13" t="str">
        <f t="shared" si="32"/>
        <v>10</v>
      </c>
      <c r="D77" s="16" t="str">
        <f>VLOOKUP(H77,'Names for Vlookup'!$B$26:$C$94,2,FALSE)</f>
        <v>Daeho Pharm.</v>
      </c>
      <c r="E77" s="16" t="str">
        <f>VLOOKUP(K77,'Names for Vlookup'!$B$8:$C$21,2,FALSE)</f>
        <v>Deer velvet (dried)</v>
      </c>
      <c r="F77" s="16" t="str">
        <f>VLOOKUP(O77,'Names for Vlookup'!$B$2:$C$5,2,FALSE)</f>
        <v>New Zealand</v>
      </c>
      <c r="G77" s="16" t="str">
        <f>VLOOKUP(P77,'Names for Vlookup'!$B$2:$C$5,2,FALSE)</f>
        <v>China</v>
      </c>
      <c r="H77" s="16" t="s">
        <v>143</v>
      </c>
      <c r="I77" s="16" t="s">
        <v>64</v>
      </c>
      <c r="J77" s="16" t="s">
        <v>70</v>
      </c>
      <c r="K77" s="16" t="s">
        <v>64</v>
      </c>
      <c r="L77" s="16" t="s">
        <v>144</v>
      </c>
      <c r="M77" s="16" t="s">
        <v>145</v>
      </c>
      <c r="N77" s="16" t="s">
        <v>66</v>
      </c>
      <c r="O77" s="28" t="s">
        <v>67</v>
      </c>
      <c r="P77" s="28" t="s">
        <v>68</v>
      </c>
    </row>
    <row r="78" spans="1:16" ht="14" x14ac:dyDescent="0.2">
      <c r="A78" s="13">
        <f t="shared" si="30"/>
        <v>2025</v>
      </c>
      <c r="B78" s="13" t="str">
        <f t="shared" si="31"/>
        <v>03</v>
      </c>
      <c r="C78" s="13" t="str">
        <f t="shared" si="32"/>
        <v>07</v>
      </c>
      <c r="D78" s="16" t="str">
        <f>VLOOKUP(H78,'Names for Vlookup'!$B$26:$C$94,2,FALSE)</f>
        <v>KNC Deertrade</v>
      </c>
      <c r="E78" s="16" t="str">
        <f>VLOOKUP(K78,'Names for Vlookup'!$B$8:$C$21,2,FALSE)</f>
        <v>Deer velvet (frozen)</v>
      </c>
      <c r="F78" s="16" t="str">
        <f>VLOOKUP(O78,'Names for Vlookup'!$B$2:$C$5,2,FALSE)</f>
        <v>New Zealand</v>
      </c>
      <c r="G78" s="16" t="str">
        <f>VLOOKUP(P78,'Names for Vlookup'!$B$2:$C$5,2,FALSE)</f>
        <v>New Zealand</v>
      </c>
      <c r="H78" s="16" t="s">
        <v>75</v>
      </c>
      <c r="I78" s="16" t="s">
        <v>74</v>
      </c>
      <c r="J78" s="16" t="s">
        <v>73</v>
      </c>
      <c r="K78" s="16" t="s">
        <v>74</v>
      </c>
      <c r="L78" s="16" t="s">
        <v>41</v>
      </c>
      <c r="M78" s="16" t="s">
        <v>146</v>
      </c>
      <c r="N78" s="16" t="s">
        <v>66</v>
      </c>
      <c r="O78" s="28" t="s">
        <v>67</v>
      </c>
      <c r="P78" s="28" t="s">
        <v>67</v>
      </c>
    </row>
    <row r="79" spans="1:16" ht="14" x14ac:dyDescent="0.2">
      <c r="A79" s="13">
        <f t="shared" si="30"/>
        <v>2025</v>
      </c>
      <c r="B79" s="13" t="str">
        <f t="shared" si="31"/>
        <v>03</v>
      </c>
      <c r="C79" s="13" t="str">
        <f t="shared" si="32"/>
        <v>05</v>
      </c>
      <c r="D79" s="16" t="str">
        <f>VLOOKUP(H79,'Names for Vlookup'!$B$26:$C$94,2,FALSE)</f>
        <v>Rokone</v>
      </c>
      <c r="E79" s="16" t="str">
        <f>VLOOKUP(K79,'Names for Vlookup'!$B$8:$C$21,2,FALSE)</f>
        <v>Deer velvet (frozen)</v>
      </c>
      <c r="F79" s="16" t="str">
        <f>VLOOKUP(O79,'Names for Vlookup'!$B$2:$C$5,2,FALSE)</f>
        <v>New Zealand</v>
      </c>
      <c r="G79" s="16" t="str">
        <f>VLOOKUP(P79,'Names for Vlookup'!$B$2:$C$5,2,FALSE)</f>
        <v>New Zealand</v>
      </c>
      <c r="H79" s="16" t="s">
        <v>147</v>
      </c>
      <c r="I79" s="16" t="s">
        <v>72</v>
      </c>
      <c r="J79" s="16" t="s">
        <v>120</v>
      </c>
      <c r="K79" s="16" t="s">
        <v>74</v>
      </c>
      <c r="L79" s="16" t="s">
        <v>129</v>
      </c>
      <c r="M79" s="16" t="s">
        <v>148</v>
      </c>
      <c r="N79" s="16" t="s">
        <v>66</v>
      </c>
      <c r="O79" s="28" t="s">
        <v>67</v>
      </c>
      <c r="P79" s="28" t="s">
        <v>67</v>
      </c>
    </row>
    <row r="80" spans="1:16" ht="14" x14ac:dyDescent="0.2">
      <c r="A80" s="13">
        <f t="shared" si="30"/>
        <v>2025</v>
      </c>
      <c r="B80" s="13" t="str">
        <f t="shared" si="31"/>
        <v>03</v>
      </c>
      <c r="C80" s="13" t="str">
        <f t="shared" si="32"/>
        <v>04</v>
      </c>
      <c r="D80" s="16" t="str">
        <f>VLOOKUP(H80,'Names for Vlookup'!$B$26:$C$94,2,FALSE)</f>
        <v>HwaYong Pharm.</v>
      </c>
      <c r="E80" s="16" t="str">
        <f>VLOOKUP(K80,'Names for Vlookup'!$B$8:$C$21,2,FALSE)</f>
        <v>Deer velvet (frozen)</v>
      </c>
      <c r="F80" s="16" t="str">
        <f>VLOOKUP(O80,'Names for Vlookup'!$B$2:$C$5,2,FALSE)</f>
        <v>New Zealand</v>
      </c>
      <c r="G80" s="16" t="str">
        <f>VLOOKUP(P80,'Names for Vlookup'!$B$2:$C$5,2,FALSE)</f>
        <v>New Zealand</v>
      </c>
      <c r="H80" s="16" t="s">
        <v>80</v>
      </c>
      <c r="I80" s="16" t="s">
        <v>74</v>
      </c>
      <c r="J80" s="16" t="s">
        <v>81</v>
      </c>
      <c r="K80" s="16" t="s">
        <v>74</v>
      </c>
      <c r="L80" s="16" t="s">
        <v>36</v>
      </c>
      <c r="M80" s="16" t="s">
        <v>149</v>
      </c>
      <c r="N80" s="16" t="s">
        <v>66</v>
      </c>
      <c r="O80" s="28" t="s">
        <v>67</v>
      </c>
      <c r="P80" s="28" t="s">
        <v>67</v>
      </c>
    </row>
    <row r="81" spans="1:16" ht="14" x14ac:dyDescent="0.2">
      <c r="A81" s="13">
        <f t="shared" si="30"/>
        <v>2025</v>
      </c>
      <c r="B81" s="13" t="str">
        <f t="shared" si="31"/>
        <v>02</v>
      </c>
      <c r="C81" s="13" t="str">
        <f t="shared" si="32"/>
        <v>28</v>
      </c>
      <c r="D81" s="16" t="str">
        <f>VLOOKUP(H81,'Names for Vlookup'!$B$26:$C$94,2,FALSE)</f>
        <v>KNC Deertrade</v>
      </c>
      <c r="E81" s="16" t="str">
        <f>VLOOKUP(K81,'Names for Vlookup'!$B$8:$C$21,2,FALSE)</f>
        <v>Deer velvet (frozen)</v>
      </c>
      <c r="F81" s="16" t="str">
        <f>VLOOKUP(O81,'Names for Vlookup'!$B$2:$C$5,2,FALSE)</f>
        <v>New Zealand</v>
      </c>
      <c r="G81" s="16" t="str">
        <f>VLOOKUP(P81,'Names for Vlookup'!$B$2:$C$5,2,FALSE)</f>
        <v>New Zealand</v>
      </c>
      <c r="H81" s="16" t="s">
        <v>75</v>
      </c>
      <c r="I81" s="16" t="s">
        <v>74</v>
      </c>
      <c r="J81" s="16" t="s">
        <v>73</v>
      </c>
      <c r="K81" s="16" t="s">
        <v>74</v>
      </c>
      <c r="L81" s="16" t="s">
        <v>129</v>
      </c>
      <c r="M81" s="16" t="s">
        <v>150</v>
      </c>
      <c r="N81" s="16" t="s">
        <v>66</v>
      </c>
      <c r="O81" s="28" t="s">
        <v>67</v>
      </c>
      <c r="P81" s="28" t="s">
        <v>67</v>
      </c>
    </row>
    <row r="82" spans="1:16" ht="14" x14ac:dyDescent="0.2">
      <c r="A82" s="13">
        <f t="shared" si="30"/>
        <v>2025</v>
      </c>
      <c r="B82" s="13" t="str">
        <f t="shared" si="31"/>
        <v>02</v>
      </c>
      <c r="C82" s="13" t="str">
        <f t="shared" si="32"/>
        <v>26</v>
      </c>
      <c r="D82" s="16" t="str">
        <f>VLOOKUP(H82,'Names for Vlookup'!$B$26:$C$94,2,FALSE)</f>
        <v>Taeahn (Mr. Ahn)</v>
      </c>
      <c r="E82" s="16" t="str">
        <f>VLOOKUP(K82,'Names for Vlookup'!$B$8:$C$21,2,FALSE)</f>
        <v>Deer velvet (dried)</v>
      </c>
      <c r="F82" s="16" t="str">
        <f>VLOOKUP(O82,'Names for Vlookup'!$B$2:$C$5,2,FALSE)</f>
        <v>New Zealand</v>
      </c>
      <c r="G82" s="16" t="str">
        <f>VLOOKUP(P82,'Names for Vlookup'!$B$2:$C$5,2,FALSE)</f>
        <v>New Zealand</v>
      </c>
      <c r="H82" s="16" t="s">
        <v>151</v>
      </c>
      <c r="I82" s="16" t="s">
        <v>62</v>
      </c>
      <c r="J82" s="16" t="s">
        <v>152</v>
      </c>
      <c r="K82" s="16" t="s">
        <v>64</v>
      </c>
      <c r="L82" s="16" t="s">
        <v>38</v>
      </c>
      <c r="M82" s="16" t="s">
        <v>153</v>
      </c>
      <c r="N82" s="16" t="s">
        <v>66</v>
      </c>
      <c r="O82" s="28" t="s">
        <v>67</v>
      </c>
      <c r="P82" s="28" t="s">
        <v>67</v>
      </c>
    </row>
    <row r="83" spans="1:16" ht="14" x14ac:dyDescent="0.2">
      <c r="A83" s="13">
        <f t="shared" si="30"/>
        <v>2025</v>
      </c>
      <c r="B83" s="13" t="str">
        <f t="shared" si="31"/>
        <v>02</v>
      </c>
      <c r="C83" s="13" t="str">
        <f t="shared" si="32"/>
        <v>25</v>
      </c>
      <c r="D83" s="16" t="str">
        <f>VLOOKUP(H83,'Names for Vlookup'!$B$26:$C$94,2,FALSE)</f>
        <v>Yujin Trade</v>
      </c>
      <c r="E83" s="16" t="str">
        <f>VLOOKUP(K83,'Names for Vlookup'!$B$8:$C$21,2,FALSE)</f>
        <v>Deer velvet (dried)</v>
      </c>
      <c r="F83" s="16" t="str">
        <f>VLOOKUP(O83,'Names for Vlookup'!$B$2:$C$5,2,FALSE)</f>
        <v>Russia</v>
      </c>
      <c r="G83" s="16" t="str">
        <f>VLOOKUP(P83,'Names for Vlookup'!$B$2:$C$5,2,FALSE)</f>
        <v>Russia</v>
      </c>
      <c r="H83" s="16" t="s">
        <v>91</v>
      </c>
      <c r="I83" s="16" t="s">
        <v>64</v>
      </c>
      <c r="J83" s="16" t="s">
        <v>94</v>
      </c>
      <c r="K83" s="16" t="s">
        <v>64</v>
      </c>
      <c r="L83" s="16" t="s">
        <v>154</v>
      </c>
      <c r="M83" s="16" t="s">
        <v>155</v>
      </c>
      <c r="N83" s="16" t="s">
        <v>66</v>
      </c>
      <c r="O83" s="28" t="s">
        <v>95</v>
      </c>
      <c r="P83" s="28" t="s">
        <v>95</v>
      </c>
    </row>
    <row r="84" spans="1:16" ht="14" x14ac:dyDescent="0.2">
      <c r="A84" s="13">
        <f t="shared" si="30"/>
        <v>2025</v>
      </c>
      <c r="B84" s="13" t="str">
        <f t="shared" si="31"/>
        <v>02</v>
      </c>
      <c r="C84" s="13" t="str">
        <f t="shared" si="32"/>
        <v>18</v>
      </c>
      <c r="D84" s="16" t="str">
        <f>VLOOKUP(H84,'Names for Vlookup'!$B$26:$C$94,2,FALSE)</f>
        <v>Onnuri Bio</v>
      </c>
      <c r="E84" s="16" t="str">
        <f>VLOOKUP(K84,'Names for Vlookup'!$B$8:$C$21,2,FALSE)</f>
        <v>Deer velvet (dried)</v>
      </c>
      <c r="F84" s="16" t="str">
        <f>VLOOKUP(O84,'Names for Vlookup'!$B$2:$C$5,2,FALSE)</f>
        <v>Russia</v>
      </c>
      <c r="G84" s="16" t="str">
        <f>VLOOKUP(P84,'Names for Vlookup'!$B$2:$C$5,2,FALSE)</f>
        <v>Russia</v>
      </c>
      <c r="H84" s="16" t="s">
        <v>61</v>
      </c>
      <c r="I84" s="16" t="s">
        <v>62</v>
      </c>
      <c r="J84" s="16" t="s">
        <v>63</v>
      </c>
      <c r="K84" s="16" t="s">
        <v>64</v>
      </c>
      <c r="L84" s="16" t="s">
        <v>115</v>
      </c>
      <c r="M84" s="16" t="s">
        <v>156</v>
      </c>
      <c r="N84" s="16" t="s">
        <v>66</v>
      </c>
      <c r="O84" s="28" t="s">
        <v>95</v>
      </c>
      <c r="P84" s="28" t="s">
        <v>95</v>
      </c>
    </row>
    <row r="85" spans="1:16" ht="14" x14ac:dyDescent="0.2">
      <c r="A85" s="13">
        <f t="shared" si="30"/>
        <v>2025</v>
      </c>
      <c r="B85" s="13" t="str">
        <f t="shared" si="31"/>
        <v>02</v>
      </c>
      <c r="C85" s="13" t="str">
        <f t="shared" si="32"/>
        <v>18</v>
      </c>
      <c r="D85" s="16" t="str">
        <f>VLOOKUP(H85,'Names for Vlookup'!$B$26:$C$94,2,FALSE)</f>
        <v>Hyangna Bio</v>
      </c>
      <c r="E85" s="16" t="str">
        <f>VLOOKUP(K85,'Names for Vlookup'!$B$8:$C$21,2,FALSE)</f>
        <v>Deer velvet (dried)</v>
      </c>
      <c r="F85" s="16" t="str">
        <f>VLOOKUP(O85,'Names for Vlookup'!$B$2:$C$5,2,FALSE)</f>
        <v>Russia</v>
      </c>
      <c r="G85" s="16" t="str">
        <f>VLOOKUP(P85,'Names for Vlookup'!$B$2:$C$5,2,FALSE)</f>
        <v>Russia</v>
      </c>
      <c r="H85" s="16" t="s">
        <v>111</v>
      </c>
      <c r="I85" s="16" t="s">
        <v>62</v>
      </c>
      <c r="J85" s="16" t="s">
        <v>63</v>
      </c>
      <c r="K85" s="16" t="s">
        <v>64</v>
      </c>
      <c r="L85" s="16" t="s">
        <v>115</v>
      </c>
      <c r="M85" s="16" t="s">
        <v>156</v>
      </c>
      <c r="N85" s="16" t="s">
        <v>66</v>
      </c>
      <c r="O85" s="28" t="s">
        <v>95</v>
      </c>
      <c r="P85" s="28" t="s">
        <v>95</v>
      </c>
    </row>
    <row r="86" spans="1:16" ht="14" x14ac:dyDescent="0.2">
      <c r="A86" s="13">
        <f t="shared" si="30"/>
        <v>2025</v>
      </c>
      <c r="B86" s="13" t="str">
        <f t="shared" si="31"/>
        <v>02</v>
      </c>
      <c r="C86" s="13" t="str">
        <f t="shared" si="32"/>
        <v>18</v>
      </c>
      <c r="D86" s="16" t="str">
        <f>VLOOKUP(H86,'Names for Vlookup'!$B$26:$C$94,2,FALSE)</f>
        <v>DaeWon RTD</v>
      </c>
      <c r="E86" s="16" t="str">
        <f>VLOOKUP(K86,'Names for Vlookup'!$B$8:$C$21,2,FALSE)</f>
        <v>Deer velvet (dried)</v>
      </c>
      <c r="F86" s="16" t="str">
        <f>VLOOKUP(O86,'Names for Vlookup'!$B$2:$C$5,2,FALSE)</f>
        <v>Russia</v>
      </c>
      <c r="G86" s="16" t="str">
        <f>VLOOKUP(P86,'Names for Vlookup'!$B$2:$C$5,2,FALSE)</f>
        <v>Russia</v>
      </c>
      <c r="H86" s="16" t="s">
        <v>102</v>
      </c>
      <c r="I86" s="16" t="s">
        <v>64</v>
      </c>
      <c r="J86" s="16" t="s">
        <v>94</v>
      </c>
      <c r="K86" s="16" t="s">
        <v>64</v>
      </c>
      <c r="L86" s="16" t="s">
        <v>103</v>
      </c>
      <c r="M86" s="16" t="s">
        <v>156</v>
      </c>
      <c r="N86" s="16" t="s">
        <v>66</v>
      </c>
      <c r="O86" s="28" t="s">
        <v>95</v>
      </c>
      <c r="P86" s="28" t="s">
        <v>95</v>
      </c>
    </row>
    <row r="87" spans="1:16" ht="14" x14ac:dyDescent="0.2">
      <c r="A87" s="13">
        <f t="shared" si="30"/>
        <v>2025</v>
      </c>
      <c r="B87" s="13" t="str">
        <f t="shared" si="31"/>
        <v>02</v>
      </c>
      <c r="C87" s="13" t="str">
        <f t="shared" si="32"/>
        <v>14</v>
      </c>
      <c r="D87" s="16" t="str">
        <f>VLOOKUP(H87,'Names for Vlookup'!$B$26:$C$94,2,FALSE)</f>
        <v>YW International</v>
      </c>
      <c r="E87" s="16" t="str">
        <f>VLOOKUP(K87,'Names for Vlookup'!$B$8:$C$21,2,FALSE)</f>
        <v>Deer velvet (frozen)</v>
      </c>
      <c r="F87" s="16" t="str">
        <f>VLOOKUP(O87,'Names for Vlookup'!$B$2:$C$5,2,FALSE)</f>
        <v>New Zealand</v>
      </c>
      <c r="G87" s="16" t="str">
        <f>VLOOKUP(P87,'Names for Vlookup'!$B$2:$C$5,2,FALSE)</f>
        <v>New Zealand</v>
      </c>
      <c r="H87" s="16" t="s">
        <v>88</v>
      </c>
      <c r="I87" s="16" t="s">
        <v>72</v>
      </c>
      <c r="J87" s="16" t="s">
        <v>120</v>
      </c>
      <c r="K87" s="16" t="s">
        <v>74</v>
      </c>
      <c r="L87" s="16" t="s">
        <v>121</v>
      </c>
      <c r="M87" s="16" t="s">
        <v>157</v>
      </c>
      <c r="N87" s="16" t="s">
        <v>66</v>
      </c>
      <c r="O87" s="28" t="s">
        <v>67</v>
      </c>
      <c r="P87" s="28" t="s">
        <v>67</v>
      </c>
    </row>
    <row r="88" spans="1:16" ht="14" x14ac:dyDescent="0.2">
      <c r="A88" s="13">
        <f t="shared" si="30"/>
        <v>2025</v>
      </c>
      <c r="B88" s="13" t="str">
        <f t="shared" si="31"/>
        <v>01</v>
      </c>
      <c r="C88" s="13" t="str">
        <f t="shared" si="32"/>
        <v>24</v>
      </c>
      <c r="D88" s="16" t="str">
        <f>VLOOKUP(H88,'Names for Vlookup'!$B$26:$C$94,2,FALSE)</f>
        <v>Yuhan Care</v>
      </c>
      <c r="E88" s="16" t="str">
        <f>VLOOKUP(K88,'Names for Vlookup'!$B$8:$C$21,2,FALSE)</f>
        <v>Deer velvet (frozen)</v>
      </c>
      <c r="F88" s="16" t="str">
        <f>VLOOKUP(O88,'Names for Vlookup'!$B$2:$C$5,2,FALSE)</f>
        <v>New Zealand</v>
      </c>
      <c r="G88" s="16" t="str">
        <f>VLOOKUP(P88,'Names for Vlookup'!$B$2:$C$5,2,FALSE)</f>
        <v>New Zealand</v>
      </c>
      <c r="H88" s="16" t="s">
        <v>158</v>
      </c>
      <c r="I88" s="16" t="s">
        <v>62</v>
      </c>
      <c r="J88" s="16" t="s">
        <v>159</v>
      </c>
      <c r="K88" s="16" t="s">
        <v>74</v>
      </c>
      <c r="L88" s="16" t="s">
        <v>160</v>
      </c>
      <c r="M88" s="16" t="s">
        <v>161</v>
      </c>
      <c r="N88" s="16" t="s">
        <v>66</v>
      </c>
      <c r="O88" s="28" t="s">
        <v>67</v>
      </c>
      <c r="P88" s="28" t="s">
        <v>67</v>
      </c>
    </row>
    <row r="89" spans="1:16" ht="14" x14ac:dyDescent="0.2">
      <c r="A89" s="13">
        <f t="shared" si="30"/>
        <v>2025</v>
      </c>
      <c r="B89" s="13" t="str">
        <f t="shared" si="31"/>
        <v>01</v>
      </c>
      <c r="C89" s="13" t="str">
        <f t="shared" si="32"/>
        <v>15</v>
      </c>
      <c r="D89" s="16" t="str">
        <f>VLOOKUP(H89,'Names for Vlookup'!$B$26:$C$94,2,FALSE)</f>
        <v>Rokone</v>
      </c>
      <c r="E89" s="16" t="str">
        <f>VLOOKUP(K89,'Names for Vlookup'!$B$8:$C$21,2,FALSE)</f>
        <v>Deer velvet (frozen)</v>
      </c>
      <c r="F89" s="16" t="str">
        <f>VLOOKUP(O89,'Names for Vlookup'!$B$2:$C$5,2,FALSE)</f>
        <v>New Zealand</v>
      </c>
      <c r="G89" s="16" t="str">
        <f>VLOOKUP(P89,'Names for Vlookup'!$B$2:$C$5,2,FALSE)</f>
        <v>New Zealand</v>
      </c>
      <c r="H89" s="16" t="s">
        <v>147</v>
      </c>
      <c r="I89" s="16" t="s">
        <v>72</v>
      </c>
      <c r="J89" s="16" t="s">
        <v>120</v>
      </c>
      <c r="K89" s="16" t="s">
        <v>74</v>
      </c>
      <c r="L89" s="16" t="s">
        <v>129</v>
      </c>
      <c r="M89" s="16" t="s">
        <v>162</v>
      </c>
      <c r="N89" s="16" t="s">
        <v>66</v>
      </c>
      <c r="O89" s="28" t="s">
        <v>67</v>
      </c>
      <c r="P89" s="28" t="s">
        <v>67</v>
      </c>
    </row>
    <row r="90" spans="1:16" ht="14" x14ac:dyDescent="0.2">
      <c r="A90" s="13">
        <f t="shared" ref="A90:A103" si="33">YEAR(M90)</f>
        <v>2025</v>
      </c>
      <c r="B90" s="13" t="str">
        <f t="shared" ref="B90:B103" si="34">TEXT(M90,"mm")</f>
        <v>01</v>
      </c>
      <c r="C90" s="13" t="str">
        <f t="shared" ref="C90:C103" si="35">TEXT(M90,"dd")</f>
        <v>09</v>
      </c>
      <c r="D90" s="16" t="str">
        <f>VLOOKUP(H90,'Names for Vlookup'!$B$26:$C$94,2,FALSE)</f>
        <v>Jinsoo Deer Co., Ltd.</v>
      </c>
      <c r="E90" s="16" t="str">
        <f>VLOOKUP(K90,'Names for Vlookup'!$B$8:$C$21,2,FALSE)</f>
        <v>Deer velvet (frozen)</v>
      </c>
      <c r="F90" s="16" t="str">
        <f>VLOOKUP(O90,'Names for Vlookup'!$B$2:$C$5,2,FALSE)</f>
        <v>New Zealand</v>
      </c>
      <c r="G90" s="16" t="str">
        <f>VLOOKUP(P90,'Names for Vlookup'!$B$2:$C$5,2,FALSE)</f>
        <v>New Zealand</v>
      </c>
      <c r="H90" s="16" t="s">
        <v>163</v>
      </c>
      <c r="I90" s="16" t="s">
        <v>76</v>
      </c>
      <c r="J90" s="16" t="s">
        <v>73</v>
      </c>
      <c r="K90" s="16" t="s">
        <v>74</v>
      </c>
      <c r="L90" s="16" t="s">
        <v>40</v>
      </c>
      <c r="M90" s="32" t="s">
        <v>164</v>
      </c>
      <c r="N90" s="16" t="s">
        <v>165</v>
      </c>
      <c r="O90" s="28" t="s">
        <v>67</v>
      </c>
      <c r="P90" s="28" t="s">
        <v>67</v>
      </c>
    </row>
    <row r="91" spans="1:16" ht="14" x14ac:dyDescent="0.2">
      <c r="A91" s="13">
        <f t="shared" si="33"/>
        <v>2024</v>
      </c>
      <c r="B91" s="13" t="str">
        <f t="shared" si="34"/>
        <v>12</v>
      </c>
      <c r="C91" s="13" t="str">
        <f t="shared" si="35"/>
        <v>27</v>
      </c>
      <c r="D91" s="16" t="str">
        <f>VLOOKUP(H91,'Names for Vlookup'!$B$26:$C$94,2,FALSE)</f>
        <v>KNC Deertrade</v>
      </c>
      <c r="E91" s="16" t="str">
        <f>VLOOKUP(K91,'Names for Vlookup'!$B$8:$C$21,2,FALSE)</f>
        <v>Deer velvet (frozen)</v>
      </c>
      <c r="F91" s="16" t="str">
        <f>VLOOKUP(O91,'Names for Vlookup'!$B$2:$C$5,2,FALSE)</f>
        <v>New Zealand</v>
      </c>
      <c r="G91" s="16" t="str">
        <f>VLOOKUP(P91,'Names for Vlookup'!$B$2:$C$5,2,FALSE)</f>
        <v>New Zealand</v>
      </c>
      <c r="H91" s="16" t="s">
        <v>75</v>
      </c>
      <c r="I91" s="16" t="s">
        <v>74</v>
      </c>
      <c r="J91" s="16" t="s">
        <v>73</v>
      </c>
      <c r="K91" s="16" t="s">
        <v>74</v>
      </c>
      <c r="L91" s="16" t="s">
        <v>129</v>
      </c>
      <c r="M91" s="32" t="s">
        <v>166</v>
      </c>
      <c r="N91" s="16" t="s">
        <v>66</v>
      </c>
      <c r="O91" s="28" t="s">
        <v>67</v>
      </c>
      <c r="P91" s="28" t="s">
        <v>67</v>
      </c>
    </row>
    <row r="92" spans="1:16" ht="14" x14ac:dyDescent="0.2">
      <c r="A92" s="13">
        <f t="shared" si="33"/>
        <v>2024</v>
      </c>
      <c r="B92" s="13" t="str">
        <f t="shared" si="34"/>
        <v>12</v>
      </c>
      <c r="C92" s="13" t="str">
        <f t="shared" si="35"/>
        <v>19</v>
      </c>
      <c r="D92" s="16" t="str">
        <f>VLOOKUP(H92,'Names for Vlookup'!$B$26:$C$94,2,FALSE)</f>
        <v>KNC Deertrade</v>
      </c>
      <c r="E92" s="16" t="str">
        <f>VLOOKUP(K92,'Names for Vlookup'!$B$8:$C$21,2,FALSE)</f>
        <v>Deer velvet (frozen)</v>
      </c>
      <c r="F92" s="16" t="str">
        <f>VLOOKUP(O92,'Names for Vlookup'!$B$2:$C$5,2,FALSE)</f>
        <v>New Zealand</v>
      </c>
      <c r="G92" s="16" t="str">
        <f>VLOOKUP(P92,'Names for Vlookup'!$B$2:$C$5,2,FALSE)</f>
        <v>New Zealand</v>
      </c>
      <c r="H92" s="16" t="s">
        <v>75</v>
      </c>
      <c r="I92" s="16" t="s">
        <v>74</v>
      </c>
      <c r="J92" s="16" t="s">
        <v>73</v>
      </c>
      <c r="K92" s="16" t="s">
        <v>74</v>
      </c>
      <c r="L92" s="16" t="s">
        <v>38</v>
      </c>
      <c r="M92" s="32" t="s">
        <v>167</v>
      </c>
      <c r="N92" s="16" t="s">
        <v>66</v>
      </c>
      <c r="O92" s="28" t="s">
        <v>67</v>
      </c>
      <c r="P92" s="28" t="s">
        <v>67</v>
      </c>
    </row>
    <row r="93" spans="1:16" ht="14" x14ac:dyDescent="0.2">
      <c r="A93" s="13">
        <f t="shared" si="33"/>
        <v>2024</v>
      </c>
      <c r="B93" s="13" t="str">
        <f t="shared" si="34"/>
        <v>12</v>
      </c>
      <c r="C93" s="13" t="str">
        <f t="shared" si="35"/>
        <v>12</v>
      </c>
      <c r="D93" s="16" t="str">
        <f>VLOOKUP(H93,'Names for Vlookup'!$B$26:$C$94,2,FALSE)</f>
        <v>HwaYong Pharm.</v>
      </c>
      <c r="E93" s="16" t="str">
        <f>VLOOKUP(K93,'Names for Vlookup'!$B$8:$C$21,2,FALSE)</f>
        <v>Deer velvet (frozen)</v>
      </c>
      <c r="F93" s="16" t="str">
        <f>VLOOKUP(O93,'Names for Vlookup'!$B$2:$C$5,2,FALSE)</f>
        <v>New Zealand</v>
      </c>
      <c r="G93" s="16" t="str">
        <f>VLOOKUP(P93,'Names for Vlookup'!$B$2:$C$5,2,FALSE)</f>
        <v>New Zealand</v>
      </c>
      <c r="H93" s="16" t="s">
        <v>80</v>
      </c>
      <c r="I93" s="16" t="s">
        <v>74</v>
      </c>
      <c r="J93" s="16" t="s">
        <v>81</v>
      </c>
      <c r="K93" s="16" t="s">
        <v>74</v>
      </c>
      <c r="L93" s="16" t="s">
        <v>36</v>
      </c>
      <c r="M93" s="32" t="s">
        <v>168</v>
      </c>
      <c r="N93" s="16" t="s">
        <v>66</v>
      </c>
      <c r="O93" s="28" t="s">
        <v>67</v>
      </c>
      <c r="P93" s="28" t="s">
        <v>67</v>
      </c>
    </row>
    <row r="94" spans="1:16" ht="14" x14ac:dyDescent="0.2">
      <c r="A94" s="13">
        <f t="shared" si="33"/>
        <v>2024</v>
      </c>
      <c r="B94" s="13" t="str">
        <f t="shared" si="34"/>
        <v>12</v>
      </c>
      <c r="C94" s="13" t="str">
        <f t="shared" si="35"/>
        <v>09</v>
      </c>
      <c r="D94" s="16" t="str">
        <f>VLOOKUP(H94,'Names for Vlookup'!$B$26:$C$94,2,FALSE)</f>
        <v xml:space="preserve">WooSung (Mr Bang) </v>
      </c>
      <c r="E94" s="16" t="str">
        <f>VLOOKUP(K94,'Names for Vlookup'!$B$8:$C$21,2,FALSE)</f>
        <v>Deer velvet (dried)</v>
      </c>
      <c r="F94" s="16" t="str">
        <f>VLOOKUP(O94,'Names for Vlookup'!$B$2:$C$5,2,FALSE)</f>
        <v>New Zealand</v>
      </c>
      <c r="G94" s="16" t="str">
        <f>VLOOKUP(P94,'Names for Vlookup'!$B$2:$C$5,2,FALSE)</f>
        <v>China</v>
      </c>
      <c r="H94" s="16" t="s">
        <v>69</v>
      </c>
      <c r="I94" s="16" t="s">
        <v>64</v>
      </c>
      <c r="J94" s="16" t="s">
        <v>70</v>
      </c>
      <c r="K94" s="16" t="s">
        <v>64</v>
      </c>
      <c r="L94" s="16" t="s">
        <v>33</v>
      </c>
      <c r="M94" s="32" t="s">
        <v>169</v>
      </c>
      <c r="N94" s="16" t="s">
        <v>66</v>
      </c>
      <c r="O94" s="28" t="s">
        <v>67</v>
      </c>
      <c r="P94" s="28" t="s">
        <v>68</v>
      </c>
    </row>
    <row r="95" spans="1:16" ht="14" x14ac:dyDescent="0.2">
      <c r="A95" s="13">
        <f t="shared" si="33"/>
        <v>2024</v>
      </c>
      <c r="B95" s="13" t="str">
        <f t="shared" si="34"/>
        <v>12</v>
      </c>
      <c r="C95" s="13" t="str">
        <f t="shared" si="35"/>
        <v>09</v>
      </c>
      <c r="D95" s="16" t="str">
        <f>VLOOKUP(H95,'Names for Vlookup'!$B$26:$C$94,2,FALSE)</f>
        <v>Hans Pharm Inc</v>
      </c>
      <c r="E95" s="16" t="str">
        <f>VLOOKUP(K95,'Names for Vlookup'!$B$8:$C$21,2,FALSE)</f>
        <v>Deer velvet (dried)</v>
      </c>
      <c r="F95" s="16" t="str">
        <f>VLOOKUP(O95,'Names for Vlookup'!$B$2:$C$5,2,FALSE)</f>
        <v>New Zealand</v>
      </c>
      <c r="G95" s="16" t="str">
        <f>VLOOKUP(P95,'Names for Vlookup'!$B$2:$C$5,2,FALSE)</f>
        <v>China</v>
      </c>
      <c r="H95" s="16" t="s">
        <v>170</v>
      </c>
      <c r="I95" s="16" t="s">
        <v>171</v>
      </c>
      <c r="J95" s="16" t="s">
        <v>172</v>
      </c>
      <c r="K95" s="16" t="s">
        <v>64</v>
      </c>
      <c r="L95" s="16" t="s">
        <v>173</v>
      </c>
      <c r="M95" s="32" t="s">
        <v>169</v>
      </c>
      <c r="N95" s="16" t="s">
        <v>66</v>
      </c>
      <c r="O95" s="28" t="s">
        <v>67</v>
      </c>
      <c r="P95" s="28" t="s">
        <v>68</v>
      </c>
    </row>
    <row r="96" spans="1:16" ht="14" x14ac:dyDescent="0.2">
      <c r="A96" s="13">
        <f t="shared" si="33"/>
        <v>2024</v>
      </c>
      <c r="B96" s="13" t="str">
        <f t="shared" si="34"/>
        <v>12</v>
      </c>
      <c r="C96" s="13" t="str">
        <f t="shared" si="35"/>
        <v>04</v>
      </c>
      <c r="D96" s="16" t="str">
        <f>VLOOKUP(H96,'Names for Vlookup'!$B$26:$C$94,2,FALSE)</f>
        <v>KNC Deertrade</v>
      </c>
      <c r="E96" s="16" t="str">
        <f>VLOOKUP(K96,'Names for Vlookup'!$B$8:$C$21,2,FALSE)</f>
        <v>Deer velvet (frozen)</v>
      </c>
      <c r="F96" s="16" t="str">
        <f>VLOOKUP(O96,'Names for Vlookup'!$B$2:$C$5,2,FALSE)</f>
        <v>New Zealand</v>
      </c>
      <c r="G96" s="16" t="str">
        <f>VLOOKUP(P96,'Names for Vlookup'!$B$2:$C$5,2,FALSE)</f>
        <v>New Zealand</v>
      </c>
      <c r="H96" s="16" t="s">
        <v>75</v>
      </c>
      <c r="I96" s="16" t="s">
        <v>74</v>
      </c>
      <c r="J96" s="16" t="s">
        <v>73</v>
      </c>
      <c r="K96" s="16" t="s">
        <v>74</v>
      </c>
      <c r="L96" s="16" t="s">
        <v>41</v>
      </c>
      <c r="M96" s="32" t="s">
        <v>174</v>
      </c>
      <c r="N96" s="16" t="s">
        <v>66</v>
      </c>
      <c r="O96" s="28" t="s">
        <v>67</v>
      </c>
      <c r="P96" s="28" t="s">
        <v>67</v>
      </c>
    </row>
    <row r="97" spans="1:16" ht="14" x14ac:dyDescent="0.2">
      <c r="A97" s="13">
        <f t="shared" si="33"/>
        <v>2024</v>
      </c>
      <c r="B97" s="13" t="str">
        <f t="shared" si="34"/>
        <v>11</v>
      </c>
      <c r="C97" s="13" t="str">
        <f t="shared" si="35"/>
        <v>21</v>
      </c>
      <c r="D97" s="16" t="str">
        <f>VLOOKUP(H97,'Names for Vlookup'!$B$26:$C$94,2,FALSE)</f>
        <v>Onnuri Bio</v>
      </c>
      <c r="E97" s="16" t="str">
        <f>VLOOKUP(K97,'Names for Vlookup'!$B$8:$C$21,2,FALSE)</f>
        <v>Deer velvet (frozen)</v>
      </c>
      <c r="F97" s="16" t="str">
        <f>VLOOKUP(O97,'Names for Vlookup'!$B$2:$C$5,2,FALSE)</f>
        <v>New Zealand</v>
      </c>
      <c r="G97" s="16" t="str">
        <f>VLOOKUP(P97,'Names for Vlookup'!$B$2:$C$5,2,FALSE)</f>
        <v>New Zealand</v>
      </c>
      <c r="H97" s="16" t="s">
        <v>61</v>
      </c>
      <c r="I97" s="16" t="s">
        <v>74</v>
      </c>
      <c r="J97" s="16" t="s">
        <v>81</v>
      </c>
      <c r="K97" s="16" t="s">
        <v>74</v>
      </c>
      <c r="L97" s="16" t="s">
        <v>129</v>
      </c>
      <c r="M97" s="32" t="s">
        <v>175</v>
      </c>
      <c r="N97" s="16" t="s">
        <v>176</v>
      </c>
      <c r="O97" s="28" t="s">
        <v>67</v>
      </c>
      <c r="P97" s="28" t="s">
        <v>67</v>
      </c>
    </row>
    <row r="98" spans="1:16" ht="14" x14ac:dyDescent="0.2">
      <c r="A98" s="13">
        <f t="shared" si="33"/>
        <v>2024</v>
      </c>
      <c r="B98" s="13" t="str">
        <f t="shared" si="34"/>
        <v>11</v>
      </c>
      <c r="C98" s="13" t="str">
        <f t="shared" si="35"/>
        <v>20</v>
      </c>
      <c r="D98" s="16" t="str">
        <f>VLOOKUP(H98,'Names for Vlookup'!$B$26:$C$94,2,FALSE)</f>
        <v>Daeho Pharm.</v>
      </c>
      <c r="E98" s="16" t="str">
        <f>VLOOKUP(K98,'Names for Vlookup'!$B$8:$C$21,2,FALSE)</f>
        <v>Deer velvet (dried)</v>
      </c>
      <c r="F98" s="16" t="str">
        <f>VLOOKUP(O98,'Names for Vlookup'!$B$2:$C$5,2,FALSE)</f>
        <v>New Zealand</v>
      </c>
      <c r="G98" s="16" t="str">
        <f>VLOOKUP(P98,'Names for Vlookup'!$B$2:$C$5,2,FALSE)</f>
        <v>China</v>
      </c>
      <c r="H98" s="16" t="s">
        <v>143</v>
      </c>
      <c r="I98" s="16" t="s">
        <v>64</v>
      </c>
      <c r="J98" s="16" t="s">
        <v>70</v>
      </c>
      <c r="K98" s="16" t="s">
        <v>64</v>
      </c>
      <c r="L98" s="16" t="s">
        <v>144</v>
      </c>
      <c r="M98" s="32" t="s">
        <v>177</v>
      </c>
      <c r="N98" s="16" t="s">
        <v>66</v>
      </c>
      <c r="O98" s="28" t="s">
        <v>67</v>
      </c>
      <c r="P98" s="28" t="s">
        <v>68</v>
      </c>
    </row>
    <row r="99" spans="1:16" ht="14" x14ac:dyDescent="0.2">
      <c r="A99" s="13">
        <f t="shared" si="33"/>
        <v>2024</v>
      </c>
      <c r="B99" s="13" t="str">
        <f t="shared" si="34"/>
        <v>11</v>
      </c>
      <c r="C99" s="13" t="str">
        <f t="shared" si="35"/>
        <v>04</v>
      </c>
      <c r="D99" s="16" t="str">
        <f>VLOOKUP(H99,'Names for Vlookup'!$B$26:$C$94,2,FALSE)</f>
        <v>DaeWon RTD</v>
      </c>
      <c r="E99" s="16" t="str">
        <f>VLOOKUP(K99,'Names for Vlookup'!$B$8:$C$21,2,FALSE)</f>
        <v>Deer velvet (dried)</v>
      </c>
      <c r="F99" s="16" t="str">
        <f>VLOOKUP(O99,'Names for Vlookup'!$B$2:$C$5,2,FALSE)</f>
        <v>Russia</v>
      </c>
      <c r="G99" s="16" t="str">
        <f>VLOOKUP(P99,'Names for Vlookup'!$B$2:$C$5,2,FALSE)</f>
        <v>Russia</v>
      </c>
      <c r="H99" s="16" t="s">
        <v>102</v>
      </c>
      <c r="I99" s="16" t="s">
        <v>64</v>
      </c>
      <c r="J99" s="16" t="s">
        <v>94</v>
      </c>
      <c r="K99" s="16" t="s">
        <v>64</v>
      </c>
      <c r="L99" s="16" t="s">
        <v>103</v>
      </c>
      <c r="M99" s="32" t="s">
        <v>178</v>
      </c>
      <c r="N99" s="16" t="s">
        <v>66</v>
      </c>
      <c r="O99" s="28" t="s">
        <v>95</v>
      </c>
      <c r="P99" s="28" t="s">
        <v>95</v>
      </c>
    </row>
    <row r="100" spans="1:16" ht="14" x14ac:dyDescent="0.2">
      <c r="A100" s="13">
        <f t="shared" si="33"/>
        <v>2024</v>
      </c>
      <c r="B100" s="13" t="str">
        <f t="shared" si="34"/>
        <v>11</v>
      </c>
      <c r="C100" s="13" t="str">
        <f t="shared" si="35"/>
        <v>04</v>
      </c>
      <c r="D100" s="16" t="str">
        <f>VLOOKUP(H100,'Names for Vlookup'!$B$26:$C$94,2,FALSE)</f>
        <v>Heungsoo Nogyong</v>
      </c>
      <c r="E100" s="16" t="str">
        <f>VLOOKUP(K100,'Names for Vlookup'!$B$8:$C$21,2,FALSE)</f>
        <v>Deer velvet (dried)</v>
      </c>
      <c r="F100" s="16" t="str">
        <f>VLOOKUP(O100,'Names for Vlookup'!$B$2:$C$5,2,FALSE)</f>
        <v>Russia</v>
      </c>
      <c r="G100" s="16" t="str">
        <f>VLOOKUP(P100,'Names for Vlookup'!$B$2:$C$5,2,FALSE)</f>
        <v>Russia</v>
      </c>
      <c r="H100" s="16" t="s">
        <v>104</v>
      </c>
      <c r="I100" s="16" t="s">
        <v>64</v>
      </c>
      <c r="J100" s="16" t="s">
        <v>94</v>
      </c>
      <c r="K100" s="16" t="s">
        <v>64</v>
      </c>
      <c r="L100" s="16" t="s">
        <v>179</v>
      </c>
      <c r="M100" s="32" t="s">
        <v>178</v>
      </c>
      <c r="N100" s="16" t="s">
        <v>66</v>
      </c>
      <c r="O100" s="28" t="s">
        <v>95</v>
      </c>
      <c r="P100" s="28" t="s">
        <v>95</v>
      </c>
    </row>
    <row r="101" spans="1:16" ht="14" x14ac:dyDescent="0.2">
      <c r="A101" s="13">
        <f t="shared" si="33"/>
        <v>2024</v>
      </c>
      <c r="B101" s="13" t="str">
        <f t="shared" si="34"/>
        <v>11</v>
      </c>
      <c r="C101" s="13" t="str">
        <f t="shared" si="35"/>
        <v>01</v>
      </c>
      <c r="D101" s="16" t="str">
        <f>VLOOKUP(H101,'Names for Vlookup'!$B$26:$C$94,2,FALSE)</f>
        <v>Yuhan Care</v>
      </c>
      <c r="E101" s="16" t="str">
        <f>VLOOKUP(K101,'Names for Vlookup'!$B$8:$C$21,2,FALSE)</f>
        <v>Animal based processed food</v>
      </c>
      <c r="F101" s="16" t="str">
        <f>VLOOKUP(O101,'Names for Vlookup'!$B$2:$C$5,2,FALSE)</f>
        <v>New Zealand</v>
      </c>
      <c r="G101" s="16" t="str">
        <f>VLOOKUP(P101,'Names for Vlookup'!$B$2:$C$5,2,FALSE)</f>
        <v>New Zealand</v>
      </c>
      <c r="H101" s="16" t="s">
        <v>158</v>
      </c>
      <c r="I101" s="16" t="s">
        <v>180</v>
      </c>
      <c r="J101" s="16" t="s">
        <v>181</v>
      </c>
      <c r="K101" s="16" t="s">
        <v>182</v>
      </c>
      <c r="L101" s="16" t="s">
        <v>183</v>
      </c>
      <c r="M101" s="32" t="s">
        <v>184</v>
      </c>
      <c r="N101" s="16" t="s">
        <v>185</v>
      </c>
      <c r="O101" s="28" t="s">
        <v>67</v>
      </c>
      <c r="P101" s="28" t="s">
        <v>67</v>
      </c>
    </row>
    <row r="102" spans="1:16" ht="14" x14ac:dyDescent="0.2">
      <c r="A102" s="13">
        <f t="shared" si="33"/>
        <v>2024</v>
      </c>
      <c r="B102" s="13" t="str">
        <f t="shared" si="34"/>
        <v>10</v>
      </c>
      <c r="C102" s="13" t="str">
        <f t="shared" si="35"/>
        <v>04</v>
      </c>
      <c r="D102" s="16" t="str">
        <f>VLOOKUP(H102,'Names for Vlookup'!$B$26:$C$94,2,FALSE)</f>
        <v>Hans Pharm Inc</v>
      </c>
      <c r="E102" s="16" t="str">
        <f>VLOOKUP(K102,'Names for Vlookup'!$B$8:$C$21,2,FALSE)</f>
        <v>Deer velvet (dried)</v>
      </c>
      <c r="F102" s="16" t="str">
        <f>VLOOKUP(O102,'Names for Vlookup'!$B$2:$C$5,2,FALSE)</f>
        <v>China</v>
      </c>
      <c r="G102" s="16" t="str">
        <f>VLOOKUP(P102,'Names for Vlookup'!$B$2:$C$5,2,FALSE)</f>
        <v>China</v>
      </c>
      <c r="H102" s="16" t="s">
        <v>170</v>
      </c>
      <c r="I102" s="16" t="s">
        <v>171</v>
      </c>
      <c r="J102" s="16" t="s">
        <v>186</v>
      </c>
      <c r="K102" s="16" t="s">
        <v>64</v>
      </c>
      <c r="L102" s="16" t="s">
        <v>187</v>
      </c>
      <c r="M102" s="32" t="s">
        <v>188</v>
      </c>
      <c r="N102" s="16" t="s">
        <v>66</v>
      </c>
      <c r="O102" s="28" t="s">
        <v>68</v>
      </c>
      <c r="P102" s="28" t="s">
        <v>68</v>
      </c>
    </row>
    <row r="103" spans="1:16" ht="14" x14ac:dyDescent="0.2">
      <c r="A103" s="13">
        <f t="shared" si="33"/>
        <v>2024</v>
      </c>
      <c r="B103" s="13" t="str">
        <f t="shared" si="34"/>
        <v>08</v>
      </c>
      <c r="C103" s="13" t="str">
        <f t="shared" si="35"/>
        <v>06</v>
      </c>
      <c r="D103" s="16" t="str">
        <f>VLOOKUP(H103,'Names for Vlookup'!$B$26:$C$94,2,FALSE)</f>
        <v>HwaYong Pharm.</v>
      </c>
      <c r="E103" s="16" t="str">
        <f>VLOOKUP(K103,'Names for Vlookup'!$B$8:$C$21,2,FALSE)</f>
        <v>Deer velvet (frozen)</v>
      </c>
      <c r="F103" s="16" t="str">
        <f>VLOOKUP(O103,'Names for Vlookup'!$B$2:$C$5,2,FALSE)</f>
        <v>New Zealand</v>
      </c>
      <c r="G103" s="16" t="str">
        <f>VLOOKUP(P103,'Names for Vlookup'!$B$2:$C$5,2,FALSE)</f>
        <v>New Zealand</v>
      </c>
      <c r="H103" s="16" t="s">
        <v>80</v>
      </c>
      <c r="I103" s="16" t="s">
        <v>74</v>
      </c>
      <c r="J103" s="16" t="s">
        <v>81</v>
      </c>
      <c r="K103" s="16" t="s">
        <v>74</v>
      </c>
      <c r="L103" s="16" t="s">
        <v>36</v>
      </c>
      <c r="M103" s="32" t="s">
        <v>189</v>
      </c>
      <c r="N103" s="16" t="s">
        <v>66</v>
      </c>
      <c r="O103" s="28" t="s">
        <v>67</v>
      </c>
      <c r="P103" s="28" t="s">
        <v>67</v>
      </c>
    </row>
    <row r="104" spans="1:16" ht="14" x14ac:dyDescent="0.2">
      <c r="A104" s="13">
        <f t="shared" ref="A104" si="36">YEAR(M104)</f>
        <v>2024</v>
      </c>
      <c r="B104" s="13" t="str">
        <f t="shared" ref="B104" si="37">TEXT(M104,"mm")</f>
        <v>08</v>
      </c>
      <c r="C104" s="13" t="str">
        <f t="shared" ref="C104" si="38">TEXT(M104,"dd")</f>
        <v>06</v>
      </c>
      <c r="D104" s="16" t="str">
        <f>VLOOKUP(H104,'Names for Vlookup'!$B$26:$C$94,2,FALSE)</f>
        <v>YW International</v>
      </c>
      <c r="E104" s="16" t="str">
        <f>VLOOKUP(K104,'Names for Vlookup'!$B$8:$C$21,2,FALSE)</f>
        <v>Deer velvet (frozen)</v>
      </c>
      <c r="F104" s="16" t="str">
        <f>VLOOKUP(O104,'Names for Vlookup'!$B$2:$C$5,2,FALSE)</f>
        <v>New Zealand</v>
      </c>
      <c r="G104" s="16" t="str">
        <f>VLOOKUP(P104,'Names for Vlookup'!$B$2:$C$5,2,FALSE)</f>
        <v>New Zealand</v>
      </c>
      <c r="H104" s="16" t="s">
        <v>88</v>
      </c>
      <c r="I104" s="16" t="s">
        <v>72</v>
      </c>
      <c r="J104" s="16" t="s">
        <v>89</v>
      </c>
      <c r="K104" s="16" t="s">
        <v>74</v>
      </c>
      <c r="L104" s="16" t="s">
        <v>38</v>
      </c>
      <c r="M104" s="32" t="s">
        <v>189</v>
      </c>
      <c r="N104" s="16" t="s">
        <v>66</v>
      </c>
      <c r="O104" s="28" t="s">
        <v>67</v>
      </c>
      <c r="P104" s="28" t="s">
        <v>67</v>
      </c>
    </row>
    <row r="105" spans="1:16" ht="14" x14ac:dyDescent="0.2">
      <c r="A105" s="13">
        <f t="shared" ref="A105:A109" si="39">YEAR(M105)</f>
        <v>2024</v>
      </c>
      <c r="B105" s="13" t="str">
        <f t="shared" ref="B105:B109" si="40">TEXT(M105,"mm")</f>
        <v>08</v>
      </c>
      <c r="C105" s="13" t="str">
        <f t="shared" ref="C105:C109" si="41">TEXT(M105,"dd")</f>
        <v>06</v>
      </c>
      <c r="D105" s="16" t="str">
        <f>VLOOKUP(H105,'Names for Vlookup'!$B$26:$C$94,2,FALSE)</f>
        <v>YW International</v>
      </c>
      <c r="E105" s="16" t="str">
        <f>VLOOKUP(K105,'Names for Vlookup'!$B$8:$C$21,2,FALSE)</f>
        <v>Deer velvet (frozen)</v>
      </c>
      <c r="F105" s="16" t="str">
        <f>VLOOKUP(O105,'Names for Vlookup'!$B$2:$C$5,2,FALSE)</f>
        <v>New Zealand</v>
      </c>
      <c r="G105" s="16" t="str">
        <f>VLOOKUP(P105,'Names for Vlookup'!$B$2:$C$5,2,FALSE)</f>
        <v>New Zealand</v>
      </c>
      <c r="H105" s="16" t="s">
        <v>88</v>
      </c>
      <c r="I105" s="16" t="s">
        <v>72</v>
      </c>
      <c r="J105" s="16" t="s">
        <v>120</v>
      </c>
      <c r="K105" s="16" t="s">
        <v>74</v>
      </c>
      <c r="L105" s="16" t="s">
        <v>121</v>
      </c>
      <c r="M105" s="32" t="s">
        <v>189</v>
      </c>
      <c r="N105" s="16" t="s">
        <v>66</v>
      </c>
      <c r="O105" s="28" t="s">
        <v>67</v>
      </c>
      <c r="P105" s="28" t="s">
        <v>67</v>
      </c>
    </row>
    <row r="106" spans="1:16" ht="14" x14ac:dyDescent="0.2">
      <c r="A106" s="13">
        <f t="shared" si="39"/>
        <v>2024</v>
      </c>
      <c r="B106" s="13" t="str">
        <f t="shared" si="40"/>
        <v>08</v>
      </c>
      <c r="C106" s="13" t="str">
        <f t="shared" si="41"/>
        <v>06</v>
      </c>
      <c r="D106" s="16" t="str">
        <f>VLOOKUP(H106,'Names for Vlookup'!$B$26:$C$94,2,FALSE)</f>
        <v>HwaYong Pharm.</v>
      </c>
      <c r="E106" s="16" t="str">
        <f>VLOOKUP(K106,'Names for Vlookup'!$B$8:$C$21,2,FALSE)</f>
        <v>Deer velvet (frozen)</v>
      </c>
      <c r="F106" s="16" t="str">
        <f>VLOOKUP(O106,'Names for Vlookup'!$B$2:$C$5,2,FALSE)</f>
        <v>New Zealand</v>
      </c>
      <c r="G106" s="16" t="str">
        <f>VLOOKUP(P106,'Names for Vlookup'!$B$2:$C$5,2,FALSE)</f>
        <v>New Zealand</v>
      </c>
      <c r="H106" s="16" t="s">
        <v>80</v>
      </c>
      <c r="I106" s="16" t="s">
        <v>74</v>
      </c>
      <c r="J106" s="16" t="s">
        <v>81</v>
      </c>
      <c r="K106" s="16" t="s">
        <v>74</v>
      </c>
      <c r="L106" s="16" t="s">
        <v>36</v>
      </c>
      <c r="M106" s="32" t="s">
        <v>189</v>
      </c>
      <c r="N106" s="16" t="s">
        <v>66</v>
      </c>
      <c r="O106" s="28" t="s">
        <v>67</v>
      </c>
      <c r="P106" s="28" t="s">
        <v>67</v>
      </c>
    </row>
    <row r="107" spans="1:16" ht="14" x14ac:dyDescent="0.2">
      <c r="A107" s="13">
        <f t="shared" si="39"/>
        <v>2024</v>
      </c>
      <c r="B107" s="13" t="str">
        <f t="shared" si="40"/>
        <v>07</v>
      </c>
      <c r="C107" s="13" t="str">
        <f t="shared" si="41"/>
        <v>26</v>
      </c>
      <c r="D107" s="16" t="str">
        <f>VLOOKUP(H107,'Names for Vlookup'!$B$26:$C$94,2,FALSE)</f>
        <v>Yujin Trade</v>
      </c>
      <c r="E107" s="16" t="str">
        <f>VLOOKUP(K107,'Names for Vlookup'!$B$8:$C$21,2,FALSE)</f>
        <v>Deer velvet (dried)</v>
      </c>
      <c r="F107" s="16" t="str">
        <f>VLOOKUP(O107,'Names for Vlookup'!$B$2:$C$5,2,FALSE)</f>
        <v>New Zealand</v>
      </c>
      <c r="G107" s="16" t="str">
        <f>VLOOKUP(P107,'Names for Vlookup'!$B$2:$C$5,2,FALSE)</f>
        <v>China</v>
      </c>
      <c r="H107" s="16" t="s">
        <v>91</v>
      </c>
      <c r="I107" s="16" t="s">
        <v>171</v>
      </c>
      <c r="J107" s="16" t="s">
        <v>190</v>
      </c>
      <c r="K107" s="16" t="s">
        <v>64</v>
      </c>
      <c r="L107" s="16" t="s">
        <v>191</v>
      </c>
      <c r="M107" s="32" t="s">
        <v>192</v>
      </c>
      <c r="N107" s="16" t="s">
        <v>193</v>
      </c>
      <c r="O107" s="28" t="s">
        <v>67</v>
      </c>
      <c r="P107" s="28" t="s">
        <v>68</v>
      </c>
    </row>
    <row r="108" spans="1:16" ht="14" x14ac:dyDescent="0.2">
      <c r="A108" s="13">
        <f t="shared" si="39"/>
        <v>2024</v>
      </c>
      <c r="B108" s="13" t="str">
        <f t="shared" si="40"/>
        <v>07</v>
      </c>
      <c r="C108" s="13" t="str">
        <f t="shared" si="41"/>
        <v>17</v>
      </c>
      <c r="D108" s="16" t="str">
        <f>VLOOKUP(H108,'Names for Vlookup'!$B$26:$C$94,2,FALSE)</f>
        <v>Yuhan Care</v>
      </c>
      <c r="E108" s="16" t="str">
        <f>VLOOKUP(K108,'Names for Vlookup'!$B$8:$C$21,2,FALSE)</f>
        <v>Animal based processed food</v>
      </c>
      <c r="F108" s="16" t="str">
        <f>VLOOKUP(O108,'Names for Vlookup'!$B$2:$C$5,2,FALSE)</f>
        <v>New Zealand</v>
      </c>
      <c r="G108" s="16" t="str">
        <f>VLOOKUP(P108,'Names for Vlookup'!$B$2:$C$5,2,FALSE)</f>
        <v>New Zealand</v>
      </c>
      <c r="H108" s="16" t="s">
        <v>158</v>
      </c>
      <c r="I108" s="16" t="s">
        <v>180</v>
      </c>
      <c r="J108" s="16" t="s">
        <v>181</v>
      </c>
      <c r="K108" s="16" t="s">
        <v>182</v>
      </c>
      <c r="L108" s="16" t="s">
        <v>183</v>
      </c>
      <c r="M108" s="32" t="s">
        <v>194</v>
      </c>
      <c r="N108" s="16" t="s">
        <v>195</v>
      </c>
      <c r="O108" s="28" t="s">
        <v>67</v>
      </c>
      <c r="P108" s="28" t="s">
        <v>67</v>
      </c>
    </row>
    <row r="109" spans="1:16" ht="14" x14ac:dyDescent="0.2">
      <c r="A109" s="13">
        <f t="shared" si="39"/>
        <v>2024</v>
      </c>
      <c r="B109" s="13" t="str">
        <f t="shared" si="40"/>
        <v>07</v>
      </c>
      <c r="C109" s="13" t="str">
        <f t="shared" si="41"/>
        <v>08</v>
      </c>
      <c r="D109" s="16" t="str">
        <f>VLOOKUP(H109,'Names for Vlookup'!$B$26:$C$94,2,FALSE)</f>
        <v>DHG Global</v>
      </c>
      <c r="E109" s="16" t="str">
        <f>VLOOKUP(K109,'Names for Vlookup'!$B$8:$C$21,2,FALSE)</f>
        <v>Deer velvet (dried)</v>
      </c>
      <c r="F109" s="16" t="str">
        <f>VLOOKUP(O109,'Names for Vlookup'!$B$2:$C$5,2,FALSE)</f>
        <v>Russia</v>
      </c>
      <c r="G109" s="16" t="str">
        <f>VLOOKUP(P109,'Names for Vlookup'!$B$2:$C$5,2,FALSE)</f>
        <v>Russia</v>
      </c>
      <c r="H109" s="16" t="s">
        <v>196</v>
      </c>
      <c r="I109" s="16" t="s">
        <v>62</v>
      </c>
      <c r="J109" s="16" t="s">
        <v>63</v>
      </c>
      <c r="K109" s="16" t="s">
        <v>64</v>
      </c>
      <c r="L109" s="16" t="s">
        <v>197</v>
      </c>
      <c r="M109" s="32" t="s">
        <v>198</v>
      </c>
      <c r="N109" s="16" t="s">
        <v>199</v>
      </c>
      <c r="O109" s="28" t="s">
        <v>95</v>
      </c>
      <c r="P109" s="28" t="s">
        <v>95</v>
      </c>
    </row>
    <row r="110" spans="1:16" ht="14" x14ac:dyDescent="0.2">
      <c r="A110" s="13">
        <f t="shared" ref="A110" si="42">YEAR(M110)</f>
        <v>2024</v>
      </c>
      <c r="B110" s="13" t="str">
        <f t="shared" ref="B110" si="43">TEXT(M110,"mm")</f>
        <v>06</v>
      </c>
      <c r="C110" s="13" t="str">
        <f t="shared" ref="C110" si="44">TEXT(M110,"dd")</f>
        <v>26</v>
      </c>
      <c r="D110" s="16" t="str">
        <f>VLOOKUP(H110,'Names for Vlookup'!$B$26:$C$94,2,FALSE)</f>
        <v>Yujin Trade</v>
      </c>
      <c r="E110" s="16" t="str">
        <f>VLOOKUP(K110,'Names for Vlookup'!$B$8:$C$21,2,FALSE)</f>
        <v>Deer velvet (dried)</v>
      </c>
      <c r="F110" s="16" t="str">
        <f>VLOOKUP(O110,'Names for Vlookup'!$B$2:$C$5,2,FALSE)</f>
        <v>Russia</v>
      </c>
      <c r="G110" s="16" t="str">
        <f>VLOOKUP(P110,'Names for Vlookup'!$B$2:$C$5,2,FALSE)</f>
        <v>Russia</v>
      </c>
      <c r="H110" s="16" t="s">
        <v>91</v>
      </c>
      <c r="I110" s="16" t="s">
        <v>171</v>
      </c>
      <c r="J110" s="16" t="s">
        <v>200</v>
      </c>
      <c r="K110" s="16" t="s">
        <v>64</v>
      </c>
      <c r="L110" s="16" t="s">
        <v>154</v>
      </c>
      <c r="M110" s="32">
        <v>45469</v>
      </c>
      <c r="N110" s="16" t="s">
        <v>201</v>
      </c>
      <c r="O110" s="28" t="s">
        <v>95</v>
      </c>
      <c r="P110" s="28" t="s">
        <v>95</v>
      </c>
    </row>
    <row r="111" spans="1:16" ht="14" x14ac:dyDescent="0.2">
      <c r="A111" s="13">
        <f t="shared" ref="A111:A124" si="45">YEAR(M111)</f>
        <v>2024</v>
      </c>
      <c r="B111" s="13" t="str">
        <f t="shared" ref="B111:B124" si="46">TEXT(M111,"mm")</f>
        <v>06</v>
      </c>
      <c r="C111" s="13" t="str">
        <f t="shared" ref="C111:C124" si="47">TEXT(M111,"dd")</f>
        <v>13</v>
      </c>
      <c r="D111" s="16" t="str">
        <f>VLOOKUP(H111,'Names for Vlookup'!$B$26:$C$94,2,FALSE)</f>
        <v>YongBo (Mr. Woljin Kim)</v>
      </c>
      <c r="E111" s="16" t="str">
        <f>VLOOKUP(K111,'Names for Vlookup'!$B$8:$C$21,2,FALSE)</f>
        <v>Deer velvet (dried)</v>
      </c>
      <c r="F111" s="16" t="str">
        <f>VLOOKUP(O111,'Names for Vlookup'!$B$2:$C$5,2,FALSE)</f>
        <v>New Zealand</v>
      </c>
      <c r="G111" s="16" t="str">
        <f>VLOOKUP(P111,'Names for Vlookup'!$B$2:$C$5,2,FALSE)</f>
        <v>China</v>
      </c>
      <c r="H111" s="16" t="s">
        <v>98</v>
      </c>
      <c r="I111" s="16" t="s">
        <v>64</v>
      </c>
      <c r="J111" s="16" t="s">
        <v>70</v>
      </c>
      <c r="K111" s="16" t="s">
        <v>64</v>
      </c>
      <c r="L111" s="16" t="s">
        <v>33</v>
      </c>
      <c r="M111" s="32">
        <v>45456</v>
      </c>
      <c r="N111" s="16" t="s">
        <v>202</v>
      </c>
      <c r="O111" s="28" t="s">
        <v>67</v>
      </c>
      <c r="P111" s="28" t="s">
        <v>68</v>
      </c>
    </row>
    <row r="112" spans="1:16" ht="14" x14ac:dyDescent="0.2">
      <c r="A112" s="13">
        <f t="shared" si="45"/>
        <v>2024</v>
      </c>
      <c r="B112" s="13" t="str">
        <f t="shared" si="46"/>
        <v>06</v>
      </c>
      <c r="C112" s="13" t="str">
        <f t="shared" si="47"/>
        <v>10</v>
      </c>
      <c r="D112" s="16" t="str">
        <f>VLOOKUP(H112,'Names for Vlookup'!$B$26:$C$94,2,FALSE)</f>
        <v>KNC Deertrade</v>
      </c>
      <c r="E112" s="16" t="str">
        <f>VLOOKUP(K112,'Names for Vlookup'!$B$8:$C$21,2,FALSE)</f>
        <v>Deer velvet (frozen)</v>
      </c>
      <c r="F112" s="16" t="str">
        <f>VLOOKUP(O112,'Names for Vlookup'!$B$2:$C$5,2,FALSE)</f>
        <v>New Zealand</v>
      </c>
      <c r="G112" s="16" t="str">
        <f>VLOOKUP(P112,'Names for Vlookup'!$B$2:$C$5,2,FALSE)</f>
        <v>New Zealand</v>
      </c>
      <c r="H112" s="16" t="s">
        <v>75</v>
      </c>
      <c r="I112" s="16" t="s">
        <v>76</v>
      </c>
      <c r="J112" s="16" t="s">
        <v>73</v>
      </c>
      <c r="K112" s="16" t="s">
        <v>74</v>
      </c>
      <c r="L112" s="16" t="s">
        <v>203</v>
      </c>
      <c r="M112" s="32">
        <v>45453</v>
      </c>
      <c r="N112" s="16" t="s">
        <v>204</v>
      </c>
      <c r="O112" s="28" t="s">
        <v>67</v>
      </c>
      <c r="P112" s="28" t="s">
        <v>67</v>
      </c>
    </row>
    <row r="113" spans="1:16" ht="14" x14ac:dyDescent="0.2">
      <c r="A113" s="13">
        <f t="shared" si="45"/>
        <v>2024</v>
      </c>
      <c r="B113" s="13" t="str">
        <f t="shared" si="46"/>
        <v>06</v>
      </c>
      <c r="C113" s="13" t="str">
        <f t="shared" si="47"/>
        <v>07</v>
      </c>
      <c r="D113" s="16" t="str">
        <f>VLOOKUP(H113,'Names for Vlookup'!$B$26:$C$94,2,FALSE)</f>
        <v xml:space="preserve">WooSung (Mr Bang) </v>
      </c>
      <c r="E113" s="16" t="str">
        <f>VLOOKUP(K113,'Names for Vlookup'!$B$8:$C$21,2,FALSE)</f>
        <v>Deer velvet (dried)</v>
      </c>
      <c r="F113" s="16" t="str">
        <f>VLOOKUP(O113,'Names for Vlookup'!$B$2:$C$5,2,FALSE)</f>
        <v>New Zealand</v>
      </c>
      <c r="G113" s="16" t="str">
        <f>VLOOKUP(P113,'Names for Vlookup'!$B$2:$C$5,2,FALSE)</f>
        <v>China</v>
      </c>
      <c r="H113" s="16" t="s">
        <v>69</v>
      </c>
      <c r="I113" s="16" t="s">
        <v>64</v>
      </c>
      <c r="J113" s="16" t="s">
        <v>70</v>
      </c>
      <c r="K113" s="16" t="s">
        <v>64</v>
      </c>
      <c r="L113" s="16" t="s">
        <v>33</v>
      </c>
      <c r="M113" s="32">
        <v>45450</v>
      </c>
      <c r="N113" s="16" t="s">
        <v>205</v>
      </c>
      <c r="O113" s="28" t="s">
        <v>67</v>
      </c>
      <c r="P113" s="28" t="s">
        <v>68</v>
      </c>
    </row>
    <row r="114" spans="1:16" ht="14" x14ac:dyDescent="0.2">
      <c r="A114" s="13">
        <f t="shared" si="45"/>
        <v>2024</v>
      </c>
      <c r="B114" s="13" t="str">
        <f t="shared" si="46"/>
        <v>05</v>
      </c>
      <c r="C114" s="13" t="str">
        <f t="shared" si="47"/>
        <v>29</v>
      </c>
      <c r="D114" s="16" t="str">
        <f>VLOOKUP(H114,'Names for Vlookup'!$B$26:$C$94,2,FALSE)</f>
        <v>Daedeok Pharm.</v>
      </c>
      <c r="E114" s="16" t="str">
        <f>VLOOKUP(K114,'Names for Vlookup'!$B$8:$C$21,2,FALSE)</f>
        <v>Deer velvet (dried)</v>
      </c>
      <c r="F114" s="16" t="str">
        <f>VLOOKUP(O114,'Names for Vlookup'!$B$2:$C$5,2,FALSE)</f>
        <v>Russia</v>
      </c>
      <c r="G114" s="16" t="str">
        <f>VLOOKUP(P114,'Names for Vlookup'!$B$2:$C$5,2,FALSE)</f>
        <v>Russia</v>
      </c>
      <c r="H114" s="16" t="s">
        <v>206</v>
      </c>
      <c r="I114" s="16" t="s">
        <v>62</v>
      </c>
      <c r="J114" s="16" t="s">
        <v>207</v>
      </c>
      <c r="K114" s="16" t="s">
        <v>64</v>
      </c>
      <c r="L114" s="16" t="s">
        <v>103</v>
      </c>
      <c r="M114" s="32">
        <v>45441</v>
      </c>
      <c r="N114" s="16" t="s">
        <v>66</v>
      </c>
      <c r="O114" s="28" t="s">
        <v>95</v>
      </c>
      <c r="P114" s="28" t="s">
        <v>95</v>
      </c>
    </row>
    <row r="115" spans="1:16" ht="14" x14ac:dyDescent="0.2">
      <c r="A115" s="13">
        <f t="shared" si="45"/>
        <v>2024</v>
      </c>
      <c r="B115" s="13" t="str">
        <f t="shared" si="46"/>
        <v>05</v>
      </c>
      <c r="C115" s="13" t="str">
        <f t="shared" si="47"/>
        <v>29</v>
      </c>
      <c r="D115" s="16" t="str">
        <f>VLOOKUP(H115,'Names for Vlookup'!$B$26:$C$94,2,FALSE)</f>
        <v>MyungGa (Mr.Lee in Daegu)</v>
      </c>
      <c r="E115" s="16" t="str">
        <f>VLOOKUP(K115,'Names for Vlookup'!$B$8:$C$21,2,FALSE)</f>
        <v>Deer velvet (dried)</v>
      </c>
      <c r="F115" s="16" t="str">
        <f>VLOOKUP(O115,'Names for Vlookup'!$B$2:$C$5,2,FALSE)</f>
        <v>Russia</v>
      </c>
      <c r="G115" s="16" t="str">
        <f>VLOOKUP(P115,'Names for Vlookup'!$B$2:$C$5,2,FALSE)</f>
        <v>Russia</v>
      </c>
      <c r="H115" s="16" t="s">
        <v>208</v>
      </c>
      <c r="I115" s="16" t="s">
        <v>62</v>
      </c>
      <c r="J115" s="16" t="s">
        <v>207</v>
      </c>
      <c r="K115" s="16" t="s">
        <v>64</v>
      </c>
      <c r="L115" s="16" t="s">
        <v>103</v>
      </c>
      <c r="M115" s="32">
        <v>45441</v>
      </c>
      <c r="N115" s="16" t="s">
        <v>66</v>
      </c>
      <c r="O115" s="28" t="s">
        <v>95</v>
      </c>
      <c r="P115" s="28" t="s">
        <v>95</v>
      </c>
    </row>
    <row r="116" spans="1:16" ht="14" x14ac:dyDescent="0.2">
      <c r="A116" s="13">
        <f t="shared" si="45"/>
        <v>2024</v>
      </c>
      <c r="B116" s="13" t="str">
        <f t="shared" si="46"/>
        <v>05</v>
      </c>
      <c r="C116" s="13" t="str">
        <f t="shared" si="47"/>
        <v>24</v>
      </c>
      <c r="D116" s="16" t="str">
        <f>VLOOKUP(H116,'Names for Vlookup'!$B$26:$C$94,2,FALSE)</f>
        <v>Onnuri Bio</v>
      </c>
      <c r="E116" s="16" t="str">
        <f>VLOOKUP(K116,'Names for Vlookup'!$B$8:$C$21,2,FALSE)</f>
        <v>Deer velvet (dried)</v>
      </c>
      <c r="F116" s="16" t="str">
        <f>VLOOKUP(O116,'Names for Vlookup'!$B$2:$C$5,2,FALSE)</f>
        <v>New Zealand</v>
      </c>
      <c r="G116" s="16" t="str">
        <f>VLOOKUP(P116,'Names for Vlookup'!$B$2:$C$5,2,FALSE)</f>
        <v>New Zealand</v>
      </c>
      <c r="H116" s="16" t="s">
        <v>61</v>
      </c>
      <c r="I116" s="16" t="s">
        <v>62</v>
      </c>
      <c r="J116" s="16" t="s">
        <v>63</v>
      </c>
      <c r="K116" s="16" t="s">
        <v>64</v>
      </c>
      <c r="L116" s="16" t="s">
        <v>129</v>
      </c>
      <c r="M116" s="32">
        <v>45436</v>
      </c>
      <c r="N116" s="16" t="s">
        <v>209</v>
      </c>
      <c r="O116" s="28" t="s">
        <v>67</v>
      </c>
      <c r="P116" s="28" t="s">
        <v>67</v>
      </c>
    </row>
    <row r="117" spans="1:16" ht="14" x14ac:dyDescent="0.2">
      <c r="A117" s="13">
        <f t="shared" si="45"/>
        <v>2024</v>
      </c>
      <c r="B117" s="13" t="str">
        <f t="shared" si="46"/>
        <v>05</v>
      </c>
      <c r="C117" s="13" t="str">
        <f t="shared" si="47"/>
        <v>24</v>
      </c>
      <c r="D117" s="16" t="str">
        <f>VLOOKUP(H117,'Names for Vlookup'!$B$26:$C$94,2,FALSE)</f>
        <v>Bibong Herb</v>
      </c>
      <c r="E117" s="16" t="str">
        <f>VLOOKUP(K117,'Names for Vlookup'!$B$8:$C$21,2,FALSE)</f>
        <v>Deer velvet (dried)</v>
      </c>
      <c r="F117" s="16" t="str">
        <f>VLOOKUP(O117,'Names for Vlookup'!$B$2:$C$5,2,FALSE)</f>
        <v>New Zealand</v>
      </c>
      <c r="G117" s="16" t="str">
        <f>VLOOKUP(P117,'Names for Vlookup'!$B$2:$C$5,2,FALSE)</f>
        <v>New Zealand</v>
      </c>
      <c r="H117" s="16" t="s">
        <v>135</v>
      </c>
      <c r="I117" s="16" t="s">
        <v>62</v>
      </c>
      <c r="J117" s="16" t="s">
        <v>63</v>
      </c>
      <c r="K117" s="16" t="s">
        <v>64</v>
      </c>
      <c r="L117" s="16" t="s">
        <v>129</v>
      </c>
      <c r="M117" s="32">
        <v>45436</v>
      </c>
      <c r="N117" s="16" t="s">
        <v>210</v>
      </c>
      <c r="O117" s="28" t="s">
        <v>67</v>
      </c>
      <c r="P117" s="28" t="s">
        <v>67</v>
      </c>
    </row>
    <row r="118" spans="1:16" ht="14" x14ac:dyDescent="0.2">
      <c r="A118" s="13">
        <f t="shared" si="45"/>
        <v>2024</v>
      </c>
      <c r="B118" s="13" t="str">
        <f t="shared" si="46"/>
        <v>05</v>
      </c>
      <c r="C118" s="13" t="str">
        <f t="shared" si="47"/>
        <v>10</v>
      </c>
      <c r="D118" s="16" t="str">
        <f>VLOOKUP(H118,'Names for Vlookup'!$B$26:$C$94,2,FALSE)</f>
        <v>YW International</v>
      </c>
      <c r="E118" s="16" t="str">
        <f>VLOOKUP(K118,'Names for Vlookup'!$B$8:$C$21,2,FALSE)</f>
        <v>Deer velvet (frozen)</v>
      </c>
      <c r="F118" s="16" t="str">
        <f>VLOOKUP(O118,'Names for Vlookup'!$B$2:$C$5,2,FALSE)</f>
        <v>New Zealand</v>
      </c>
      <c r="G118" s="16" t="str">
        <f>VLOOKUP(P118,'Names for Vlookup'!$B$2:$C$5,2,FALSE)</f>
        <v>New Zealand</v>
      </c>
      <c r="H118" s="16" t="s">
        <v>88</v>
      </c>
      <c r="I118" s="16" t="s">
        <v>72</v>
      </c>
      <c r="J118" s="16" t="s">
        <v>120</v>
      </c>
      <c r="K118" s="16" t="s">
        <v>74</v>
      </c>
      <c r="L118" s="16" t="s">
        <v>121</v>
      </c>
      <c r="M118" s="32">
        <v>45422</v>
      </c>
      <c r="N118" s="16" t="s">
        <v>66</v>
      </c>
      <c r="O118" s="28" t="s">
        <v>67</v>
      </c>
      <c r="P118" s="28" t="s">
        <v>67</v>
      </c>
    </row>
    <row r="119" spans="1:16" ht="14" x14ac:dyDescent="0.2">
      <c r="A119" s="13">
        <f t="shared" si="45"/>
        <v>2024</v>
      </c>
      <c r="B119" s="13" t="str">
        <f t="shared" si="46"/>
        <v>05</v>
      </c>
      <c r="C119" s="13" t="str">
        <f t="shared" si="47"/>
        <v>03</v>
      </c>
      <c r="D119" s="16" t="str">
        <f>VLOOKUP(H119,'Names for Vlookup'!$B$26:$C$94,2,FALSE)</f>
        <v>Rokone</v>
      </c>
      <c r="E119" s="16" t="str">
        <f>VLOOKUP(K119,'Names for Vlookup'!$B$8:$C$21,2,FALSE)</f>
        <v>Deer velvet (frozen)</v>
      </c>
      <c r="F119" s="16" t="str">
        <f>VLOOKUP(O119,'Names for Vlookup'!$B$2:$C$5,2,FALSE)</f>
        <v>New Zealand</v>
      </c>
      <c r="G119" s="16" t="str">
        <f>VLOOKUP(P119,'Names for Vlookup'!$B$2:$C$5,2,FALSE)</f>
        <v>New Zealand</v>
      </c>
      <c r="H119" s="16" t="s">
        <v>147</v>
      </c>
      <c r="I119" s="16" t="s">
        <v>72</v>
      </c>
      <c r="J119" s="16" t="s">
        <v>120</v>
      </c>
      <c r="K119" s="16" t="s">
        <v>74</v>
      </c>
      <c r="L119" s="16" t="s">
        <v>129</v>
      </c>
      <c r="M119" s="32">
        <v>45415</v>
      </c>
      <c r="N119" s="16" t="s">
        <v>66</v>
      </c>
      <c r="O119" s="28" t="s">
        <v>67</v>
      </c>
      <c r="P119" s="28" t="s">
        <v>67</v>
      </c>
    </row>
    <row r="120" spans="1:16" ht="14" x14ac:dyDescent="0.2">
      <c r="A120" s="13">
        <f t="shared" si="45"/>
        <v>2024</v>
      </c>
      <c r="B120" s="13" t="str">
        <f t="shared" si="46"/>
        <v>05</v>
      </c>
      <c r="C120" s="13" t="str">
        <f t="shared" si="47"/>
        <v>03</v>
      </c>
      <c r="D120" s="16" t="str">
        <f>VLOOKUP(H120,'Names for Vlookup'!$B$26:$C$94,2,FALSE)</f>
        <v>DaeWon RTD</v>
      </c>
      <c r="E120" s="16" t="str">
        <f>VLOOKUP(K120,'Names for Vlookup'!$B$8:$C$21,2,FALSE)</f>
        <v>Deer velvet (dried)</v>
      </c>
      <c r="F120" s="16" t="str">
        <f>VLOOKUP(O120,'Names for Vlookup'!$B$2:$C$5,2,FALSE)</f>
        <v>Russia</v>
      </c>
      <c r="G120" s="16" t="str">
        <f>VLOOKUP(P120,'Names for Vlookup'!$B$2:$C$5,2,FALSE)</f>
        <v>Russia</v>
      </c>
      <c r="H120" s="16" t="s">
        <v>102</v>
      </c>
      <c r="I120" s="16" t="s">
        <v>64</v>
      </c>
      <c r="J120" s="16" t="s">
        <v>94</v>
      </c>
      <c r="K120" s="16" t="s">
        <v>64</v>
      </c>
      <c r="L120" s="16" t="s">
        <v>103</v>
      </c>
      <c r="M120" s="32">
        <v>45415</v>
      </c>
      <c r="N120" s="16" t="s">
        <v>211</v>
      </c>
      <c r="O120" s="28" t="s">
        <v>95</v>
      </c>
      <c r="P120" s="28" t="s">
        <v>95</v>
      </c>
    </row>
    <row r="121" spans="1:16" ht="14" x14ac:dyDescent="0.2">
      <c r="A121" s="13">
        <f t="shared" si="45"/>
        <v>2024</v>
      </c>
      <c r="B121" s="13" t="str">
        <f t="shared" si="46"/>
        <v>05</v>
      </c>
      <c r="C121" s="13" t="str">
        <f t="shared" si="47"/>
        <v>03</v>
      </c>
      <c r="D121" s="16" t="str">
        <f>VLOOKUP(H121,'Names for Vlookup'!$B$26:$C$94,2,FALSE)</f>
        <v>Heungsoo Nogyong</v>
      </c>
      <c r="E121" s="16" t="str">
        <f>VLOOKUP(K121,'Names for Vlookup'!$B$8:$C$21,2,FALSE)</f>
        <v>Deer velvet (dried)</v>
      </c>
      <c r="F121" s="16" t="str">
        <f>VLOOKUP(O121,'Names for Vlookup'!$B$2:$C$5,2,FALSE)</f>
        <v>Russia</v>
      </c>
      <c r="G121" s="16" t="str">
        <f>VLOOKUP(P121,'Names for Vlookup'!$B$2:$C$5,2,FALSE)</f>
        <v>Russia</v>
      </c>
      <c r="H121" s="16" t="s">
        <v>104</v>
      </c>
      <c r="I121" s="16" t="s">
        <v>64</v>
      </c>
      <c r="J121" s="16" t="s">
        <v>105</v>
      </c>
      <c r="K121" s="16" t="s">
        <v>64</v>
      </c>
      <c r="L121" s="16" t="s">
        <v>103</v>
      </c>
      <c r="M121" s="32">
        <v>45415</v>
      </c>
      <c r="N121" s="16" t="s">
        <v>211</v>
      </c>
      <c r="O121" s="28" t="s">
        <v>95</v>
      </c>
      <c r="P121" s="28" t="s">
        <v>95</v>
      </c>
    </row>
    <row r="122" spans="1:16" ht="14" x14ac:dyDescent="0.2">
      <c r="A122" s="13">
        <f t="shared" si="45"/>
        <v>2024</v>
      </c>
      <c r="B122" s="13" t="str">
        <f t="shared" si="46"/>
        <v>05</v>
      </c>
      <c r="C122" s="13" t="str">
        <f t="shared" si="47"/>
        <v>01</v>
      </c>
      <c r="D122" s="16" t="str">
        <f>VLOOKUP(H122,'Names for Vlookup'!$B$26:$C$94,2,FALSE)</f>
        <v>Onnuri Bio</v>
      </c>
      <c r="E122" s="16" t="str">
        <f>VLOOKUP(K122,'Names for Vlookup'!$B$8:$C$21,2,FALSE)</f>
        <v>Deer velvet (dried)</v>
      </c>
      <c r="F122" s="16" t="str">
        <f>VLOOKUP(O122,'Names for Vlookup'!$B$2:$C$5,2,FALSE)</f>
        <v>Russia</v>
      </c>
      <c r="G122" s="16" t="str">
        <f>VLOOKUP(P122,'Names for Vlookup'!$B$2:$C$5,2,FALSE)</f>
        <v>Russia</v>
      </c>
      <c r="H122" s="16" t="s">
        <v>61</v>
      </c>
      <c r="I122" s="16" t="s">
        <v>62</v>
      </c>
      <c r="J122" s="16" t="s">
        <v>63</v>
      </c>
      <c r="K122" s="16" t="s">
        <v>64</v>
      </c>
      <c r="L122" s="16" t="s">
        <v>212</v>
      </c>
      <c r="M122" s="32">
        <v>45413</v>
      </c>
      <c r="N122" s="16" t="s">
        <v>213</v>
      </c>
      <c r="O122" s="28" t="s">
        <v>95</v>
      </c>
      <c r="P122" s="28" t="s">
        <v>95</v>
      </c>
    </row>
    <row r="123" spans="1:16" ht="14" x14ac:dyDescent="0.2">
      <c r="A123" s="13">
        <f t="shared" si="45"/>
        <v>2024</v>
      </c>
      <c r="B123" s="13" t="str">
        <f t="shared" si="46"/>
        <v>05</v>
      </c>
      <c r="C123" s="13" t="str">
        <f t="shared" si="47"/>
        <v>01</v>
      </c>
      <c r="D123" s="16" t="str">
        <f>VLOOKUP(H123,'Names for Vlookup'!$B$26:$C$94,2,FALSE)</f>
        <v>CheonJi Bio</v>
      </c>
      <c r="E123" s="16" t="str">
        <f>VLOOKUP(K123,'Names for Vlookup'!$B$8:$C$21,2,FALSE)</f>
        <v>Deer velvet (dried)</v>
      </c>
      <c r="F123" s="16" t="str">
        <f>VLOOKUP(O123,'Names for Vlookup'!$B$2:$C$5,2,FALSE)</f>
        <v>Russia</v>
      </c>
      <c r="G123" s="16" t="str">
        <f>VLOOKUP(P123,'Names for Vlookup'!$B$2:$C$5,2,FALSE)</f>
        <v>Russia</v>
      </c>
      <c r="H123" s="16" t="s">
        <v>214</v>
      </c>
      <c r="I123" s="16" t="s">
        <v>62</v>
      </c>
      <c r="J123" s="16" t="s">
        <v>63</v>
      </c>
      <c r="K123" s="16" t="s">
        <v>64</v>
      </c>
      <c r="L123" s="16" t="s">
        <v>212</v>
      </c>
      <c r="M123" s="32">
        <v>45413</v>
      </c>
      <c r="N123" s="16" t="s">
        <v>213</v>
      </c>
      <c r="O123" s="28" t="s">
        <v>95</v>
      </c>
      <c r="P123" s="28" t="s">
        <v>95</v>
      </c>
    </row>
    <row r="124" spans="1:16" ht="14" x14ac:dyDescent="0.2">
      <c r="A124" s="13">
        <f t="shared" si="45"/>
        <v>2024</v>
      </c>
      <c r="B124" s="13" t="str">
        <f t="shared" si="46"/>
        <v>04</v>
      </c>
      <c r="C124" s="13" t="str">
        <f t="shared" si="47"/>
        <v>22</v>
      </c>
      <c r="D124" s="16" t="str">
        <f>VLOOKUP(H124,'Names for Vlookup'!$B$26:$C$94,2,FALSE)</f>
        <v>MyungGa (Mr.Lee in Daegu)</v>
      </c>
      <c r="E124" s="16" t="str">
        <f>VLOOKUP(K124,'Names for Vlookup'!$B$8:$C$21,2,FALSE)</f>
        <v>Deer velvet (dried)</v>
      </c>
      <c r="F124" s="16" t="str">
        <f>VLOOKUP(O124,'Names for Vlookup'!$B$2:$C$5,2,FALSE)</f>
        <v>New Zealand</v>
      </c>
      <c r="G124" s="16" t="str">
        <f>VLOOKUP(P124,'Names for Vlookup'!$B$2:$C$5,2,FALSE)</f>
        <v>China</v>
      </c>
      <c r="H124" s="16" t="s">
        <v>208</v>
      </c>
      <c r="I124" s="16" t="s">
        <v>64</v>
      </c>
      <c r="J124" s="16" t="s">
        <v>70</v>
      </c>
      <c r="K124" s="16" t="s">
        <v>64</v>
      </c>
      <c r="L124" s="16" t="s">
        <v>33</v>
      </c>
      <c r="M124" s="32">
        <v>45404</v>
      </c>
      <c r="N124" s="16" t="s">
        <v>215</v>
      </c>
      <c r="O124" s="28" t="s">
        <v>67</v>
      </c>
      <c r="P124" s="28" t="s">
        <v>68</v>
      </c>
    </row>
    <row r="125" spans="1:16" ht="14" x14ac:dyDescent="0.2">
      <c r="A125" s="13">
        <f t="shared" ref="A125:A126" si="48">YEAR(M125)</f>
        <v>2024</v>
      </c>
      <c r="B125" s="13" t="str">
        <f t="shared" ref="B125:B126" si="49">TEXT(M125,"mm")</f>
        <v>04</v>
      </c>
      <c r="C125" s="13" t="str">
        <f t="shared" ref="C125:C126" si="50">TEXT(M125,"dd")</f>
        <v>05</v>
      </c>
      <c r="D125" s="16" t="str">
        <f>VLOOKUP(H125,'Names for Vlookup'!$B$26:$C$94,2,FALSE)</f>
        <v>Hyangna Bio</v>
      </c>
      <c r="E125" s="16" t="str">
        <f>VLOOKUP(K125,'Names for Vlookup'!$B$8:$C$21,2,FALSE)</f>
        <v>Deer velvet (dried)</v>
      </c>
      <c r="F125" s="16" t="str">
        <f>VLOOKUP(O125,'Names for Vlookup'!$B$2:$C$5,2,FALSE)</f>
        <v>Russia</v>
      </c>
      <c r="G125" s="16" t="str">
        <f>VLOOKUP(P125,'Names for Vlookup'!$B$2:$C$5,2,FALSE)</f>
        <v>Russia</v>
      </c>
      <c r="H125" s="16" t="s">
        <v>111</v>
      </c>
      <c r="I125" s="16" t="s">
        <v>62</v>
      </c>
      <c r="J125" s="16" t="s">
        <v>63</v>
      </c>
      <c r="K125" s="16" t="s">
        <v>64</v>
      </c>
      <c r="L125" s="16" t="s">
        <v>212</v>
      </c>
      <c r="M125" s="32">
        <v>45387</v>
      </c>
      <c r="N125" s="16" t="s">
        <v>216</v>
      </c>
      <c r="O125" s="28" t="s">
        <v>95</v>
      </c>
      <c r="P125" s="28" t="s">
        <v>95</v>
      </c>
    </row>
    <row r="126" spans="1:16" ht="14" x14ac:dyDescent="0.2">
      <c r="A126" s="13">
        <f t="shared" si="48"/>
        <v>2024</v>
      </c>
      <c r="B126" s="13" t="str">
        <f t="shared" si="49"/>
        <v>03</v>
      </c>
      <c r="C126" s="13" t="str">
        <f t="shared" si="50"/>
        <v>27</v>
      </c>
      <c r="D126" s="16" t="str">
        <f>VLOOKUP(H126,'Names for Vlookup'!$B$26:$C$94,2,FALSE)</f>
        <v>MyungGa (Mr.Lee in Daegu)</v>
      </c>
      <c r="E126" s="16" t="str">
        <f>VLOOKUP(K126,'Names for Vlookup'!$B$8:$C$21,2,FALSE)</f>
        <v>Deer velvet (dried)</v>
      </c>
      <c r="F126" s="16" t="str">
        <f>VLOOKUP(O126,'Names for Vlookup'!$B$2:$C$5,2,FALSE)</f>
        <v>New Zealand</v>
      </c>
      <c r="G126" s="16" t="str">
        <f>VLOOKUP(P126,'Names for Vlookup'!$B$2:$C$5,2,FALSE)</f>
        <v>New Zealand</v>
      </c>
      <c r="H126" s="16" t="s">
        <v>208</v>
      </c>
      <c r="I126" s="16" t="s">
        <v>62</v>
      </c>
      <c r="J126" s="16" t="s">
        <v>152</v>
      </c>
      <c r="K126" s="16" t="s">
        <v>64</v>
      </c>
      <c r="L126" s="16" t="s">
        <v>129</v>
      </c>
      <c r="M126" s="32">
        <v>45378</v>
      </c>
      <c r="N126" s="16" t="s">
        <v>66</v>
      </c>
      <c r="O126" s="28" t="s">
        <v>67</v>
      </c>
      <c r="P126" s="28" t="s">
        <v>67</v>
      </c>
    </row>
    <row r="127" spans="1:16" ht="14" x14ac:dyDescent="0.2">
      <c r="A127" s="13">
        <f t="shared" ref="A127:A145" si="51">YEAR(M127)</f>
        <v>2024</v>
      </c>
      <c r="B127" s="13" t="str">
        <f t="shared" ref="B127:B145" si="52">TEXT(M127,"mm")</f>
        <v>03</v>
      </c>
      <c r="C127" s="13" t="str">
        <f t="shared" ref="C127:C145" si="53">TEXT(M127,"dd")</f>
        <v>26</v>
      </c>
      <c r="D127" s="16" t="str">
        <f>VLOOKUP(H127,'Names for Vlookup'!$B$26:$C$94,2,FALSE)</f>
        <v>Yujin Trade</v>
      </c>
      <c r="E127" s="16" t="str">
        <f>VLOOKUP(K127,'Names for Vlookup'!$B$8:$C$21,2,FALSE)</f>
        <v>Deer velvet (dried)</v>
      </c>
      <c r="F127" s="16" t="str">
        <f>VLOOKUP(O127,'Names for Vlookup'!$B$2:$C$5,2,FALSE)</f>
        <v>New Zealand</v>
      </c>
      <c r="G127" s="16" t="str">
        <f>VLOOKUP(P127,'Names for Vlookup'!$B$2:$C$5,2,FALSE)</f>
        <v>China</v>
      </c>
      <c r="H127" s="21" t="s">
        <v>91</v>
      </c>
      <c r="I127" s="22" t="s">
        <v>171</v>
      </c>
      <c r="J127" s="22" t="s">
        <v>217</v>
      </c>
      <c r="K127" s="22" t="s">
        <v>64</v>
      </c>
      <c r="L127" s="22" t="s">
        <v>32</v>
      </c>
      <c r="M127" s="23" t="s">
        <v>218</v>
      </c>
      <c r="N127" s="32" t="s">
        <v>66</v>
      </c>
      <c r="O127" s="16" t="s">
        <v>67</v>
      </c>
      <c r="P127" s="16" t="s">
        <v>68</v>
      </c>
    </row>
    <row r="128" spans="1:16" ht="14" x14ac:dyDescent="0.2">
      <c r="A128" s="13">
        <f t="shared" si="51"/>
        <v>2024</v>
      </c>
      <c r="B128" s="13" t="str">
        <f t="shared" si="52"/>
        <v>03</v>
      </c>
      <c r="C128" s="13" t="str">
        <f t="shared" si="53"/>
        <v>26</v>
      </c>
      <c r="D128" s="16" t="str">
        <f>VLOOKUP(H128,'Names for Vlookup'!$B$26:$C$94,2,FALSE)</f>
        <v>KNC Deertrade</v>
      </c>
      <c r="E128" s="16" t="str">
        <f>VLOOKUP(K128,'Names for Vlookup'!$B$8:$C$21,2,FALSE)</f>
        <v>Deer velvet (frozen)</v>
      </c>
      <c r="F128" s="16" t="str">
        <f>VLOOKUP(O128,'Names for Vlookup'!$B$2:$C$5,2,FALSE)</f>
        <v>New Zealand</v>
      </c>
      <c r="G128" s="16" t="str">
        <f>VLOOKUP(P128,'Names for Vlookup'!$B$2:$C$5,2,FALSE)</f>
        <v>New Zealand</v>
      </c>
      <c r="H128" s="21" t="s">
        <v>75</v>
      </c>
      <c r="I128" s="22" t="s">
        <v>74</v>
      </c>
      <c r="J128" s="22" t="s">
        <v>73</v>
      </c>
      <c r="K128" s="22" t="s">
        <v>74</v>
      </c>
      <c r="L128" s="22" t="s">
        <v>37</v>
      </c>
      <c r="M128" s="23" t="s">
        <v>218</v>
      </c>
      <c r="N128" s="32" t="s">
        <v>66</v>
      </c>
      <c r="O128" s="16" t="s">
        <v>67</v>
      </c>
      <c r="P128" s="16" t="s">
        <v>67</v>
      </c>
    </row>
    <row r="129" spans="1:16" ht="14" x14ac:dyDescent="0.2">
      <c r="A129" s="13">
        <f t="shared" si="51"/>
        <v>2024</v>
      </c>
      <c r="B129" s="13" t="str">
        <f t="shared" si="52"/>
        <v>03</v>
      </c>
      <c r="C129" s="13" t="str">
        <f t="shared" si="53"/>
        <v>12</v>
      </c>
      <c r="D129" s="16" t="str">
        <f>VLOOKUP(H129,'Names for Vlookup'!$B$26:$C$94,2,FALSE)</f>
        <v>YW International</v>
      </c>
      <c r="E129" s="16" t="str">
        <f>VLOOKUP(K129,'Names for Vlookup'!$B$8:$C$21,2,FALSE)</f>
        <v>Deer velvet (frozen)</v>
      </c>
      <c r="F129" s="16" t="str">
        <f>VLOOKUP(O129,'Names for Vlookup'!$B$2:$C$5,2,FALSE)</f>
        <v>New Zealand</v>
      </c>
      <c r="G129" s="16" t="str">
        <f>VLOOKUP(P129,'Names for Vlookup'!$B$2:$C$5,2,FALSE)</f>
        <v>New Zealand</v>
      </c>
      <c r="H129" s="21" t="s">
        <v>88</v>
      </c>
      <c r="I129" s="22" t="s">
        <v>72</v>
      </c>
      <c r="J129" s="22" t="s">
        <v>120</v>
      </c>
      <c r="K129" s="22" t="s">
        <v>74</v>
      </c>
      <c r="L129" s="22" t="s">
        <v>121</v>
      </c>
      <c r="M129" s="23" t="s">
        <v>219</v>
      </c>
      <c r="N129" s="32" t="s">
        <v>66</v>
      </c>
      <c r="O129" s="16" t="s">
        <v>67</v>
      </c>
      <c r="P129" s="16" t="s">
        <v>67</v>
      </c>
    </row>
    <row r="130" spans="1:16" ht="14" x14ac:dyDescent="0.2">
      <c r="A130" s="13">
        <f t="shared" si="51"/>
        <v>2024</v>
      </c>
      <c r="B130" s="13" t="str">
        <f t="shared" si="52"/>
        <v>02</v>
      </c>
      <c r="C130" s="13" t="str">
        <f t="shared" si="53"/>
        <v>27</v>
      </c>
      <c r="D130" s="16" t="str">
        <f>VLOOKUP(H130,'Names for Vlookup'!$B$26:$C$94,2,FALSE)</f>
        <v>Yujin Trade</v>
      </c>
      <c r="E130" s="16" t="str">
        <f>VLOOKUP(K130,'Names for Vlookup'!$B$8:$C$21,2,FALSE)</f>
        <v>Deer velvet (dried)</v>
      </c>
      <c r="F130" s="16" t="str">
        <f>VLOOKUP(O130,'Names for Vlookup'!$B$2:$C$5,2,FALSE)</f>
        <v>Russia</v>
      </c>
      <c r="G130" s="16" t="str">
        <f>VLOOKUP(P130,'Names for Vlookup'!$B$2:$C$5,2,FALSE)</f>
        <v>Russia</v>
      </c>
      <c r="H130" s="21" t="s">
        <v>91</v>
      </c>
      <c r="I130" s="22" t="s">
        <v>171</v>
      </c>
      <c r="J130" s="22" t="s">
        <v>63</v>
      </c>
      <c r="K130" s="22" t="s">
        <v>64</v>
      </c>
      <c r="L130" s="22" t="s">
        <v>154</v>
      </c>
      <c r="M130" s="23" t="s">
        <v>220</v>
      </c>
      <c r="N130" s="32" t="s">
        <v>221</v>
      </c>
      <c r="O130" s="16" t="s">
        <v>95</v>
      </c>
      <c r="P130" s="16" t="s">
        <v>95</v>
      </c>
    </row>
    <row r="131" spans="1:16" ht="14" x14ac:dyDescent="0.2">
      <c r="A131" s="13">
        <f t="shared" si="51"/>
        <v>2024</v>
      </c>
      <c r="B131" s="13" t="str">
        <f t="shared" si="52"/>
        <v>02</v>
      </c>
      <c r="C131" s="13" t="str">
        <f t="shared" si="53"/>
        <v>22</v>
      </c>
      <c r="D131" s="16" t="str">
        <f>VLOOKUP(H131,'Names for Vlookup'!$B$26:$C$94,2,FALSE)</f>
        <v>OnBio</v>
      </c>
      <c r="E131" s="16" t="str">
        <f>VLOOKUP(K131,'Names for Vlookup'!$B$8:$C$21,2,FALSE)</f>
        <v>Deer velvet (frozen)</v>
      </c>
      <c r="F131" s="16" t="str">
        <f>VLOOKUP(O131,'Names for Vlookup'!$B$2:$C$5,2,FALSE)</f>
        <v>New Zealand</v>
      </c>
      <c r="G131" s="16" t="str">
        <f>VLOOKUP(P131,'Names for Vlookup'!$B$2:$C$5,2,FALSE)</f>
        <v>New Zealand</v>
      </c>
      <c r="H131" s="21" t="s">
        <v>82</v>
      </c>
      <c r="I131" s="22" t="s">
        <v>76</v>
      </c>
      <c r="J131" s="22" t="s">
        <v>73</v>
      </c>
      <c r="K131" s="22" t="s">
        <v>74</v>
      </c>
      <c r="L131" s="22" t="s">
        <v>39</v>
      </c>
      <c r="M131" s="23" t="s">
        <v>222</v>
      </c>
      <c r="N131" s="32" t="s">
        <v>66</v>
      </c>
      <c r="O131" s="16" t="s">
        <v>67</v>
      </c>
      <c r="P131" s="16" t="s">
        <v>67</v>
      </c>
    </row>
    <row r="132" spans="1:16" ht="14" x14ac:dyDescent="0.2">
      <c r="A132" s="13">
        <f t="shared" si="51"/>
        <v>2024</v>
      </c>
      <c r="B132" s="13" t="str">
        <f t="shared" si="52"/>
        <v>02</v>
      </c>
      <c r="C132" s="13" t="str">
        <f t="shared" si="53"/>
        <v>21</v>
      </c>
      <c r="D132" s="16" t="str">
        <f>VLOOKUP(H132,'Names for Vlookup'!$B$26:$C$94,2,FALSE)</f>
        <v>YW International</v>
      </c>
      <c r="E132" s="16" t="str">
        <f>VLOOKUP(K132,'Names for Vlookup'!$B$8:$C$21,2,FALSE)</f>
        <v>Deer velvet (frozen)</v>
      </c>
      <c r="F132" s="16" t="str">
        <f>VLOOKUP(O132,'Names for Vlookup'!$B$2:$C$5,2,FALSE)</f>
        <v>New Zealand</v>
      </c>
      <c r="G132" s="16" t="str">
        <f>VLOOKUP(P132,'Names for Vlookup'!$B$2:$C$5,2,FALSE)</f>
        <v>New Zealand</v>
      </c>
      <c r="H132" s="21" t="s">
        <v>88</v>
      </c>
      <c r="I132" s="22" t="s">
        <v>72</v>
      </c>
      <c r="J132" s="22" t="s">
        <v>120</v>
      </c>
      <c r="K132" s="22" t="s">
        <v>74</v>
      </c>
      <c r="L132" s="22" t="s">
        <v>129</v>
      </c>
      <c r="M132" s="23" t="s">
        <v>223</v>
      </c>
      <c r="N132" s="32" t="s">
        <v>66</v>
      </c>
      <c r="O132" s="16" t="s">
        <v>67</v>
      </c>
      <c r="P132" s="16" t="s">
        <v>67</v>
      </c>
    </row>
    <row r="133" spans="1:16" ht="14" x14ac:dyDescent="0.2">
      <c r="A133" s="13">
        <f t="shared" si="51"/>
        <v>2024</v>
      </c>
      <c r="B133" s="13" t="str">
        <f t="shared" si="52"/>
        <v>02</v>
      </c>
      <c r="C133" s="13" t="str">
        <f t="shared" si="53"/>
        <v>15</v>
      </c>
      <c r="D133" s="16" t="str">
        <f>VLOOKUP(H133,'Names for Vlookup'!$B$26:$C$94,2,FALSE)</f>
        <v>Chunho N Care</v>
      </c>
      <c r="E133" s="16" t="str">
        <f>VLOOKUP(K133,'Names for Vlookup'!$B$8:$C$21,2,FALSE)</f>
        <v>Deer velvet (dried)</v>
      </c>
      <c r="F133" s="16" t="str">
        <f>VLOOKUP(O133,'Names for Vlookup'!$B$2:$C$5,2,FALSE)</f>
        <v>New Zealand</v>
      </c>
      <c r="G133" s="16" t="str">
        <f>VLOOKUP(P133,'Names for Vlookup'!$B$2:$C$5,2,FALSE)</f>
        <v>New Zealand</v>
      </c>
      <c r="H133" s="21" t="s">
        <v>128</v>
      </c>
      <c r="I133" s="22" t="s">
        <v>62</v>
      </c>
      <c r="J133" s="22" t="s">
        <v>63</v>
      </c>
      <c r="K133" s="22" t="s">
        <v>64</v>
      </c>
      <c r="L133" s="22" t="s">
        <v>129</v>
      </c>
      <c r="M133" s="23" t="s">
        <v>224</v>
      </c>
      <c r="N133" s="32" t="s">
        <v>225</v>
      </c>
      <c r="O133" s="16" t="s">
        <v>67</v>
      </c>
      <c r="P133" s="16" t="s">
        <v>67</v>
      </c>
    </row>
    <row r="134" spans="1:16" ht="14" x14ac:dyDescent="0.2">
      <c r="A134" s="13">
        <f t="shared" si="51"/>
        <v>2024</v>
      </c>
      <c r="B134" s="13" t="str">
        <f t="shared" si="52"/>
        <v>02</v>
      </c>
      <c r="C134" s="13" t="str">
        <f t="shared" si="53"/>
        <v>15</v>
      </c>
      <c r="D134" s="16" t="str">
        <f>VLOOKUP(H134,'Names for Vlookup'!$B$26:$C$94,2,FALSE)</f>
        <v xml:space="preserve">WooSung (Mr Bang) </v>
      </c>
      <c r="E134" s="16" t="str">
        <f>VLOOKUP(K134,'Names for Vlookup'!$B$8:$C$21,2,FALSE)</f>
        <v>Deer velvet (dried)</v>
      </c>
      <c r="F134" s="16" t="str">
        <f>VLOOKUP(O134,'Names for Vlookup'!$B$2:$C$5,2,FALSE)</f>
        <v>New Zealand</v>
      </c>
      <c r="G134" s="16" t="str">
        <f>VLOOKUP(P134,'Names for Vlookup'!$B$2:$C$5,2,FALSE)</f>
        <v>China</v>
      </c>
      <c r="H134" s="21" t="s">
        <v>69</v>
      </c>
      <c r="I134" s="22" t="s">
        <v>64</v>
      </c>
      <c r="J134" s="22" t="s">
        <v>70</v>
      </c>
      <c r="K134" s="22" t="s">
        <v>64</v>
      </c>
      <c r="L134" s="22" t="s">
        <v>226</v>
      </c>
      <c r="M134" s="23" t="s">
        <v>224</v>
      </c>
      <c r="N134" s="32" t="s">
        <v>227</v>
      </c>
      <c r="O134" s="16" t="s">
        <v>67</v>
      </c>
      <c r="P134" s="16" t="s">
        <v>68</v>
      </c>
    </row>
    <row r="135" spans="1:16" ht="14" x14ac:dyDescent="0.2">
      <c r="A135" s="13">
        <f t="shared" si="51"/>
        <v>2024</v>
      </c>
      <c r="B135" s="13" t="str">
        <f t="shared" si="52"/>
        <v>02</v>
      </c>
      <c r="C135" s="13" t="str">
        <f t="shared" si="53"/>
        <v>14</v>
      </c>
      <c r="D135" s="16" t="str">
        <f>VLOOKUP(H135,'Names for Vlookup'!$B$26:$C$94,2,FALSE)</f>
        <v>Onnuri Bio</v>
      </c>
      <c r="E135" s="16" t="str">
        <f>VLOOKUP(K135,'Names for Vlookup'!$B$8:$C$21,2,FALSE)</f>
        <v>Deer velvet (frozen)</v>
      </c>
      <c r="F135" s="16" t="str">
        <f>VLOOKUP(O135,'Names for Vlookup'!$B$2:$C$5,2,FALSE)</f>
        <v>New Zealand</v>
      </c>
      <c r="G135" s="16" t="str">
        <f>VLOOKUP(P135,'Names for Vlookup'!$B$2:$C$5,2,FALSE)</f>
        <v>New Zealand</v>
      </c>
      <c r="H135" s="21" t="s">
        <v>61</v>
      </c>
      <c r="I135" s="22" t="s">
        <v>74</v>
      </c>
      <c r="J135" s="22" t="s">
        <v>81</v>
      </c>
      <c r="K135" s="22" t="s">
        <v>74</v>
      </c>
      <c r="L135" s="22" t="s">
        <v>129</v>
      </c>
      <c r="M135" s="23" t="s">
        <v>228</v>
      </c>
      <c r="N135" s="32" t="s">
        <v>229</v>
      </c>
      <c r="O135" s="16" t="s">
        <v>67</v>
      </c>
      <c r="P135" s="16" t="s">
        <v>67</v>
      </c>
    </row>
    <row r="136" spans="1:16" ht="14" x14ac:dyDescent="0.2">
      <c r="A136" s="13">
        <f t="shared" si="51"/>
        <v>2024</v>
      </c>
      <c r="B136" s="13" t="str">
        <f t="shared" si="52"/>
        <v>02</v>
      </c>
      <c r="C136" s="13" t="str">
        <f t="shared" si="53"/>
        <v>14</v>
      </c>
      <c r="D136" s="16" t="str">
        <f>VLOOKUP(H136,'Names for Vlookup'!$B$26:$C$94,2,FALSE)</f>
        <v>HwaYong Pharm.</v>
      </c>
      <c r="E136" s="16" t="str">
        <f>VLOOKUP(K136,'Names for Vlookup'!$B$8:$C$21,2,FALSE)</f>
        <v>Deer velvet (frozen)</v>
      </c>
      <c r="F136" s="16" t="str">
        <f>VLOOKUP(O136,'Names for Vlookup'!$B$2:$C$5,2,FALSE)</f>
        <v>New Zealand</v>
      </c>
      <c r="G136" s="16" t="str">
        <f>VLOOKUP(P136,'Names for Vlookup'!$B$2:$C$5,2,FALSE)</f>
        <v>New Zealand</v>
      </c>
      <c r="H136" s="21" t="s">
        <v>80</v>
      </c>
      <c r="I136" s="22" t="s">
        <v>74</v>
      </c>
      <c r="J136" s="22" t="s">
        <v>81</v>
      </c>
      <c r="K136" s="22" t="s">
        <v>74</v>
      </c>
      <c r="L136" s="22" t="s">
        <v>129</v>
      </c>
      <c r="M136" s="23" t="s">
        <v>228</v>
      </c>
      <c r="N136" s="32" t="s">
        <v>229</v>
      </c>
      <c r="O136" s="16" t="s">
        <v>67</v>
      </c>
      <c r="P136" s="16" t="s">
        <v>67</v>
      </c>
    </row>
    <row r="137" spans="1:16" ht="14" x14ac:dyDescent="0.2">
      <c r="A137" s="13">
        <f t="shared" si="51"/>
        <v>2024</v>
      </c>
      <c r="B137" s="13" t="str">
        <f t="shared" si="52"/>
        <v>02</v>
      </c>
      <c r="C137" s="13" t="str">
        <f t="shared" si="53"/>
        <v>07</v>
      </c>
      <c r="D137" s="16" t="str">
        <f>VLOOKUP(H137,'Names for Vlookup'!$B$26:$C$94,2,FALSE)</f>
        <v>YW International</v>
      </c>
      <c r="E137" s="16" t="str">
        <f>VLOOKUP(K137,'Names for Vlookup'!$B$8:$C$21,2,FALSE)</f>
        <v>Deer velvet (frozen)</v>
      </c>
      <c r="F137" s="16" t="str">
        <f>VLOOKUP(O137,'Names for Vlookup'!$B$2:$C$5,2,FALSE)</f>
        <v>New Zealand</v>
      </c>
      <c r="G137" s="16" t="str">
        <f>VLOOKUP(P137,'Names for Vlookup'!$B$2:$C$5,2,FALSE)</f>
        <v>New Zealand</v>
      </c>
      <c r="H137" s="21" t="s">
        <v>88</v>
      </c>
      <c r="I137" s="22" t="s">
        <v>72</v>
      </c>
      <c r="J137" s="22" t="s">
        <v>120</v>
      </c>
      <c r="K137" s="22" t="s">
        <v>74</v>
      </c>
      <c r="L137" s="22" t="s">
        <v>129</v>
      </c>
      <c r="M137" s="23" t="s">
        <v>230</v>
      </c>
      <c r="N137" s="32" t="s">
        <v>66</v>
      </c>
      <c r="O137" s="16" t="s">
        <v>67</v>
      </c>
      <c r="P137" s="16" t="s">
        <v>67</v>
      </c>
    </row>
    <row r="138" spans="1:16" ht="14" x14ac:dyDescent="0.2">
      <c r="A138" s="13">
        <f t="shared" si="51"/>
        <v>2024</v>
      </c>
      <c r="B138" s="13" t="str">
        <f t="shared" si="52"/>
        <v>02</v>
      </c>
      <c r="C138" s="13" t="str">
        <f t="shared" si="53"/>
        <v>07</v>
      </c>
      <c r="D138" s="16" t="str">
        <f>VLOOKUP(H138,'Names for Vlookup'!$B$26:$C$94,2,FALSE)</f>
        <v>KGC</v>
      </c>
      <c r="E138" s="16" t="str">
        <f>VLOOKUP(K138,'Names for Vlookup'!$B$8:$C$21,2,FALSE)</f>
        <v>Deer velvet (dried)</v>
      </c>
      <c r="F138" s="16" t="str">
        <f>VLOOKUP(O138,'Names for Vlookup'!$B$2:$C$5,2,FALSE)</f>
        <v>New Zealand</v>
      </c>
      <c r="G138" s="16" t="str">
        <f>VLOOKUP(P138,'Names for Vlookup'!$B$2:$C$5,2,FALSE)</f>
        <v>New Zealand</v>
      </c>
      <c r="H138" s="21" t="s">
        <v>90</v>
      </c>
      <c r="I138" s="22" t="s">
        <v>64</v>
      </c>
      <c r="J138" s="22" t="s">
        <v>70</v>
      </c>
      <c r="K138" s="22" t="s">
        <v>64</v>
      </c>
      <c r="L138" s="22" t="s">
        <v>37</v>
      </c>
      <c r="M138" s="23" t="s">
        <v>230</v>
      </c>
      <c r="N138" s="32" t="s">
        <v>66</v>
      </c>
      <c r="O138" s="16" t="s">
        <v>67</v>
      </c>
      <c r="P138" s="16" t="s">
        <v>67</v>
      </c>
    </row>
    <row r="139" spans="1:16" ht="14" x14ac:dyDescent="0.2">
      <c r="A139" s="13">
        <f t="shared" si="51"/>
        <v>2024</v>
      </c>
      <c r="B139" s="13" t="str">
        <f t="shared" si="52"/>
        <v>02</v>
      </c>
      <c r="C139" s="13" t="str">
        <f t="shared" si="53"/>
        <v>07</v>
      </c>
      <c r="D139" s="16" t="str">
        <f>VLOOKUP(H139,'Names for Vlookup'!$B$26:$C$94,2,FALSE)</f>
        <v>KGC</v>
      </c>
      <c r="E139" s="16" t="str">
        <f>VLOOKUP(K139,'Names for Vlookup'!$B$8:$C$21,2,FALSE)</f>
        <v>Deer velvet (dried)</v>
      </c>
      <c r="F139" s="16" t="str">
        <f>VLOOKUP(O139,'Names for Vlookup'!$B$2:$C$5,2,FALSE)</f>
        <v>New Zealand</v>
      </c>
      <c r="G139" s="16" t="str">
        <f>VLOOKUP(P139,'Names for Vlookup'!$B$2:$C$5,2,FALSE)</f>
        <v>New Zealand</v>
      </c>
      <c r="H139" s="21" t="s">
        <v>90</v>
      </c>
      <c r="I139" s="22" t="s">
        <v>64</v>
      </c>
      <c r="J139" s="22" t="s">
        <v>70</v>
      </c>
      <c r="K139" s="22" t="s">
        <v>64</v>
      </c>
      <c r="L139" s="22" t="s">
        <v>37</v>
      </c>
      <c r="M139" s="23" t="s">
        <v>230</v>
      </c>
      <c r="N139" s="32" t="s">
        <v>66</v>
      </c>
      <c r="O139" s="16" t="s">
        <v>67</v>
      </c>
      <c r="P139" s="16" t="s">
        <v>67</v>
      </c>
    </row>
    <row r="140" spans="1:16" ht="14" x14ac:dyDescent="0.2">
      <c r="A140" s="13">
        <f t="shared" si="51"/>
        <v>2024</v>
      </c>
      <c r="B140" s="13" t="str">
        <f t="shared" si="52"/>
        <v>02</v>
      </c>
      <c r="C140" s="13" t="str">
        <f t="shared" si="53"/>
        <v>07</v>
      </c>
      <c r="D140" s="16" t="str">
        <f>VLOOKUP(H140,'Names for Vlookup'!$B$26:$C$94,2,FALSE)</f>
        <v>KNC Deertrade</v>
      </c>
      <c r="E140" s="16" t="str">
        <f>VLOOKUP(K140,'Names for Vlookup'!$B$8:$C$21,2,FALSE)</f>
        <v>Deer velvet (frozen)</v>
      </c>
      <c r="F140" s="16" t="str">
        <f>VLOOKUP(O140,'Names for Vlookup'!$B$2:$C$5,2,FALSE)</f>
        <v>New Zealand</v>
      </c>
      <c r="G140" s="16" t="str">
        <f>VLOOKUP(P140,'Names for Vlookup'!$B$2:$C$5,2,FALSE)</f>
        <v>New Zealand</v>
      </c>
      <c r="H140" s="21" t="s">
        <v>75</v>
      </c>
      <c r="I140" s="22" t="s">
        <v>74</v>
      </c>
      <c r="J140" s="22" t="s">
        <v>73</v>
      </c>
      <c r="K140" s="22" t="s">
        <v>74</v>
      </c>
      <c r="L140" s="22" t="s">
        <v>38</v>
      </c>
      <c r="M140" s="23" t="s">
        <v>230</v>
      </c>
      <c r="N140" s="32" t="s">
        <v>66</v>
      </c>
      <c r="O140" s="16" t="s">
        <v>67</v>
      </c>
      <c r="P140" s="16" t="s">
        <v>67</v>
      </c>
    </row>
    <row r="141" spans="1:16" ht="14" x14ac:dyDescent="0.2">
      <c r="A141" s="13">
        <f t="shared" si="51"/>
        <v>2024</v>
      </c>
      <c r="B141" s="13" t="str">
        <f t="shared" si="52"/>
        <v>01</v>
      </c>
      <c r="C141" s="13" t="str">
        <f t="shared" si="53"/>
        <v>31</v>
      </c>
      <c r="D141" s="16" t="str">
        <f>VLOOKUP(H141,'Names for Vlookup'!$B$26:$C$94,2,FALSE)</f>
        <v>YW International</v>
      </c>
      <c r="E141" s="16" t="str">
        <f>VLOOKUP(K141,'Names for Vlookup'!$B$8:$C$21,2,FALSE)</f>
        <v>Deer velvet (frozen)</v>
      </c>
      <c r="F141" s="16" t="str">
        <f>VLOOKUP(O141,'Names for Vlookup'!$B$2:$C$5,2,FALSE)</f>
        <v>New Zealand</v>
      </c>
      <c r="G141" s="16" t="str">
        <f>VLOOKUP(P141,'Names for Vlookup'!$B$2:$C$5,2,FALSE)</f>
        <v>New Zealand</v>
      </c>
      <c r="H141" s="21" t="s">
        <v>88</v>
      </c>
      <c r="I141" s="22" t="s">
        <v>72</v>
      </c>
      <c r="J141" s="22" t="s">
        <v>120</v>
      </c>
      <c r="K141" s="22" t="s">
        <v>74</v>
      </c>
      <c r="L141" s="22" t="s">
        <v>121</v>
      </c>
      <c r="M141" s="23" t="s">
        <v>231</v>
      </c>
      <c r="N141" s="32" t="s">
        <v>66</v>
      </c>
      <c r="O141" s="16" t="s">
        <v>67</v>
      </c>
      <c r="P141" s="16" t="s">
        <v>67</v>
      </c>
    </row>
    <row r="142" spans="1:16" ht="14" x14ac:dyDescent="0.2">
      <c r="A142" s="13">
        <f t="shared" si="51"/>
        <v>2024</v>
      </c>
      <c r="B142" s="13" t="str">
        <f t="shared" si="52"/>
        <v>01</v>
      </c>
      <c r="C142" s="13" t="str">
        <f t="shared" si="53"/>
        <v>31</v>
      </c>
      <c r="D142" s="16" t="str">
        <f>VLOOKUP(H142,'Names for Vlookup'!$B$26:$C$94,2,FALSE)</f>
        <v>Yuhan Care</v>
      </c>
      <c r="E142" s="16" t="str">
        <f>VLOOKUP(K142,'Names for Vlookup'!$B$8:$C$21,2,FALSE)</f>
        <v>Deer velvet (frozen)</v>
      </c>
      <c r="F142" s="16" t="str">
        <f>VLOOKUP(O142,'Names for Vlookup'!$B$2:$C$5,2,FALSE)</f>
        <v>New Zealand</v>
      </c>
      <c r="G142" s="16" t="str">
        <f>VLOOKUP(P142,'Names for Vlookup'!$B$2:$C$5,2,FALSE)</f>
        <v>New Zealand</v>
      </c>
      <c r="H142" s="21" t="s">
        <v>158</v>
      </c>
      <c r="I142" s="22" t="s">
        <v>62</v>
      </c>
      <c r="J142" s="22" t="s">
        <v>159</v>
      </c>
      <c r="K142" s="22" t="s">
        <v>232</v>
      </c>
      <c r="L142" s="22" t="s">
        <v>160</v>
      </c>
      <c r="M142" s="23" t="s">
        <v>231</v>
      </c>
      <c r="N142" s="32" t="s">
        <v>233</v>
      </c>
      <c r="O142" s="16" t="s">
        <v>67</v>
      </c>
      <c r="P142" s="16" t="s">
        <v>67</v>
      </c>
    </row>
    <row r="143" spans="1:16" ht="14" x14ac:dyDescent="0.2">
      <c r="A143" s="13">
        <f t="shared" si="51"/>
        <v>2024</v>
      </c>
      <c r="B143" s="13" t="str">
        <f t="shared" si="52"/>
        <v>01</v>
      </c>
      <c r="C143" s="13" t="str">
        <f t="shared" si="53"/>
        <v>23</v>
      </c>
      <c r="D143" s="16" t="str">
        <f>VLOOKUP(H143,'Names for Vlookup'!$B$26:$C$94,2,FALSE)</f>
        <v>KNC Deertrade</v>
      </c>
      <c r="E143" s="16" t="str">
        <f>VLOOKUP(K143,'Names for Vlookup'!$B$8:$C$21,2,FALSE)</f>
        <v>Deer velvet (frozen)</v>
      </c>
      <c r="F143" s="16" t="str">
        <f>VLOOKUP(O143,'Names for Vlookup'!$B$2:$C$5,2,FALSE)</f>
        <v>New Zealand</v>
      </c>
      <c r="G143" s="16" t="str">
        <f>VLOOKUP(P143,'Names for Vlookup'!$B$2:$C$5,2,FALSE)</f>
        <v>New Zealand</v>
      </c>
      <c r="H143" s="21" t="s">
        <v>75</v>
      </c>
      <c r="I143" s="22" t="s">
        <v>74</v>
      </c>
      <c r="J143" s="22" t="s">
        <v>73</v>
      </c>
      <c r="K143" s="22" t="s">
        <v>74</v>
      </c>
      <c r="L143" s="22" t="s">
        <v>234</v>
      </c>
      <c r="M143" s="23" t="s">
        <v>235</v>
      </c>
      <c r="N143" s="32" t="s">
        <v>236</v>
      </c>
      <c r="O143" s="16" t="s">
        <v>67</v>
      </c>
      <c r="P143" s="16" t="s">
        <v>67</v>
      </c>
    </row>
    <row r="144" spans="1:16" ht="14" x14ac:dyDescent="0.2">
      <c r="A144" s="13">
        <f t="shared" si="51"/>
        <v>2024</v>
      </c>
      <c r="B144" s="13" t="str">
        <f t="shared" si="52"/>
        <v>01</v>
      </c>
      <c r="C144" s="13" t="str">
        <f t="shared" si="53"/>
        <v>19</v>
      </c>
      <c r="D144" s="16" t="str">
        <f>VLOOKUP(H144,'Names for Vlookup'!$B$26:$C$94,2,FALSE)</f>
        <v>Geonhyang Pharm.</v>
      </c>
      <c r="E144" s="16" t="str">
        <f>VLOOKUP(K144,'Names for Vlookup'!$B$8:$C$21,2,FALSE)</f>
        <v>Deer velvet (dried)</v>
      </c>
      <c r="F144" s="16" t="str">
        <f>VLOOKUP(O144,'Names for Vlookup'!$B$2:$C$5,2,FALSE)</f>
        <v>Russia</v>
      </c>
      <c r="G144" s="16" t="str">
        <f>VLOOKUP(P144,'Names for Vlookup'!$B$2:$C$5,2,FALSE)</f>
        <v>Hong Kong</v>
      </c>
      <c r="H144" s="21" t="s">
        <v>93</v>
      </c>
      <c r="I144" s="22" t="s">
        <v>171</v>
      </c>
      <c r="J144" s="22" t="s">
        <v>63</v>
      </c>
      <c r="K144" s="22" t="s">
        <v>64</v>
      </c>
      <c r="L144" s="22" t="s">
        <v>237</v>
      </c>
      <c r="M144" s="23" t="s">
        <v>238</v>
      </c>
      <c r="N144" s="32" t="s">
        <v>239</v>
      </c>
      <c r="O144" s="16" t="s">
        <v>95</v>
      </c>
      <c r="P144" s="16" t="s">
        <v>240</v>
      </c>
    </row>
    <row r="145" spans="1:16" ht="14" x14ac:dyDescent="0.2">
      <c r="A145" s="13">
        <f t="shared" si="51"/>
        <v>2024</v>
      </c>
      <c r="B145" s="13" t="str">
        <f t="shared" si="52"/>
        <v>01</v>
      </c>
      <c r="C145" s="13" t="str">
        <f t="shared" si="53"/>
        <v>19</v>
      </c>
      <c r="D145" s="16" t="str">
        <f>VLOOKUP(H145,'Names for Vlookup'!$B$26:$C$94,2,FALSE)</f>
        <v>Hans Pharm Inc</v>
      </c>
      <c r="E145" s="16" t="str">
        <f>VLOOKUP(K145,'Names for Vlookup'!$B$8:$C$21,2,FALSE)</f>
        <v>Deer velvet (dried)</v>
      </c>
      <c r="F145" s="16" t="str">
        <f>VLOOKUP(O145,'Names for Vlookup'!$B$2:$C$5,2,FALSE)</f>
        <v>China</v>
      </c>
      <c r="G145" s="16" t="str">
        <f>VLOOKUP(P145,'Names for Vlookup'!$B$2:$C$5,2,FALSE)</f>
        <v>China</v>
      </c>
      <c r="H145" s="21" t="s">
        <v>170</v>
      </c>
      <c r="I145" s="22" t="s">
        <v>171</v>
      </c>
      <c r="J145" s="22" t="s">
        <v>186</v>
      </c>
      <c r="K145" s="22" t="s">
        <v>64</v>
      </c>
      <c r="L145" s="22" t="s">
        <v>187</v>
      </c>
      <c r="M145" s="23" t="s">
        <v>238</v>
      </c>
      <c r="N145" s="32" t="s">
        <v>66</v>
      </c>
      <c r="O145" s="16" t="s">
        <v>68</v>
      </c>
      <c r="P145" s="16" t="s">
        <v>68</v>
      </c>
    </row>
    <row r="146" spans="1:16" ht="14" x14ac:dyDescent="0.2">
      <c r="A146" s="13">
        <f t="shared" ref="A146" si="54">YEAR(M146)</f>
        <v>2023</v>
      </c>
      <c r="B146" s="13" t="str">
        <f>TEXT(M146,"mm")</f>
        <v>12</v>
      </c>
      <c r="C146" s="13" t="str">
        <f>TEXT(M146,"dd")</f>
        <v>28</v>
      </c>
      <c r="D146" s="16" t="str">
        <f>VLOOKUP(H146,'Names for Vlookup'!$B$26:$C$94,2,FALSE)</f>
        <v>HwaYong Pharm.</v>
      </c>
      <c r="E146" s="16" t="str">
        <f>VLOOKUP(K146,'Names for Vlookup'!$B$8:$C$21,2,FALSE)</f>
        <v>Deer velvet (frozen)</v>
      </c>
      <c r="F146" s="16" t="str">
        <f>VLOOKUP(O146,'Names for Vlookup'!$B$2:$C$5,2,FALSE)</f>
        <v>New Zealand</v>
      </c>
      <c r="G146" s="16" t="str">
        <f>VLOOKUP(P146,'Names for Vlookup'!$B$2:$C$5,2,FALSE)</f>
        <v>New Zealand</v>
      </c>
      <c r="H146" s="21" t="s">
        <v>80</v>
      </c>
      <c r="I146" s="22" t="s">
        <v>74</v>
      </c>
      <c r="J146" s="22" t="s">
        <v>81</v>
      </c>
      <c r="K146" s="22" t="s">
        <v>74</v>
      </c>
      <c r="L146" s="22" t="s">
        <v>36</v>
      </c>
      <c r="M146" s="23">
        <v>45288</v>
      </c>
      <c r="N146" s="32" t="s">
        <v>241</v>
      </c>
      <c r="O146" s="16" t="s">
        <v>67</v>
      </c>
      <c r="P146" s="16" t="s">
        <v>67</v>
      </c>
    </row>
    <row r="147" spans="1:16" ht="14" x14ac:dyDescent="0.2">
      <c r="A147" s="13">
        <f t="shared" ref="A147:A161" si="55">YEAR(M147)</f>
        <v>2023</v>
      </c>
      <c r="B147" s="13" t="str">
        <f t="shared" ref="B147:B160" si="56">TEXT(M147,"mm")</f>
        <v>12</v>
      </c>
      <c r="C147" s="13" t="str">
        <f t="shared" ref="C147:C160" si="57">TEXT(M147,"dd")</f>
        <v>19</v>
      </c>
      <c r="D147" s="16" t="str">
        <f>VLOOKUP(H147,'Names for Vlookup'!$B$26:$C$94,2,FALSE)</f>
        <v>KNC Deertrade</v>
      </c>
      <c r="E147" s="16" t="str">
        <f>VLOOKUP(K147,'Names for Vlookup'!$B$8:$C$21,2,FALSE)</f>
        <v>Deer velvet (frozen)</v>
      </c>
      <c r="F147" s="16" t="str">
        <f>VLOOKUP(O147,'Names for Vlookup'!$B$2:$C$5,2,FALSE)</f>
        <v>New Zealand</v>
      </c>
      <c r="G147" s="16" t="str">
        <f>VLOOKUP(P147,'Names for Vlookup'!$B$2:$C$5,2,FALSE)</f>
        <v>New Zealand</v>
      </c>
      <c r="H147" s="21" t="s">
        <v>75</v>
      </c>
      <c r="I147" s="22" t="s">
        <v>74</v>
      </c>
      <c r="J147" s="22" t="s">
        <v>73</v>
      </c>
      <c r="K147" s="22" t="s">
        <v>74</v>
      </c>
      <c r="L147" s="22" t="s">
        <v>38</v>
      </c>
      <c r="M147" s="23">
        <v>45279</v>
      </c>
      <c r="N147" s="32" t="s">
        <v>66</v>
      </c>
      <c r="O147" s="16" t="s">
        <v>67</v>
      </c>
      <c r="P147" s="16" t="s">
        <v>67</v>
      </c>
    </row>
    <row r="148" spans="1:16" ht="14" x14ac:dyDescent="0.2">
      <c r="A148" s="13">
        <f t="shared" si="55"/>
        <v>2023</v>
      </c>
      <c r="B148" s="13" t="str">
        <f t="shared" si="56"/>
        <v>12</v>
      </c>
      <c r="C148" s="13" t="str">
        <f t="shared" si="57"/>
        <v>12</v>
      </c>
      <c r="D148" s="16" t="str">
        <f>VLOOKUP(H148,'Names for Vlookup'!$B$26:$C$94,2,FALSE)</f>
        <v>Geonhyang Pharm.</v>
      </c>
      <c r="E148" s="16" t="str">
        <f>VLOOKUP(K148,'Names for Vlookup'!$B$8:$C$21,2,FALSE)</f>
        <v>Deer velvet (dried)</v>
      </c>
      <c r="F148" s="16" t="str">
        <f>VLOOKUP(O148,'Names for Vlookup'!$B$2:$C$5,2,FALSE)</f>
        <v>Russia</v>
      </c>
      <c r="G148" s="16" t="str">
        <f>VLOOKUP(P148,'Names for Vlookup'!$B$2:$C$5,2,FALSE)</f>
        <v>Russia</v>
      </c>
      <c r="H148" s="21" t="s">
        <v>93</v>
      </c>
      <c r="I148" s="22" t="s">
        <v>171</v>
      </c>
      <c r="J148" s="22" t="s">
        <v>63</v>
      </c>
      <c r="K148" s="22" t="s">
        <v>64</v>
      </c>
      <c r="L148" s="22" t="s">
        <v>154</v>
      </c>
      <c r="M148" s="23">
        <v>45272</v>
      </c>
      <c r="N148" s="32" t="s">
        <v>66</v>
      </c>
      <c r="O148" s="16" t="s">
        <v>95</v>
      </c>
      <c r="P148" s="16" t="s">
        <v>95</v>
      </c>
    </row>
    <row r="149" spans="1:16" ht="14" x14ac:dyDescent="0.2">
      <c r="A149" s="13">
        <f t="shared" si="55"/>
        <v>2023</v>
      </c>
      <c r="B149" s="13" t="str">
        <f t="shared" si="56"/>
        <v>12</v>
      </c>
      <c r="C149" s="13" t="str">
        <f t="shared" si="57"/>
        <v>11</v>
      </c>
      <c r="D149" s="16" t="str">
        <f>VLOOKUP(H149,'Names for Vlookup'!$B$26:$C$94,2,FALSE)</f>
        <v>KGC</v>
      </c>
      <c r="E149" s="16" t="str">
        <f>VLOOKUP(K149,'Names for Vlookup'!$B$8:$C$21,2,FALSE)</f>
        <v>Deer velvet (dried)</v>
      </c>
      <c r="F149" s="16" t="str">
        <f>VLOOKUP(O149,'Names for Vlookup'!$B$2:$C$5,2,FALSE)</f>
        <v>New Zealand</v>
      </c>
      <c r="G149" s="16" t="str">
        <f>VLOOKUP(P149,'Names for Vlookup'!$B$2:$C$5,2,FALSE)</f>
        <v>New Zealand</v>
      </c>
      <c r="H149" s="21" t="s">
        <v>90</v>
      </c>
      <c r="I149" s="22" t="s">
        <v>64</v>
      </c>
      <c r="J149" s="22" t="s">
        <v>70</v>
      </c>
      <c r="K149" s="22" t="s">
        <v>64</v>
      </c>
      <c r="L149" s="22" t="s">
        <v>37</v>
      </c>
      <c r="M149" s="23">
        <v>45271</v>
      </c>
      <c r="N149" s="32" t="s">
        <v>66</v>
      </c>
      <c r="O149" s="16" t="s">
        <v>67</v>
      </c>
      <c r="P149" s="16" t="s">
        <v>67</v>
      </c>
    </row>
    <row r="150" spans="1:16" ht="14" x14ac:dyDescent="0.2">
      <c r="A150" s="13">
        <f t="shared" si="55"/>
        <v>2023</v>
      </c>
      <c r="B150" s="13" t="str">
        <f t="shared" si="56"/>
        <v>12</v>
      </c>
      <c r="C150" s="13" t="str">
        <f t="shared" si="57"/>
        <v>06</v>
      </c>
      <c r="D150" s="16" t="str">
        <f>VLOOKUP(H150,'Names for Vlookup'!$B$26:$C$94,2,FALSE)</f>
        <v>Hyangna Bio</v>
      </c>
      <c r="E150" s="16" t="str">
        <f>VLOOKUP(K150,'Names for Vlookup'!$B$8:$C$21,2,FALSE)</f>
        <v>Deer velvet (dried)</v>
      </c>
      <c r="F150" s="16" t="str">
        <f>VLOOKUP(O150,'Names for Vlookup'!$B$2:$C$5,2,FALSE)</f>
        <v>New Zealand</v>
      </c>
      <c r="G150" s="16" t="str">
        <f>VLOOKUP(P150,'Names for Vlookup'!$B$2:$C$5,2,FALSE)</f>
        <v>Hong Kong</v>
      </c>
      <c r="H150" s="21" t="s">
        <v>111</v>
      </c>
      <c r="I150" s="22" t="s">
        <v>62</v>
      </c>
      <c r="J150" s="22" t="s">
        <v>63</v>
      </c>
      <c r="K150" s="22" t="s">
        <v>64</v>
      </c>
      <c r="L150" s="22" t="s">
        <v>242</v>
      </c>
      <c r="M150" s="23">
        <v>45266</v>
      </c>
      <c r="N150" s="32" t="s">
        <v>243</v>
      </c>
      <c r="O150" s="16" t="s">
        <v>67</v>
      </c>
      <c r="P150" s="16" t="s">
        <v>240</v>
      </c>
    </row>
    <row r="151" spans="1:16" ht="14" x14ac:dyDescent="0.2">
      <c r="A151" s="13">
        <f t="shared" si="55"/>
        <v>2023</v>
      </c>
      <c r="B151" s="13" t="str">
        <f t="shared" si="56"/>
        <v>11</v>
      </c>
      <c r="C151" s="13" t="str">
        <f t="shared" si="57"/>
        <v>29</v>
      </c>
      <c r="D151" s="16" t="str">
        <f>VLOOKUP(H151,'Names for Vlookup'!$B$26:$C$94,2,FALSE)</f>
        <v>KNC Deertrade</v>
      </c>
      <c r="E151" s="16" t="str">
        <f>VLOOKUP(K151,'Names for Vlookup'!$B$8:$C$21,2,FALSE)</f>
        <v>Deer velvet (dried)</v>
      </c>
      <c r="F151" s="16" t="str">
        <f>VLOOKUP(O151,'Names for Vlookup'!$B$2:$C$5,2,FALSE)</f>
        <v>New Zealand</v>
      </c>
      <c r="G151" s="16" t="str">
        <f>VLOOKUP(P151,'Names for Vlookup'!$B$2:$C$5,2,FALSE)</f>
        <v>Hong Kong</v>
      </c>
      <c r="H151" s="21" t="s">
        <v>75</v>
      </c>
      <c r="I151" s="22" t="s">
        <v>171</v>
      </c>
      <c r="J151" s="22" t="s">
        <v>70</v>
      </c>
      <c r="K151" s="22" t="s">
        <v>64</v>
      </c>
      <c r="L151" s="22" t="s">
        <v>242</v>
      </c>
      <c r="M151" s="23">
        <v>45259</v>
      </c>
      <c r="N151" s="32" t="s">
        <v>244</v>
      </c>
      <c r="O151" s="16" t="s">
        <v>67</v>
      </c>
      <c r="P151" s="16" t="s">
        <v>240</v>
      </c>
    </row>
    <row r="152" spans="1:16" ht="14" x14ac:dyDescent="0.2">
      <c r="A152" s="13">
        <f t="shared" si="55"/>
        <v>2023</v>
      </c>
      <c r="B152" s="13" t="str">
        <f t="shared" si="56"/>
        <v>11</v>
      </c>
      <c r="C152" s="13" t="str">
        <f t="shared" si="57"/>
        <v>28</v>
      </c>
      <c r="D152" s="16" t="str">
        <f>VLOOKUP(H152,'Names for Vlookup'!$B$26:$C$94,2,FALSE)</f>
        <v>HwaYong Pharm.</v>
      </c>
      <c r="E152" s="16" t="str">
        <f>VLOOKUP(K152,'Names for Vlookup'!$B$8:$C$21,2,FALSE)</f>
        <v>Deer velvet (dried)</v>
      </c>
      <c r="F152" s="16" t="str">
        <f>VLOOKUP(O152,'Names for Vlookup'!$B$2:$C$5,2,FALSE)</f>
        <v>New Zealand</v>
      </c>
      <c r="G152" s="16" t="str">
        <f>VLOOKUP(P152,'Names for Vlookup'!$B$2:$C$5,2,FALSE)</f>
        <v>China</v>
      </c>
      <c r="H152" s="21" t="s">
        <v>80</v>
      </c>
      <c r="I152" s="22" t="s">
        <v>62</v>
      </c>
      <c r="J152" s="22" t="s">
        <v>63</v>
      </c>
      <c r="K152" s="22" t="s">
        <v>64</v>
      </c>
      <c r="L152" s="22" t="s">
        <v>245</v>
      </c>
      <c r="M152" s="23">
        <v>45258</v>
      </c>
      <c r="N152" s="32" t="s">
        <v>246</v>
      </c>
      <c r="O152" s="16" t="s">
        <v>67</v>
      </c>
      <c r="P152" s="16" t="s">
        <v>68</v>
      </c>
    </row>
    <row r="153" spans="1:16" ht="14" x14ac:dyDescent="0.2">
      <c r="A153" s="13">
        <f t="shared" si="55"/>
        <v>2023</v>
      </c>
      <c r="B153" s="13" t="str">
        <f t="shared" si="56"/>
        <v>11</v>
      </c>
      <c r="C153" s="13" t="str">
        <f t="shared" si="57"/>
        <v>23</v>
      </c>
      <c r="D153" s="16" t="str">
        <f>VLOOKUP(H153,'Names for Vlookup'!$B$26:$C$94,2,FALSE)</f>
        <v>Onnuri Bio</v>
      </c>
      <c r="E153" s="16" t="str">
        <f>VLOOKUP(K153,'Names for Vlookup'!$B$8:$C$21,2,FALSE)</f>
        <v>Deer velvet (dried)</v>
      </c>
      <c r="F153" s="16" t="str">
        <f>VLOOKUP(O153,'Names for Vlookup'!$B$2:$C$5,2,FALSE)</f>
        <v>New Zealand</v>
      </c>
      <c r="G153" s="16" t="str">
        <f>VLOOKUP(P153,'Names for Vlookup'!$B$2:$C$5,2,FALSE)</f>
        <v>China</v>
      </c>
      <c r="H153" s="21" t="s">
        <v>61</v>
      </c>
      <c r="I153" s="22" t="s">
        <v>62</v>
      </c>
      <c r="J153" s="22" t="s">
        <v>63</v>
      </c>
      <c r="K153" s="22" t="s">
        <v>64</v>
      </c>
      <c r="L153" s="22" t="s">
        <v>247</v>
      </c>
      <c r="M153" s="23">
        <v>45253</v>
      </c>
      <c r="N153" s="32" t="s">
        <v>248</v>
      </c>
      <c r="O153" s="16" t="s">
        <v>67</v>
      </c>
      <c r="P153" s="16" t="s">
        <v>68</v>
      </c>
    </row>
    <row r="154" spans="1:16" ht="14" x14ac:dyDescent="0.2">
      <c r="A154" s="13">
        <f t="shared" si="55"/>
        <v>2023</v>
      </c>
      <c r="B154" s="13" t="str">
        <f t="shared" si="56"/>
        <v>11</v>
      </c>
      <c r="C154" s="13" t="str">
        <f t="shared" si="57"/>
        <v>20</v>
      </c>
      <c r="D154" s="16" t="str">
        <f>VLOOKUP(H154,'Names for Vlookup'!$B$26:$C$94,2,FALSE)</f>
        <v>YW International</v>
      </c>
      <c r="E154" s="16" t="str">
        <f>VLOOKUP(K154,'Names for Vlookup'!$B$8:$C$21,2,FALSE)</f>
        <v>Deer velvet (frozen)</v>
      </c>
      <c r="F154" s="16" t="str">
        <f>VLOOKUP(O154,'Names for Vlookup'!$B$2:$C$5,2,FALSE)</f>
        <v>New Zealand</v>
      </c>
      <c r="G154" s="16" t="str">
        <f>VLOOKUP(P154,'Names for Vlookup'!$B$2:$C$5,2,FALSE)</f>
        <v>New Zealand</v>
      </c>
      <c r="H154" s="21" t="s">
        <v>88</v>
      </c>
      <c r="I154" s="22" t="s">
        <v>72</v>
      </c>
      <c r="J154" s="22" t="s">
        <v>120</v>
      </c>
      <c r="K154" s="22" t="s">
        <v>74</v>
      </c>
      <c r="L154" s="22" t="s">
        <v>121</v>
      </c>
      <c r="M154" s="23">
        <v>45250</v>
      </c>
      <c r="N154" s="32" t="s">
        <v>66</v>
      </c>
      <c r="O154" s="16" t="s">
        <v>67</v>
      </c>
      <c r="P154" s="16" t="s">
        <v>67</v>
      </c>
    </row>
    <row r="155" spans="1:16" ht="14" x14ac:dyDescent="0.2">
      <c r="A155" s="13">
        <f t="shared" si="55"/>
        <v>2023</v>
      </c>
      <c r="B155" s="13" t="str">
        <f t="shared" si="56"/>
        <v>11</v>
      </c>
      <c r="C155" s="13" t="str">
        <f t="shared" si="57"/>
        <v>20</v>
      </c>
      <c r="D155" s="16" t="str">
        <f>VLOOKUP(H155,'Names for Vlookup'!$B$26:$C$94,2,FALSE)</f>
        <v>OnBio</v>
      </c>
      <c r="E155" s="16" t="str">
        <f>VLOOKUP(K155,'Names for Vlookup'!$B$8:$C$21,2,FALSE)</f>
        <v>Deer velvet (dried)</v>
      </c>
      <c r="F155" s="16" t="str">
        <f>VLOOKUP(O155,'Names for Vlookup'!$B$2:$C$5,2,FALSE)</f>
        <v>New Zealand</v>
      </c>
      <c r="G155" s="16" t="str">
        <f>VLOOKUP(P155,'Names for Vlookup'!$B$2:$C$5,2,FALSE)</f>
        <v>China</v>
      </c>
      <c r="H155" s="21" t="s">
        <v>82</v>
      </c>
      <c r="I155" s="22" t="s">
        <v>171</v>
      </c>
      <c r="J155" s="22" t="s">
        <v>70</v>
      </c>
      <c r="K155" s="22" t="s">
        <v>64</v>
      </c>
      <c r="L155" s="22" t="s">
        <v>97</v>
      </c>
      <c r="M155" s="23">
        <v>45250</v>
      </c>
      <c r="N155" s="32" t="s">
        <v>249</v>
      </c>
      <c r="O155" s="16" t="s">
        <v>67</v>
      </c>
      <c r="P155" s="16" t="s">
        <v>68</v>
      </c>
    </row>
    <row r="156" spans="1:16" ht="14" x14ac:dyDescent="0.2">
      <c r="A156" s="13">
        <f t="shared" si="55"/>
        <v>2023</v>
      </c>
      <c r="B156" s="13" t="str">
        <f t="shared" si="56"/>
        <v>11</v>
      </c>
      <c r="C156" s="13" t="str">
        <f t="shared" si="57"/>
        <v>09</v>
      </c>
      <c r="D156" s="16" t="str">
        <f>VLOOKUP(H156,'Names for Vlookup'!$B$26:$C$94,2,FALSE)</f>
        <v>KGC</v>
      </c>
      <c r="E156" s="16" t="str">
        <f>VLOOKUP(K156,'Names for Vlookup'!$B$8:$C$21,2,FALSE)</f>
        <v>Deer velvet (dried)</v>
      </c>
      <c r="F156" s="16" t="str">
        <f>VLOOKUP(O156,'Names for Vlookup'!$B$2:$C$5,2,FALSE)</f>
        <v>New Zealand</v>
      </c>
      <c r="G156" s="16" t="str">
        <f>VLOOKUP(P156,'Names for Vlookup'!$B$2:$C$5,2,FALSE)</f>
        <v>New Zealand</v>
      </c>
      <c r="H156" s="21" t="s">
        <v>90</v>
      </c>
      <c r="I156" s="22" t="s">
        <v>171</v>
      </c>
      <c r="J156" s="22" t="s">
        <v>70</v>
      </c>
      <c r="K156" s="22" t="s">
        <v>64</v>
      </c>
      <c r="L156" s="22" t="s">
        <v>250</v>
      </c>
      <c r="M156" s="23">
        <v>45239</v>
      </c>
      <c r="N156" s="32" t="s">
        <v>251</v>
      </c>
      <c r="O156" s="16" t="s">
        <v>67</v>
      </c>
      <c r="P156" s="16" t="s">
        <v>67</v>
      </c>
    </row>
    <row r="157" spans="1:16" ht="14" x14ac:dyDescent="0.2">
      <c r="A157" s="13">
        <f t="shared" si="55"/>
        <v>2023</v>
      </c>
      <c r="B157" s="13" t="str">
        <f t="shared" si="56"/>
        <v>10</v>
      </c>
      <c r="C157" s="13" t="str">
        <f t="shared" si="57"/>
        <v>30</v>
      </c>
      <c r="D157" s="16" t="str">
        <f>VLOOKUP(H157,'Names for Vlookup'!$B$26:$C$94,2,FALSE)</f>
        <v>Hans Pharm Inc</v>
      </c>
      <c r="E157" s="16" t="str">
        <f>VLOOKUP(K157,'Names for Vlookup'!$B$8:$C$21,2,FALSE)</f>
        <v>Deer velvet (dried)</v>
      </c>
      <c r="F157" s="16" t="str">
        <f>VLOOKUP(O157,'Names for Vlookup'!$B$2:$C$5,2,FALSE)</f>
        <v>China</v>
      </c>
      <c r="G157" s="16" t="str">
        <f>VLOOKUP(P157,'Names for Vlookup'!$B$2:$C$5,2,FALSE)</f>
        <v>China</v>
      </c>
      <c r="H157" s="21" t="s">
        <v>170</v>
      </c>
      <c r="I157" s="22" t="s">
        <v>171</v>
      </c>
      <c r="J157" s="22" t="s">
        <v>186</v>
      </c>
      <c r="K157" s="22" t="s">
        <v>64</v>
      </c>
      <c r="L157" s="22" t="s">
        <v>187</v>
      </c>
      <c r="M157" s="23">
        <v>45229</v>
      </c>
      <c r="N157" s="32" t="s">
        <v>66</v>
      </c>
      <c r="O157" s="16" t="s">
        <v>68</v>
      </c>
      <c r="P157" s="16" t="s">
        <v>68</v>
      </c>
    </row>
    <row r="158" spans="1:16" ht="14" x14ac:dyDescent="0.2">
      <c r="A158" s="13">
        <f t="shared" si="55"/>
        <v>2023</v>
      </c>
      <c r="B158" s="13" t="str">
        <f t="shared" si="56"/>
        <v>10</v>
      </c>
      <c r="C158" s="13" t="str">
        <f t="shared" si="57"/>
        <v>30</v>
      </c>
      <c r="D158" s="16" t="str">
        <f>VLOOKUP(H158,'Names for Vlookup'!$B$26:$C$94,2,FALSE)</f>
        <v>Million Trade</v>
      </c>
      <c r="E158" s="16" t="str">
        <f>VLOOKUP(K158,'Names for Vlookup'!$B$8:$C$21,2,FALSE)</f>
        <v>Deer velvet (dried)</v>
      </c>
      <c r="F158" s="16" t="str">
        <f>VLOOKUP(O158,'Names for Vlookup'!$B$2:$C$5,2,FALSE)</f>
        <v>Russia</v>
      </c>
      <c r="G158" s="16" t="str">
        <f>VLOOKUP(P158,'Names for Vlookup'!$B$2:$C$5,2,FALSE)</f>
        <v>Russia</v>
      </c>
      <c r="H158" s="21" t="s">
        <v>252</v>
      </c>
      <c r="I158" s="22" t="s">
        <v>171</v>
      </c>
      <c r="J158" s="22" t="s">
        <v>63</v>
      </c>
      <c r="K158" s="22" t="s">
        <v>64</v>
      </c>
      <c r="L158" s="22" t="s">
        <v>154</v>
      </c>
      <c r="M158" s="23">
        <v>45229</v>
      </c>
      <c r="N158" s="32" t="s">
        <v>66</v>
      </c>
      <c r="O158" s="16" t="s">
        <v>95</v>
      </c>
      <c r="P158" s="16" t="s">
        <v>95</v>
      </c>
    </row>
    <row r="159" spans="1:16" ht="14" x14ac:dyDescent="0.2">
      <c r="A159" s="13">
        <f t="shared" si="55"/>
        <v>2023</v>
      </c>
      <c r="B159" s="13" t="str">
        <f t="shared" si="56"/>
        <v>10</v>
      </c>
      <c r="C159" s="13" t="str">
        <f t="shared" si="57"/>
        <v>12</v>
      </c>
      <c r="D159" s="16" t="str">
        <f>VLOOKUP(H159,'Names for Vlookup'!$B$26:$C$94,2,FALSE)</f>
        <v>KGC</v>
      </c>
      <c r="E159" s="16" t="str">
        <f>VLOOKUP(K159,'Names for Vlookup'!$B$8:$C$21,2,FALSE)</f>
        <v>Deer velvet (dried)</v>
      </c>
      <c r="F159" s="16" t="str">
        <f>VLOOKUP(O159,'Names for Vlookup'!$B$2:$C$5,2,FALSE)</f>
        <v>New Zealand</v>
      </c>
      <c r="G159" s="16" t="str">
        <f>VLOOKUP(P159,'Names for Vlookup'!$B$2:$C$5,2,FALSE)</f>
        <v>New Zealand</v>
      </c>
      <c r="H159" s="21" t="s">
        <v>90</v>
      </c>
      <c r="I159" s="22" t="s">
        <v>64</v>
      </c>
      <c r="J159" s="22" t="s">
        <v>70</v>
      </c>
      <c r="K159" s="22" t="s">
        <v>64</v>
      </c>
      <c r="L159" s="22" t="s">
        <v>37</v>
      </c>
      <c r="M159" s="23">
        <v>45211</v>
      </c>
      <c r="N159" s="32" t="s">
        <v>66</v>
      </c>
      <c r="O159" s="16" t="s">
        <v>67</v>
      </c>
      <c r="P159" s="16" t="s">
        <v>67</v>
      </c>
    </row>
    <row r="160" spans="1:16" ht="14" x14ac:dyDescent="0.2">
      <c r="A160" s="13">
        <f t="shared" si="55"/>
        <v>2023</v>
      </c>
      <c r="B160" s="13" t="str">
        <f t="shared" si="56"/>
        <v>10</v>
      </c>
      <c r="C160" s="13" t="str">
        <f t="shared" si="57"/>
        <v>12</v>
      </c>
      <c r="D160" s="16" t="str">
        <f>VLOOKUP(H160,'Names for Vlookup'!$B$26:$C$94,2,FALSE)</f>
        <v>KGC</v>
      </c>
      <c r="E160" s="16" t="str">
        <f>VLOOKUP(K160,'Names for Vlookup'!$B$8:$C$21,2,FALSE)</f>
        <v>Deer velvet (dried)</v>
      </c>
      <c r="F160" s="16" t="str">
        <f>VLOOKUP(O160,'Names for Vlookup'!$B$2:$C$5,2,FALSE)</f>
        <v>New Zealand</v>
      </c>
      <c r="G160" s="16" t="str">
        <f>VLOOKUP(P160,'Names for Vlookup'!$B$2:$C$5,2,FALSE)</f>
        <v>New Zealand</v>
      </c>
      <c r="H160" s="21" t="s">
        <v>90</v>
      </c>
      <c r="I160" s="22" t="s">
        <v>171</v>
      </c>
      <c r="J160" s="22" t="s">
        <v>70</v>
      </c>
      <c r="K160" s="22" t="s">
        <v>64</v>
      </c>
      <c r="L160" s="22" t="s">
        <v>250</v>
      </c>
      <c r="M160" s="23">
        <v>45211</v>
      </c>
      <c r="N160" s="32" t="s">
        <v>253</v>
      </c>
      <c r="O160" s="16" t="s">
        <v>67</v>
      </c>
      <c r="P160" s="16" t="s">
        <v>67</v>
      </c>
    </row>
    <row r="161" spans="1:16" ht="14" x14ac:dyDescent="0.2">
      <c r="A161" s="13">
        <f t="shared" si="55"/>
        <v>2023</v>
      </c>
      <c r="B161" s="13" t="str">
        <f>TEXT(M161,"mm")</f>
        <v>10</v>
      </c>
      <c r="C161" s="13" t="str">
        <f>TEXT(M161,"dd")</f>
        <v>05</v>
      </c>
      <c r="D161" s="16" t="str">
        <f>VLOOKUP(H161,'Names for Vlookup'!$B$26:$C$94,2,FALSE)</f>
        <v>Eryong Pharm.</v>
      </c>
      <c r="E161" s="16" t="str">
        <f>VLOOKUP(K161,'Names for Vlookup'!$B$8:$C$21,2,FALSE)</f>
        <v>Deer velvet (dried)</v>
      </c>
      <c r="F161" s="16" t="str">
        <f>VLOOKUP(O161,'Names for Vlookup'!$B$2:$C$5,2,FALSE)</f>
        <v>New Zealand</v>
      </c>
      <c r="G161" s="16" t="str">
        <f>VLOOKUP(P161,'Names for Vlookup'!$B$2:$C$5,2,FALSE)</f>
        <v>China</v>
      </c>
      <c r="H161" s="21" t="s">
        <v>92</v>
      </c>
      <c r="I161" s="22" t="s">
        <v>62</v>
      </c>
      <c r="J161" s="22" t="s">
        <v>63</v>
      </c>
      <c r="K161" s="22" t="s">
        <v>64</v>
      </c>
      <c r="L161" s="22" t="s">
        <v>247</v>
      </c>
      <c r="M161" s="23" t="s">
        <v>254</v>
      </c>
      <c r="N161" s="32" t="s">
        <v>255</v>
      </c>
      <c r="O161" s="16" t="s">
        <v>67</v>
      </c>
      <c r="P161" s="16" t="s">
        <v>68</v>
      </c>
    </row>
    <row r="162" spans="1:16" ht="14" x14ac:dyDescent="0.2">
      <c r="A162" s="13">
        <f t="shared" ref="A162:A191" si="58">YEAR(M162)</f>
        <v>2023</v>
      </c>
      <c r="B162" s="13" t="str">
        <f t="shared" ref="B162:B191" si="59">TEXT(M162,"mm")</f>
        <v>10</v>
      </c>
      <c r="C162" s="13" t="str">
        <f t="shared" ref="C162:C191" si="60">TEXT(M162,"dd")</f>
        <v>05</v>
      </c>
      <c r="D162" s="16" t="str">
        <f>VLOOKUP(H162,'Names for Vlookup'!$B$26:$C$94,2,FALSE)</f>
        <v>KNC Deertrade</v>
      </c>
      <c r="E162" s="16" t="str">
        <f>VLOOKUP(K162,'Names for Vlookup'!$B$8:$C$21,2,FALSE)</f>
        <v>Deer velvet (frozen)</v>
      </c>
      <c r="F162" s="16" t="str">
        <f>VLOOKUP(O162,'Names for Vlookup'!$B$2:$C$5,2,FALSE)</f>
        <v>New Zealand</v>
      </c>
      <c r="G162" s="16" t="str">
        <f>VLOOKUP(P162,'Names for Vlookup'!$B$2:$C$5,2,FALSE)</f>
        <v>New Zealand</v>
      </c>
      <c r="H162" s="21" t="s">
        <v>75</v>
      </c>
      <c r="I162" s="22" t="s">
        <v>76</v>
      </c>
      <c r="J162" s="22" t="s">
        <v>73</v>
      </c>
      <c r="K162" s="22" t="s">
        <v>74</v>
      </c>
      <c r="L162" s="22" t="s">
        <v>203</v>
      </c>
      <c r="M162" s="23" t="s">
        <v>254</v>
      </c>
      <c r="N162" s="16" t="s">
        <v>256</v>
      </c>
      <c r="O162" s="16" t="s">
        <v>67</v>
      </c>
      <c r="P162" s="16" t="s">
        <v>67</v>
      </c>
    </row>
    <row r="163" spans="1:16" ht="14" x14ac:dyDescent="0.2">
      <c r="A163" s="13">
        <f t="shared" si="58"/>
        <v>2023</v>
      </c>
      <c r="B163" s="13" t="str">
        <f t="shared" si="59"/>
        <v>09</v>
      </c>
      <c r="C163" s="13" t="str">
        <f t="shared" si="60"/>
        <v>05</v>
      </c>
      <c r="D163" s="16" t="str">
        <f>VLOOKUP(H163,'Names for Vlookup'!$B$26:$C$94,2,FALSE)</f>
        <v>KGC</v>
      </c>
      <c r="E163" s="16" t="str">
        <f>VLOOKUP(K163,'Names for Vlookup'!$B$8:$C$21,2,FALSE)</f>
        <v>Deer velvet (dried)</v>
      </c>
      <c r="F163" s="16" t="str">
        <f>VLOOKUP(O163,'Names for Vlookup'!$B$2:$C$5,2,FALSE)</f>
        <v>New Zealand</v>
      </c>
      <c r="G163" s="16" t="str">
        <f>VLOOKUP(P163,'Names for Vlookup'!$B$2:$C$5,2,FALSE)</f>
        <v>New Zealand</v>
      </c>
      <c r="H163" s="21" t="s">
        <v>90</v>
      </c>
      <c r="I163" s="22" t="s">
        <v>64</v>
      </c>
      <c r="J163" s="22" t="s">
        <v>70</v>
      </c>
      <c r="K163" s="22" t="s">
        <v>64</v>
      </c>
      <c r="L163" s="22" t="s">
        <v>37</v>
      </c>
      <c r="M163" s="23" t="s">
        <v>257</v>
      </c>
      <c r="N163" s="16" t="s">
        <v>66</v>
      </c>
      <c r="O163" s="16" t="s">
        <v>67</v>
      </c>
      <c r="P163" s="16" t="s">
        <v>67</v>
      </c>
    </row>
    <row r="164" spans="1:16" ht="14" x14ac:dyDescent="0.2">
      <c r="A164" s="13">
        <f t="shared" si="58"/>
        <v>2023</v>
      </c>
      <c r="B164" s="13" t="str">
        <f t="shared" si="59"/>
        <v>09</v>
      </c>
      <c r="C164" s="13" t="str">
        <f t="shared" si="60"/>
        <v>05</v>
      </c>
      <c r="D164" s="16" t="str">
        <f>VLOOKUP(H164,'Names for Vlookup'!$B$26:$C$94,2,FALSE)</f>
        <v>KGC</v>
      </c>
      <c r="E164" s="16" t="str">
        <f>VLOOKUP(K164,'Names for Vlookup'!$B$8:$C$21,2,FALSE)</f>
        <v>Deer velvet (dried)</v>
      </c>
      <c r="F164" s="16" t="str">
        <f>VLOOKUP(O164,'Names for Vlookup'!$B$2:$C$5,2,FALSE)</f>
        <v>New Zealand</v>
      </c>
      <c r="G164" s="16" t="str">
        <f>VLOOKUP(P164,'Names for Vlookup'!$B$2:$C$5,2,FALSE)</f>
        <v>New Zealand</v>
      </c>
      <c r="H164" s="21" t="s">
        <v>90</v>
      </c>
      <c r="I164" s="22" t="s">
        <v>171</v>
      </c>
      <c r="J164" s="22" t="s">
        <v>70</v>
      </c>
      <c r="K164" s="22" t="s">
        <v>64</v>
      </c>
      <c r="L164" s="22" t="s">
        <v>250</v>
      </c>
      <c r="M164" s="23" t="s">
        <v>257</v>
      </c>
      <c r="N164" s="16" t="s">
        <v>258</v>
      </c>
      <c r="O164" s="16" t="s">
        <v>67</v>
      </c>
      <c r="P164" s="16" t="s">
        <v>67</v>
      </c>
    </row>
    <row r="165" spans="1:16" ht="14" x14ac:dyDescent="0.2">
      <c r="A165" s="13">
        <f t="shared" si="58"/>
        <v>2023</v>
      </c>
      <c r="B165" s="13" t="str">
        <f t="shared" si="59"/>
        <v>08</v>
      </c>
      <c r="C165" s="13" t="str">
        <f t="shared" si="60"/>
        <v>29</v>
      </c>
      <c r="D165" s="16" t="str">
        <f>VLOOKUP(H165,'Names for Vlookup'!$B$26:$C$94,2,FALSE)</f>
        <v>YW International</v>
      </c>
      <c r="E165" s="16" t="str">
        <f>VLOOKUP(K165,'Names for Vlookup'!$B$8:$C$21,2,FALSE)</f>
        <v>Deer velvet (frozen)</v>
      </c>
      <c r="F165" s="16" t="str">
        <f>VLOOKUP(O165,'Names for Vlookup'!$B$2:$C$5,2,FALSE)</f>
        <v>New Zealand</v>
      </c>
      <c r="G165" s="16" t="str">
        <f>VLOOKUP(P165,'Names for Vlookup'!$B$2:$C$5,2,FALSE)</f>
        <v>New Zealand</v>
      </c>
      <c r="H165" s="21" t="s">
        <v>88</v>
      </c>
      <c r="I165" s="22" t="s">
        <v>72</v>
      </c>
      <c r="J165" s="22" t="s">
        <v>120</v>
      </c>
      <c r="K165" s="22" t="s">
        <v>74</v>
      </c>
      <c r="L165" s="22" t="s">
        <v>121</v>
      </c>
      <c r="M165" s="23" t="s">
        <v>259</v>
      </c>
      <c r="N165" s="16" t="s">
        <v>66</v>
      </c>
      <c r="O165" s="16" t="s">
        <v>67</v>
      </c>
      <c r="P165" s="16" t="s">
        <v>67</v>
      </c>
    </row>
    <row r="166" spans="1:16" ht="14" x14ac:dyDescent="0.2">
      <c r="A166" s="13">
        <f t="shared" si="58"/>
        <v>2023</v>
      </c>
      <c r="B166" s="13" t="str">
        <f t="shared" si="59"/>
        <v>08</v>
      </c>
      <c r="C166" s="13" t="str">
        <f t="shared" si="60"/>
        <v>14</v>
      </c>
      <c r="D166" s="16" t="str">
        <f>VLOOKUP(H166,'Names for Vlookup'!$B$26:$C$94,2,FALSE)</f>
        <v>Bibong Herb</v>
      </c>
      <c r="E166" s="16" t="str">
        <f>VLOOKUP(K166,'Names for Vlookup'!$B$8:$C$21,2,FALSE)</f>
        <v>Deer velvet (dried)</v>
      </c>
      <c r="F166" s="16" t="str">
        <f>VLOOKUP(O166,'Names for Vlookup'!$B$2:$C$5,2,FALSE)</f>
        <v>New Zealand</v>
      </c>
      <c r="G166" s="16" t="str">
        <f>VLOOKUP(P166,'Names for Vlookup'!$B$2:$C$5,2,FALSE)</f>
        <v>New Zealand</v>
      </c>
      <c r="H166" s="21" t="s">
        <v>135</v>
      </c>
      <c r="I166" s="22" t="s">
        <v>62</v>
      </c>
      <c r="J166" s="22" t="s">
        <v>63</v>
      </c>
      <c r="K166" s="22" t="s">
        <v>64</v>
      </c>
      <c r="L166" s="22" t="s">
        <v>260</v>
      </c>
      <c r="M166" s="23" t="s">
        <v>261</v>
      </c>
      <c r="N166" s="16" t="s">
        <v>262</v>
      </c>
      <c r="O166" s="16" t="s">
        <v>67</v>
      </c>
      <c r="P166" s="16" t="s">
        <v>67</v>
      </c>
    </row>
    <row r="167" spans="1:16" ht="14" x14ac:dyDescent="0.2">
      <c r="A167" s="13">
        <f t="shared" si="58"/>
        <v>2023</v>
      </c>
      <c r="B167" s="13" t="str">
        <f t="shared" si="59"/>
        <v>08</v>
      </c>
      <c r="C167" s="13" t="str">
        <f t="shared" si="60"/>
        <v>14</v>
      </c>
      <c r="D167" s="16" t="str">
        <f>VLOOKUP(H167,'Names for Vlookup'!$B$26:$C$94,2,FALSE)</f>
        <v>Daeho Pharm.</v>
      </c>
      <c r="E167" s="16" t="str">
        <f>VLOOKUP(K167,'Names for Vlookup'!$B$8:$C$21,2,FALSE)</f>
        <v>Deer velvet (dried)</v>
      </c>
      <c r="F167" s="16" t="str">
        <f>VLOOKUP(O167,'Names for Vlookup'!$B$2:$C$5,2,FALSE)</f>
        <v>New Zealand</v>
      </c>
      <c r="G167" s="16" t="str">
        <f>VLOOKUP(P167,'Names for Vlookup'!$B$2:$C$5,2,FALSE)</f>
        <v>China</v>
      </c>
      <c r="H167" s="21" t="s">
        <v>143</v>
      </c>
      <c r="I167" s="22" t="s">
        <v>171</v>
      </c>
      <c r="J167" s="22" t="s">
        <v>70</v>
      </c>
      <c r="K167" s="22" t="s">
        <v>64</v>
      </c>
      <c r="L167" s="22" t="s">
        <v>247</v>
      </c>
      <c r="M167" s="23" t="s">
        <v>261</v>
      </c>
      <c r="N167" s="16" t="s">
        <v>263</v>
      </c>
      <c r="O167" s="16" t="s">
        <v>67</v>
      </c>
      <c r="P167" s="16" t="s">
        <v>68</v>
      </c>
    </row>
    <row r="168" spans="1:16" ht="14" x14ac:dyDescent="0.2">
      <c r="A168" s="13">
        <f t="shared" si="58"/>
        <v>2023</v>
      </c>
      <c r="B168" s="13" t="str">
        <f t="shared" si="59"/>
        <v>08</v>
      </c>
      <c r="C168" s="13" t="str">
        <f t="shared" si="60"/>
        <v>14</v>
      </c>
      <c r="D168" s="16" t="str">
        <f>VLOOKUP(H168,'Names for Vlookup'!$B$26:$C$94,2,FALSE)</f>
        <v>KGC</v>
      </c>
      <c r="E168" s="16" t="str">
        <f>VLOOKUP(K168,'Names for Vlookup'!$B$8:$C$21,2,FALSE)</f>
        <v>Deer velvet (dried)</v>
      </c>
      <c r="F168" s="16" t="str">
        <f>VLOOKUP(O168,'Names for Vlookup'!$B$2:$C$5,2,FALSE)</f>
        <v>New Zealand</v>
      </c>
      <c r="G168" s="16" t="str">
        <f>VLOOKUP(P168,'Names for Vlookup'!$B$2:$C$5,2,FALSE)</f>
        <v>New Zealand</v>
      </c>
      <c r="H168" s="21" t="s">
        <v>90</v>
      </c>
      <c r="I168" s="22" t="s">
        <v>171</v>
      </c>
      <c r="J168" s="22" t="s">
        <v>70</v>
      </c>
      <c r="K168" s="22" t="s">
        <v>64</v>
      </c>
      <c r="L168" s="22" t="s">
        <v>250</v>
      </c>
      <c r="M168" s="23" t="s">
        <v>261</v>
      </c>
      <c r="N168" s="16" t="s">
        <v>264</v>
      </c>
      <c r="O168" s="16" t="s">
        <v>67</v>
      </c>
      <c r="P168" s="16" t="s">
        <v>67</v>
      </c>
    </row>
    <row r="169" spans="1:16" ht="14" x14ac:dyDescent="0.2">
      <c r="A169" s="13">
        <f t="shared" si="58"/>
        <v>2023</v>
      </c>
      <c r="B169" s="13" t="str">
        <f t="shared" si="59"/>
        <v>08</v>
      </c>
      <c r="C169" s="13" t="str">
        <f t="shared" si="60"/>
        <v>02</v>
      </c>
      <c r="D169" s="16" t="str">
        <f>VLOOKUP(H169,'Names for Vlookup'!$B$26:$C$94,2,FALSE)</f>
        <v>Bibong Herb</v>
      </c>
      <c r="E169" s="16" t="str">
        <f>VLOOKUP(K169,'Names for Vlookup'!$B$8:$C$21,2,FALSE)</f>
        <v>Deer velvet (dried)</v>
      </c>
      <c r="F169" s="16" t="str">
        <f>VLOOKUP(O169,'Names for Vlookup'!$B$2:$C$5,2,FALSE)</f>
        <v>New Zealand</v>
      </c>
      <c r="G169" s="16" t="str">
        <f>VLOOKUP(P169,'Names for Vlookup'!$B$2:$C$5,2,FALSE)</f>
        <v>New Zealand</v>
      </c>
      <c r="H169" s="21" t="s">
        <v>135</v>
      </c>
      <c r="I169" s="22" t="s">
        <v>62</v>
      </c>
      <c r="J169" s="22" t="s">
        <v>63</v>
      </c>
      <c r="K169" s="22" t="s">
        <v>64</v>
      </c>
      <c r="L169" s="22" t="s">
        <v>129</v>
      </c>
      <c r="M169" s="23" t="s">
        <v>265</v>
      </c>
      <c r="N169" s="16" t="s">
        <v>266</v>
      </c>
      <c r="O169" s="16" t="s">
        <v>67</v>
      </c>
      <c r="P169" s="16" t="s">
        <v>67</v>
      </c>
    </row>
    <row r="170" spans="1:16" ht="14" x14ac:dyDescent="0.2">
      <c r="A170" s="13">
        <f t="shared" si="58"/>
        <v>2023</v>
      </c>
      <c r="B170" s="13" t="str">
        <f t="shared" si="59"/>
        <v>07</v>
      </c>
      <c r="C170" s="13" t="str">
        <f t="shared" si="60"/>
        <v>25</v>
      </c>
      <c r="D170" s="16" t="str">
        <f>VLOOKUP(H170,'Names for Vlookup'!$B$26:$C$94,2,FALSE)</f>
        <v>YW International</v>
      </c>
      <c r="E170" s="16" t="str">
        <f>VLOOKUP(K170,'Names for Vlookup'!$B$8:$C$21,2,FALSE)</f>
        <v>Deer velvet (frozen)</v>
      </c>
      <c r="F170" s="16" t="str">
        <f>VLOOKUP(O170,'Names for Vlookup'!$B$2:$C$5,2,FALSE)</f>
        <v>New Zealand</v>
      </c>
      <c r="G170" s="16" t="str">
        <f>VLOOKUP(P170,'Names for Vlookup'!$B$2:$C$5,2,FALSE)</f>
        <v>New Zealand</v>
      </c>
      <c r="H170" s="21" t="s">
        <v>88</v>
      </c>
      <c r="I170" s="22" t="s">
        <v>72</v>
      </c>
      <c r="J170" s="22" t="s">
        <v>120</v>
      </c>
      <c r="K170" s="22" t="s">
        <v>74</v>
      </c>
      <c r="L170" s="22" t="s">
        <v>121</v>
      </c>
      <c r="M170" s="23" t="s">
        <v>267</v>
      </c>
      <c r="N170" s="16" t="s">
        <v>66</v>
      </c>
      <c r="O170" s="16" t="s">
        <v>67</v>
      </c>
      <c r="P170" s="16" t="s">
        <v>67</v>
      </c>
    </row>
    <row r="171" spans="1:16" ht="14" x14ac:dyDescent="0.2">
      <c r="A171" s="13">
        <f t="shared" si="58"/>
        <v>2023</v>
      </c>
      <c r="B171" s="13" t="str">
        <f t="shared" si="59"/>
        <v>07</v>
      </c>
      <c r="C171" s="13" t="str">
        <f t="shared" si="60"/>
        <v>25</v>
      </c>
      <c r="D171" s="16" t="str">
        <f>VLOOKUP(H171,'Names for Vlookup'!$B$26:$C$94,2,FALSE)</f>
        <v>HwaYong Pharm.</v>
      </c>
      <c r="E171" s="16" t="str">
        <f>VLOOKUP(K171,'Names for Vlookup'!$B$8:$C$21,2,FALSE)</f>
        <v>Deer velvet (dried)</v>
      </c>
      <c r="F171" s="16" t="str">
        <f>VLOOKUP(O171,'Names for Vlookup'!$B$2:$C$5,2,FALSE)</f>
        <v>New Zealand</v>
      </c>
      <c r="G171" s="16" t="str">
        <f>VLOOKUP(P171,'Names for Vlookup'!$B$2:$C$5,2,FALSE)</f>
        <v>China</v>
      </c>
      <c r="H171" s="21" t="s">
        <v>80</v>
      </c>
      <c r="I171" s="22" t="s">
        <v>62</v>
      </c>
      <c r="J171" s="22" t="s">
        <v>63</v>
      </c>
      <c r="K171" s="22" t="s">
        <v>64</v>
      </c>
      <c r="L171" s="22" t="s">
        <v>65</v>
      </c>
      <c r="M171" s="23" t="s">
        <v>267</v>
      </c>
      <c r="N171" s="16" t="s">
        <v>268</v>
      </c>
      <c r="O171" s="16" t="s">
        <v>67</v>
      </c>
      <c r="P171" s="16" t="s">
        <v>68</v>
      </c>
    </row>
    <row r="172" spans="1:16" ht="14" x14ac:dyDescent="0.2">
      <c r="A172" s="13">
        <f t="shared" si="58"/>
        <v>2023</v>
      </c>
      <c r="B172" s="13" t="str">
        <f t="shared" si="59"/>
        <v>07</v>
      </c>
      <c r="C172" s="13" t="str">
        <f t="shared" si="60"/>
        <v>25</v>
      </c>
      <c r="D172" s="16" t="str">
        <f>VLOOKUP(H172,'Names for Vlookup'!$B$26:$C$94,2,FALSE)</f>
        <v>CheonJi Bio</v>
      </c>
      <c r="E172" s="16" t="str">
        <f>VLOOKUP(K172,'Names for Vlookup'!$B$8:$C$21,2,FALSE)</f>
        <v>Deer velvet (dried)</v>
      </c>
      <c r="F172" s="16" t="str">
        <f>VLOOKUP(O172,'Names for Vlookup'!$B$2:$C$5,2,FALSE)</f>
        <v>New Zealand</v>
      </c>
      <c r="G172" s="16" t="str">
        <f>VLOOKUP(P172,'Names for Vlookup'!$B$2:$C$5,2,FALSE)</f>
        <v>China</v>
      </c>
      <c r="H172" s="21" t="s">
        <v>214</v>
      </c>
      <c r="I172" s="22" t="s">
        <v>62</v>
      </c>
      <c r="J172" s="22" t="s">
        <v>63</v>
      </c>
      <c r="K172" s="22" t="s">
        <v>64</v>
      </c>
      <c r="L172" s="22" t="s">
        <v>65</v>
      </c>
      <c r="M172" s="23" t="s">
        <v>267</v>
      </c>
      <c r="N172" s="16" t="s">
        <v>269</v>
      </c>
      <c r="O172" s="16" t="s">
        <v>67</v>
      </c>
      <c r="P172" s="16" t="s">
        <v>68</v>
      </c>
    </row>
    <row r="173" spans="1:16" ht="14" x14ac:dyDescent="0.2">
      <c r="A173" s="13">
        <f t="shared" si="58"/>
        <v>2023</v>
      </c>
      <c r="B173" s="13" t="str">
        <f t="shared" si="59"/>
        <v>07</v>
      </c>
      <c r="C173" s="13" t="str">
        <f t="shared" si="60"/>
        <v>25</v>
      </c>
      <c r="D173" s="16" t="str">
        <f>VLOOKUP(H173,'Names for Vlookup'!$B$26:$C$94,2,FALSE)</f>
        <v>Hyangna Bio</v>
      </c>
      <c r="E173" s="16" t="str">
        <f>VLOOKUP(K173,'Names for Vlookup'!$B$8:$C$21,2,FALSE)</f>
        <v>Deer velvet (dried)</v>
      </c>
      <c r="F173" s="16" t="str">
        <f>VLOOKUP(O173,'Names for Vlookup'!$B$2:$C$5,2,FALSE)</f>
        <v>New Zealand</v>
      </c>
      <c r="G173" s="16" t="str">
        <f>VLOOKUP(P173,'Names for Vlookup'!$B$2:$C$5,2,FALSE)</f>
        <v>China</v>
      </c>
      <c r="H173" s="21" t="s">
        <v>111</v>
      </c>
      <c r="I173" s="22" t="s">
        <v>62</v>
      </c>
      <c r="J173" s="22" t="s">
        <v>63</v>
      </c>
      <c r="K173" s="22" t="s">
        <v>64</v>
      </c>
      <c r="L173" s="22" t="s">
        <v>65</v>
      </c>
      <c r="M173" s="23" t="s">
        <v>267</v>
      </c>
      <c r="N173" s="16" t="s">
        <v>269</v>
      </c>
      <c r="O173" s="16" t="s">
        <v>67</v>
      </c>
      <c r="P173" s="16" t="s">
        <v>68</v>
      </c>
    </row>
    <row r="174" spans="1:16" ht="14" x14ac:dyDescent="0.2">
      <c r="A174" s="13">
        <f t="shared" si="58"/>
        <v>2023</v>
      </c>
      <c r="B174" s="13" t="str">
        <f t="shared" si="59"/>
        <v>07</v>
      </c>
      <c r="C174" s="13" t="str">
        <f t="shared" si="60"/>
        <v>25</v>
      </c>
      <c r="D174" s="16" t="str">
        <f>VLOOKUP(H174,'Names for Vlookup'!$B$26:$C$94,2,FALSE)</f>
        <v>KNC Deertrade</v>
      </c>
      <c r="E174" s="16" t="str">
        <f>VLOOKUP(K174,'Names for Vlookup'!$B$8:$C$21,2,FALSE)</f>
        <v>Deer velvet (dried)</v>
      </c>
      <c r="F174" s="16" t="str">
        <f>VLOOKUP(O174,'Names for Vlookup'!$B$2:$C$5,2,FALSE)</f>
        <v>New Zealand</v>
      </c>
      <c r="G174" s="16" t="str">
        <f>VLOOKUP(P174,'Names for Vlookup'!$B$2:$C$5,2,FALSE)</f>
        <v>China</v>
      </c>
      <c r="H174" s="21" t="s">
        <v>75</v>
      </c>
      <c r="I174" s="22" t="s">
        <v>171</v>
      </c>
      <c r="J174" s="22" t="s">
        <v>70</v>
      </c>
      <c r="K174" s="22" t="s">
        <v>64</v>
      </c>
      <c r="L174" s="22" t="s">
        <v>144</v>
      </c>
      <c r="M174" s="23" t="s">
        <v>267</v>
      </c>
      <c r="N174" s="16" t="s">
        <v>270</v>
      </c>
      <c r="O174" s="16" t="s">
        <v>67</v>
      </c>
      <c r="P174" s="16" t="s">
        <v>68</v>
      </c>
    </row>
    <row r="175" spans="1:16" ht="14" x14ac:dyDescent="0.2">
      <c r="A175" s="13">
        <f t="shared" si="58"/>
        <v>2023</v>
      </c>
      <c r="B175" s="13" t="str">
        <f t="shared" si="59"/>
        <v>07</v>
      </c>
      <c r="C175" s="13" t="str">
        <f t="shared" si="60"/>
        <v>25</v>
      </c>
      <c r="D175" s="16" t="str">
        <f>VLOOKUP(H175,'Names for Vlookup'!$B$26:$C$94,2,FALSE)</f>
        <v>KGC</v>
      </c>
      <c r="E175" s="16" t="str">
        <f>VLOOKUP(K175,'Names for Vlookup'!$B$8:$C$21,2,FALSE)</f>
        <v>Deer velvet (dried)</v>
      </c>
      <c r="F175" s="16" t="str">
        <f>VLOOKUP(O175,'Names for Vlookup'!$B$2:$C$5,2,FALSE)</f>
        <v>New Zealand</v>
      </c>
      <c r="G175" s="16" t="str">
        <f>VLOOKUP(P175,'Names for Vlookup'!$B$2:$C$5,2,FALSE)</f>
        <v>New Zealand</v>
      </c>
      <c r="H175" s="21" t="s">
        <v>90</v>
      </c>
      <c r="I175" s="22" t="s">
        <v>171</v>
      </c>
      <c r="J175" s="22" t="s">
        <v>70</v>
      </c>
      <c r="K175" s="22" t="s">
        <v>64</v>
      </c>
      <c r="L175" s="22" t="s">
        <v>250</v>
      </c>
      <c r="M175" s="23" t="s">
        <v>267</v>
      </c>
      <c r="N175" s="16" t="s">
        <v>271</v>
      </c>
      <c r="O175" s="16" t="s">
        <v>67</v>
      </c>
      <c r="P175" s="16" t="s">
        <v>67</v>
      </c>
    </row>
    <row r="176" spans="1:16" ht="14" x14ac:dyDescent="0.2">
      <c r="A176" s="13">
        <f t="shared" si="58"/>
        <v>2023</v>
      </c>
      <c r="B176" s="13" t="str">
        <f t="shared" si="59"/>
        <v>07</v>
      </c>
      <c r="C176" s="13" t="str">
        <f t="shared" si="60"/>
        <v>25</v>
      </c>
      <c r="D176" s="16" t="str">
        <f>VLOOKUP(H176,'Names for Vlookup'!$B$26:$C$94,2,FALSE)</f>
        <v>YW International</v>
      </c>
      <c r="E176" s="16" t="str">
        <f>VLOOKUP(K176,'Names for Vlookup'!$B$8:$C$21,2,FALSE)</f>
        <v>Deer velvet (frozen)</v>
      </c>
      <c r="F176" s="16" t="str">
        <f>VLOOKUP(O176,'Names for Vlookup'!$B$2:$C$5,2,FALSE)</f>
        <v>New Zealand</v>
      </c>
      <c r="G176" s="16" t="str">
        <f>VLOOKUP(P176,'Names for Vlookup'!$B$2:$C$5,2,FALSE)</f>
        <v>New Zealand</v>
      </c>
      <c r="H176" s="21" t="s">
        <v>88</v>
      </c>
      <c r="I176" s="22" t="s">
        <v>72</v>
      </c>
      <c r="J176" s="22" t="s">
        <v>272</v>
      </c>
      <c r="K176" s="22" t="s">
        <v>74</v>
      </c>
      <c r="L176" s="22" t="s">
        <v>37</v>
      </c>
      <c r="M176" s="23" t="s">
        <v>267</v>
      </c>
      <c r="N176" s="16" t="s">
        <v>66</v>
      </c>
      <c r="O176" s="16" t="s">
        <v>67</v>
      </c>
      <c r="P176" s="16" t="s">
        <v>67</v>
      </c>
    </row>
    <row r="177" spans="1:16" ht="14" x14ac:dyDescent="0.2">
      <c r="A177" s="13">
        <f t="shared" si="58"/>
        <v>2023</v>
      </c>
      <c r="B177" s="13" t="str">
        <f t="shared" si="59"/>
        <v>07</v>
      </c>
      <c r="C177" s="13" t="str">
        <f t="shared" si="60"/>
        <v>14</v>
      </c>
      <c r="D177" s="16" t="str">
        <f>VLOOKUP(H177,'Names for Vlookup'!$B$26:$C$94,2,FALSE)</f>
        <v>KNC Deertrade</v>
      </c>
      <c r="E177" s="16" t="str">
        <f>VLOOKUP(K177,'Names for Vlookup'!$B$8:$C$21,2,FALSE)</f>
        <v>Deer velvet (dried)</v>
      </c>
      <c r="F177" s="16" t="str">
        <f>VLOOKUP(O177,'Names for Vlookup'!$B$2:$C$5,2,FALSE)</f>
        <v>New Zealand</v>
      </c>
      <c r="G177" s="16" t="str">
        <f>VLOOKUP(P177,'Names for Vlookup'!$B$2:$C$5,2,FALSE)</f>
        <v>China</v>
      </c>
      <c r="H177" s="21" t="s">
        <v>75</v>
      </c>
      <c r="I177" s="22" t="s">
        <v>171</v>
      </c>
      <c r="J177" s="22" t="s">
        <v>70</v>
      </c>
      <c r="K177" s="22" t="s">
        <v>64</v>
      </c>
      <c r="L177" s="22" t="s">
        <v>247</v>
      </c>
      <c r="M177" s="23" t="s">
        <v>273</v>
      </c>
      <c r="N177" s="16" t="s">
        <v>274</v>
      </c>
      <c r="O177" s="16" t="s">
        <v>67</v>
      </c>
      <c r="P177" s="16" t="s">
        <v>68</v>
      </c>
    </row>
    <row r="178" spans="1:16" ht="14" x14ac:dyDescent="0.2">
      <c r="A178" s="13">
        <f t="shared" si="58"/>
        <v>2023</v>
      </c>
      <c r="B178" s="13" t="str">
        <f t="shared" si="59"/>
        <v>07</v>
      </c>
      <c r="C178" s="13" t="str">
        <f t="shared" si="60"/>
        <v>12</v>
      </c>
      <c r="D178" s="16" t="str">
        <f>VLOOKUP(H178,'Names for Vlookup'!$B$26:$C$94,2,FALSE)</f>
        <v>Eryong Pharm.</v>
      </c>
      <c r="E178" s="16" t="str">
        <f>VLOOKUP(K178,'Names for Vlookup'!$B$8:$C$21,2,FALSE)</f>
        <v>Deer velvet (dried)</v>
      </c>
      <c r="F178" s="16" t="str">
        <f>VLOOKUP(O178,'Names for Vlookup'!$B$2:$C$5,2,FALSE)</f>
        <v>New Zealand</v>
      </c>
      <c r="G178" s="16" t="str">
        <f>VLOOKUP(P178,'Names for Vlookup'!$B$2:$C$5,2,FALSE)</f>
        <v>Hong Kong</v>
      </c>
      <c r="H178" s="21" t="s">
        <v>92</v>
      </c>
      <c r="I178" s="22" t="s">
        <v>62</v>
      </c>
      <c r="J178" s="22" t="s">
        <v>63</v>
      </c>
      <c r="K178" s="22" t="s">
        <v>64</v>
      </c>
      <c r="L178" s="22" t="s">
        <v>242</v>
      </c>
      <c r="M178" s="23" t="s">
        <v>275</v>
      </c>
      <c r="N178" s="16" t="s">
        <v>276</v>
      </c>
      <c r="O178" s="16" t="s">
        <v>67</v>
      </c>
      <c r="P178" s="16" t="s">
        <v>240</v>
      </c>
    </row>
    <row r="179" spans="1:16" ht="14" x14ac:dyDescent="0.2">
      <c r="A179" s="13">
        <f t="shared" si="58"/>
        <v>2023</v>
      </c>
      <c r="B179" s="13" t="str">
        <f t="shared" si="59"/>
        <v>07</v>
      </c>
      <c r="C179" s="13" t="str">
        <f t="shared" si="60"/>
        <v>11</v>
      </c>
      <c r="D179" s="16" t="str">
        <f>VLOOKUP(H179,'Names for Vlookup'!$B$26:$C$94,2,FALSE)</f>
        <v>HwaYong Pharm.</v>
      </c>
      <c r="E179" s="16" t="str">
        <f>VLOOKUP(K179,'Names for Vlookup'!$B$8:$C$21,2,FALSE)</f>
        <v>Deer velvet (frozen)</v>
      </c>
      <c r="F179" s="16" t="str">
        <f>VLOOKUP(O179,'Names for Vlookup'!$B$2:$C$5,2,FALSE)</f>
        <v>New Zealand</v>
      </c>
      <c r="G179" s="16" t="str">
        <f>VLOOKUP(P179,'Names for Vlookup'!$B$2:$C$5,2,FALSE)</f>
        <v>New Zealand</v>
      </c>
      <c r="H179" s="21" t="s">
        <v>80</v>
      </c>
      <c r="I179" s="22" t="s">
        <v>74</v>
      </c>
      <c r="J179" s="22" t="s">
        <v>81</v>
      </c>
      <c r="K179" s="22" t="s">
        <v>74</v>
      </c>
      <c r="L179" s="22" t="s">
        <v>36</v>
      </c>
      <c r="M179" s="23" t="s">
        <v>277</v>
      </c>
      <c r="N179" s="16" t="s">
        <v>268</v>
      </c>
      <c r="O179" s="16" t="s">
        <v>67</v>
      </c>
      <c r="P179" s="16" t="s">
        <v>67</v>
      </c>
    </row>
    <row r="180" spans="1:16" ht="14" x14ac:dyDescent="0.2">
      <c r="A180" s="13">
        <f t="shared" si="58"/>
        <v>2023</v>
      </c>
      <c r="B180" s="13" t="str">
        <f t="shared" si="59"/>
        <v>07</v>
      </c>
      <c r="C180" s="13" t="str">
        <f t="shared" si="60"/>
        <v>03</v>
      </c>
      <c r="D180" s="16" t="str">
        <f>VLOOKUP(H180,'Names for Vlookup'!$B$26:$C$94,2,FALSE)</f>
        <v>KGC</v>
      </c>
      <c r="E180" s="16" t="str">
        <f>VLOOKUP(K180,'Names for Vlookup'!$B$8:$C$21,2,FALSE)</f>
        <v>Deer velvet (dried)</v>
      </c>
      <c r="F180" s="16" t="str">
        <f>VLOOKUP(O180,'Names for Vlookup'!$B$2:$C$5,2,FALSE)</f>
        <v>New Zealand</v>
      </c>
      <c r="G180" s="16" t="str">
        <f>VLOOKUP(P180,'Names for Vlookup'!$B$2:$C$5,2,FALSE)</f>
        <v>New Zealand</v>
      </c>
      <c r="H180" s="21" t="s">
        <v>90</v>
      </c>
      <c r="I180" s="22" t="s">
        <v>64</v>
      </c>
      <c r="J180" s="22" t="s">
        <v>70</v>
      </c>
      <c r="K180" s="22" t="s">
        <v>64</v>
      </c>
      <c r="L180" s="22" t="s">
        <v>37</v>
      </c>
      <c r="M180" s="23" t="s">
        <v>278</v>
      </c>
      <c r="N180" s="16" t="s">
        <v>66</v>
      </c>
      <c r="O180" s="16" t="s">
        <v>67</v>
      </c>
      <c r="P180" s="16" t="s">
        <v>67</v>
      </c>
    </row>
    <row r="181" spans="1:16" ht="14" x14ac:dyDescent="0.2">
      <c r="A181" s="13">
        <f t="shared" si="58"/>
        <v>2023</v>
      </c>
      <c r="B181" s="13" t="str">
        <f t="shared" si="59"/>
        <v>06</v>
      </c>
      <c r="C181" s="13" t="str">
        <f t="shared" si="60"/>
        <v>28</v>
      </c>
      <c r="D181" s="16" t="str">
        <f>VLOOKUP(H181,'Names for Vlookup'!$B$26:$C$94,2,FALSE)</f>
        <v>KGC</v>
      </c>
      <c r="E181" s="16" t="str">
        <f>VLOOKUP(K181,'Names for Vlookup'!$B$8:$C$21,2,FALSE)</f>
        <v>Deer velvet (frozen)</v>
      </c>
      <c r="F181" s="16" t="str">
        <f>VLOOKUP(O181,'Names for Vlookup'!$B$2:$C$5,2,FALSE)</f>
        <v>New Zealand</v>
      </c>
      <c r="G181" s="16" t="str">
        <f>VLOOKUP(P181,'Names for Vlookup'!$B$2:$C$5,2,FALSE)</f>
        <v>New Zealand</v>
      </c>
      <c r="H181" s="21" t="s">
        <v>90</v>
      </c>
      <c r="I181" s="22" t="s">
        <v>74</v>
      </c>
      <c r="J181" s="22" t="s">
        <v>73</v>
      </c>
      <c r="K181" s="22" t="s">
        <v>74</v>
      </c>
      <c r="L181" s="22" t="s">
        <v>279</v>
      </c>
      <c r="M181" s="23" t="s">
        <v>280</v>
      </c>
      <c r="N181" s="16" t="s">
        <v>66</v>
      </c>
      <c r="O181" s="16" t="s">
        <v>67</v>
      </c>
      <c r="P181" s="16" t="s">
        <v>67</v>
      </c>
    </row>
    <row r="182" spans="1:16" ht="14" x14ac:dyDescent="0.2">
      <c r="A182" s="13">
        <f t="shared" si="58"/>
        <v>2023</v>
      </c>
      <c r="B182" s="13" t="str">
        <f t="shared" si="59"/>
        <v>06</v>
      </c>
      <c r="C182" s="13" t="str">
        <f t="shared" si="60"/>
        <v>07</v>
      </c>
      <c r="D182" s="16" t="str">
        <f>VLOOKUP(H182,'Names for Vlookup'!$B$26:$C$94,2,FALSE)</f>
        <v>KGC</v>
      </c>
      <c r="E182" s="16" t="str">
        <f>VLOOKUP(K182,'Names for Vlookup'!$B$8:$C$21,2,FALSE)</f>
        <v>Deer velvet (dried)</v>
      </c>
      <c r="F182" s="16" t="str">
        <f>VLOOKUP(O182,'Names for Vlookup'!$B$2:$C$5,2,FALSE)</f>
        <v>New Zealand</v>
      </c>
      <c r="G182" s="16" t="str">
        <f>VLOOKUP(P182,'Names for Vlookup'!$B$2:$C$5,2,FALSE)</f>
        <v>New Zealand</v>
      </c>
      <c r="H182" s="21" t="s">
        <v>90</v>
      </c>
      <c r="I182" s="22" t="s">
        <v>171</v>
      </c>
      <c r="J182" s="22" t="s">
        <v>70</v>
      </c>
      <c r="K182" s="22" t="s">
        <v>64</v>
      </c>
      <c r="L182" s="22" t="s">
        <v>250</v>
      </c>
      <c r="M182" s="23" t="s">
        <v>281</v>
      </c>
      <c r="N182" s="16" t="s">
        <v>282</v>
      </c>
      <c r="O182" s="16" t="s">
        <v>67</v>
      </c>
      <c r="P182" s="16" t="s">
        <v>67</v>
      </c>
    </row>
    <row r="183" spans="1:16" ht="14" x14ac:dyDescent="0.2">
      <c r="A183" s="13">
        <f t="shared" si="58"/>
        <v>2023</v>
      </c>
      <c r="B183" s="13" t="str">
        <f t="shared" si="59"/>
        <v>06</v>
      </c>
      <c r="C183" s="13" t="str">
        <f t="shared" si="60"/>
        <v>02</v>
      </c>
      <c r="D183" s="16" t="str">
        <f>VLOOKUP(H183,'Names for Vlookup'!$B$26:$C$94,2,FALSE)</f>
        <v>KGC</v>
      </c>
      <c r="E183" s="16" t="str">
        <f>VLOOKUP(K183,'Names for Vlookup'!$B$8:$C$21,2,FALSE)</f>
        <v>Deer velvet (dried)</v>
      </c>
      <c r="F183" s="16" t="str">
        <f>VLOOKUP(O183,'Names for Vlookup'!$B$2:$C$5,2,FALSE)</f>
        <v>New Zealand</v>
      </c>
      <c r="G183" s="16" t="str">
        <f>VLOOKUP(P183,'Names for Vlookup'!$B$2:$C$5,2,FALSE)</f>
        <v>New Zealand</v>
      </c>
      <c r="H183" s="21" t="s">
        <v>90</v>
      </c>
      <c r="I183" s="22" t="s">
        <v>64</v>
      </c>
      <c r="J183" s="22" t="s">
        <v>70</v>
      </c>
      <c r="K183" s="22" t="s">
        <v>64</v>
      </c>
      <c r="L183" s="22" t="s">
        <v>37</v>
      </c>
      <c r="M183" s="23" t="s">
        <v>283</v>
      </c>
      <c r="N183" s="16" t="s">
        <v>66</v>
      </c>
      <c r="O183" s="16" t="s">
        <v>67</v>
      </c>
      <c r="P183" s="16" t="s">
        <v>67</v>
      </c>
    </row>
    <row r="184" spans="1:16" ht="14" x14ac:dyDescent="0.2">
      <c r="A184" s="13">
        <f t="shared" si="58"/>
        <v>2023</v>
      </c>
      <c r="B184" s="13" t="str">
        <f t="shared" si="59"/>
        <v>06</v>
      </c>
      <c r="C184" s="13" t="str">
        <f t="shared" si="60"/>
        <v>02</v>
      </c>
      <c r="D184" s="16" t="str">
        <f>VLOOKUP(H184,'Names for Vlookup'!$B$26:$C$94,2,FALSE)</f>
        <v xml:space="preserve">WooSung (Mr Bang) </v>
      </c>
      <c r="E184" s="16" t="str">
        <f>VLOOKUP(K184,'Names for Vlookup'!$B$8:$C$21,2,FALSE)</f>
        <v>Deer velvet (dried)</v>
      </c>
      <c r="F184" s="16" t="str">
        <f>VLOOKUP(O184,'Names for Vlookup'!$B$2:$C$5,2,FALSE)</f>
        <v>New Zealand</v>
      </c>
      <c r="G184" s="16" t="str">
        <f>VLOOKUP(P184,'Names for Vlookup'!$B$2:$C$5,2,FALSE)</f>
        <v>China</v>
      </c>
      <c r="H184" s="21" t="s">
        <v>69</v>
      </c>
      <c r="I184" s="22" t="s">
        <v>64</v>
      </c>
      <c r="J184" s="22" t="s">
        <v>70</v>
      </c>
      <c r="K184" s="22" t="s">
        <v>64</v>
      </c>
      <c r="L184" s="22" t="s">
        <v>33</v>
      </c>
      <c r="M184" s="23" t="s">
        <v>283</v>
      </c>
      <c r="N184" s="16" t="s">
        <v>284</v>
      </c>
      <c r="O184" s="16" t="s">
        <v>67</v>
      </c>
      <c r="P184" s="16" t="s">
        <v>68</v>
      </c>
    </row>
    <row r="185" spans="1:16" ht="14" x14ac:dyDescent="0.2">
      <c r="A185" s="13">
        <f t="shared" si="58"/>
        <v>2023</v>
      </c>
      <c r="B185" s="13" t="str">
        <f t="shared" si="59"/>
        <v>05</v>
      </c>
      <c r="C185" s="13" t="str">
        <f t="shared" si="60"/>
        <v>23</v>
      </c>
      <c r="D185" s="16" t="str">
        <f>VLOOKUP(H185,'Names for Vlookup'!$B$26:$C$94,2,FALSE)</f>
        <v>HwaYong Pharm.</v>
      </c>
      <c r="E185" s="16" t="str">
        <f>VLOOKUP(K185,'Names for Vlookup'!$B$8:$C$21,2,FALSE)</f>
        <v>Deer velvet (frozen)</v>
      </c>
      <c r="F185" s="16" t="str">
        <f>VLOOKUP(O185,'Names for Vlookup'!$B$2:$C$5,2,FALSE)</f>
        <v>New Zealand</v>
      </c>
      <c r="G185" s="16" t="str">
        <f>VLOOKUP(P185,'Names for Vlookup'!$B$2:$C$5,2,FALSE)</f>
        <v>New Zealand</v>
      </c>
      <c r="H185" s="21" t="s">
        <v>80</v>
      </c>
      <c r="I185" s="22" t="s">
        <v>74</v>
      </c>
      <c r="J185" s="22" t="s">
        <v>81</v>
      </c>
      <c r="K185" s="22" t="s">
        <v>74</v>
      </c>
      <c r="L185" s="22" t="s">
        <v>129</v>
      </c>
      <c r="M185" s="23" t="s">
        <v>285</v>
      </c>
      <c r="N185" s="16" t="s">
        <v>286</v>
      </c>
      <c r="O185" s="16" t="s">
        <v>67</v>
      </c>
      <c r="P185" s="16" t="s">
        <v>67</v>
      </c>
    </row>
    <row r="186" spans="1:16" ht="14" x14ac:dyDescent="0.2">
      <c r="A186" s="13">
        <f t="shared" si="58"/>
        <v>2023</v>
      </c>
      <c r="B186" s="13" t="str">
        <f t="shared" si="59"/>
        <v>05</v>
      </c>
      <c r="C186" s="13" t="str">
        <f t="shared" si="60"/>
        <v>08</v>
      </c>
      <c r="D186" s="16" t="str">
        <f>VLOOKUP(H186,'Names for Vlookup'!$B$26:$C$94,2,FALSE)</f>
        <v>KGC</v>
      </c>
      <c r="E186" s="16" t="str">
        <f>VLOOKUP(K186,'Names for Vlookup'!$B$8:$C$21,2,FALSE)</f>
        <v>Deer velvet (dried)</v>
      </c>
      <c r="F186" s="16" t="str">
        <f>VLOOKUP(O186,'Names for Vlookup'!$B$2:$C$5,2,FALSE)</f>
        <v>New Zealand</v>
      </c>
      <c r="G186" s="16" t="str">
        <f>VLOOKUP(P186,'Names for Vlookup'!$B$2:$C$5,2,FALSE)</f>
        <v>New Zealand</v>
      </c>
      <c r="H186" s="21" t="s">
        <v>90</v>
      </c>
      <c r="I186" s="22" t="s">
        <v>171</v>
      </c>
      <c r="J186" s="22" t="s">
        <v>70</v>
      </c>
      <c r="K186" s="22" t="s">
        <v>64</v>
      </c>
      <c r="L186" s="22" t="s">
        <v>250</v>
      </c>
      <c r="M186" s="23" t="s">
        <v>287</v>
      </c>
      <c r="N186" s="16" t="s">
        <v>288</v>
      </c>
      <c r="O186" s="16" t="s">
        <v>67</v>
      </c>
      <c r="P186" s="16" t="s">
        <v>67</v>
      </c>
    </row>
    <row r="187" spans="1:16" ht="14" x14ac:dyDescent="0.2">
      <c r="A187" s="13">
        <f t="shared" si="58"/>
        <v>2023</v>
      </c>
      <c r="B187" s="13" t="str">
        <f t="shared" si="59"/>
        <v>04</v>
      </c>
      <c r="C187" s="13" t="str">
        <f t="shared" si="60"/>
        <v>25</v>
      </c>
      <c r="D187" s="16" t="str">
        <f>VLOOKUP(H187,'Names for Vlookup'!$B$26:$C$94,2,FALSE)</f>
        <v>KGC</v>
      </c>
      <c r="E187" s="16" t="str">
        <f>VLOOKUP(K187,'Names for Vlookup'!$B$8:$C$21,2,FALSE)</f>
        <v>Deer velvet (dried)</v>
      </c>
      <c r="F187" s="16" t="str">
        <f>VLOOKUP(O187,'Names for Vlookup'!$B$2:$C$5,2,FALSE)</f>
        <v>New Zealand</v>
      </c>
      <c r="G187" s="16" t="str">
        <f>VLOOKUP(P187,'Names for Vlookup'!$B$2:$C$5,2,FALSE)</f>
        <v>New Zealand</v>
      </c>
      <c r="H187" s="21" t="s">
        <v>90</v>
      </c>
      <c r="I187" s="22" t="s">
        <v>64</v>
      </c>
      <c r="J187" s="22" t="s">
        <v>70</v>
      </c>
      <c r="K187" s="22" t="s">
        <v>64</v>
      </c>
      <c r="L187" s="22" t="s">
        <v>37</v>
      </c>
      <c r="M187" s="23" t="s">
        <v>289</v>
      </c>
      <c r="N187" s="16" t="s">
        <v>66</v>
      </c>
      <c r="O187" s="16" t="s">
        <v>67</v>
      </c>
      <c r="P187" s="16" t="s">
        <v>67</v>
      </c>
    </row>
    <row r="188" spans="1:16" ht="14" x14ac:dyDescent="0.2">
      <c r="A188" s="13">
        <f t="shared" si="58"/>
        <v>2023</v>
      </c>
      <c r="B188" s="13" t="str">
        <f t="shared" si="59"/>
        <v>04</v>
      </c>
      <c r="C188" s="13" t="str">
        <f t="shared" si="60"/>
        <v>25</v>
      </c>
      <c r="D188" s="16" t="str">
        <f>VLOOKUP(H188,'Names for Vlookup'!$B$26:$C$94,2,FALSE)</f>
        <v>Eryong Pharm.</v>
      </c>
      <c r="E188" s="16" t="str">
        <f>VLOOKUP(K188,'Names for Vlookup'!$B$8:$C$21,2,FALSE)</f>
        <v>Deer velvet (dried)</v>
      </c>
      <c r="F188" s="16" t="str">
        <f>VLOOKUP(O188,'Names for Vlookup'!$B$2:$C$5,2,FALSE)</f>
        <v>New Zealand</v>
      </c>
      <c r="G188" s="16" t="str">
        <f>VLOOKUP(P188,'Names for Vlookup'!$B$2:$C$5,2,FALSE)</f>
        <v>China</v>
      </c>
      <c r="H188" s="21" t="s">
        <v>92</v>
      </c>
      <c r="I188" s="22" t="s">
        <v>62</v>
      </c>
      <c r="J188" s="22" t="s">
        <v>63</v>
      </c>
      <c r="K188" s="22" t="s">
        <v>64</v>
      </c>
      <c r="L188" s="22" t="s">
        <v>245</v>
      </c>
      <c r="M188" s="23" t="s">
        <v>289</v>
      </c>
      <c r="N188" s="16" t="s">
        <v>290</v>
      </c>
      <c r="O188" s="16" t="s">
        <v>67</v>
      </c>
      <c r="P188" s="16" t="s">
        <v>68</v>
      </c>
    </row>
    <row r="189" spans="1:16" ht="14" x14ac:dyDescent="0.2">
      <c r="A189" s="13">
        <f t="shared" si="58"/>
        <v>2023</v>
      </c>
      <c r="B189" s="13" t="str">
        <f t="shared" si="59"/>
        <v>04</v>
      </c>
      <c r="C189" s="13" t="str">
        <f t="shared" si="60"/>
        <v>25</v>
      </c>
      <c r="D189" s="16" t="str">
        <f>VLOOKUP(H189,'Names for Vlookup'!$B$26:$C$94,2,FALSE)</f>
        <v>Daeho Pharm.</v>
      </c>
      <c r="E189" s="16" t="str">
        <f>VLOOKUP(K189,'Names for Vlookup'!$B$8:$C$21,2,FALSE)</f>
        <v>Deer velvet (dried)</v>
      </c>
      <c r="F189" s="16" t="str">
        <f>VLOOKUP(O189,'Names for Vlookup'!$B$2:$C$5,2,FALSE)</f>
        <v>New Zealand</v>
      </c>
      <c r="G189" s="16" t="str">
        <f>VLOOKUP(P189,'Names for Vlookup'!$B$2:$C$5,2,FALSE)</f>
        <v>China</v>
      </c>
      <c r="H189" s="21" t="s">
        <v>143</v>
      </c>
      <c r="I189" s="22" t="s">
        <v>171</v>
      </c>
      <c r="J189" s="22" t="s">
        <v>70</v>
      </c>
      <c r="K189" s="22" t="s">
        <v>64</v>
      </c>
      <c r="L189" s="22" t="s">
        <v>247</v>
      </c>
      <c r="M189" s="23" t="s">
        <v>289</v>
      </c>
      <c r="N189" s="16" t="s">
        <v>291</v>
      </c>
      <c r="O189" s="16" t="s">
        <v>67</v>
      </c>
      <c r="P189" s="16" t="s">
        <v>68</v>
      </c>
    </row>
    <row r="190" spans="1:16" ht="14" x14ac:dyDescent="0.2">
      <c r="A190" s="13">
        <f t="shared" si="58"/>
        <v>2023</v>
      </c>
      <c r="B190" s="13" t="str">
        <f t="shared" si="59"/>
        <v>04</v>
      </c>
      <c r="C190" s="13" t="str">
        <f t="shared" si="60"/>
        <v>11</v>
      </c>
      <c r="D190" s="16" t="str">
        <f>VLOOKUP(H190,'Names for Vlookup'!$B$26:$C$94,2,FALSE)</f>
        <v>Onnuri Bio</v>
      </c>
      <c r="E190" s="16" t="str">
        <f>VLOOKUP(K190,'Names for Vlookup'!$B$8:$C$21,2,FALSE)</f>
        <v>Deer velvet (frozen)</v>
      </c>
      <c r="F190" s="16" t="str">
        <f>VLOOKUP(O190,'Names for Vlookup'!$B$2:$C$5,2,FALSE)</f>
        <v>New Zealand</v>
      </c>
      <c r="G190" s="16" t="str">
        <f>VLOOKUP(P190,'Names for Vlookup'!$B$2:$C$5,2,FALSE)</f>
        <v>New Zealand</v>
      </c>
      <c r="H190" s="21" t="s">
        <v>61</v>
      </c>
      <c r="I190" s="22" t="s">
        <v>62</v>
      </c>
      <c r="J190" s="22" t="s">
        <v>81</v>
      </c>
      <c r="K190" s="22" t="s">
        <v>74</v>
      </c>
      <c r="L190" s="22" t="s">
        <v>129</v>
      </c>
      <c r="M190" s="23" t="s">
        <v>292</v>
      </c>
      <c r="N190" s="16" t="s">
        <v>293</v>
      </c>
      <c r="O190" s="16" t="s">
        <v>67</v>
      </c>
      <c r="P190" s="16" t="s">
        <v>67</v>
      </c>
    </row>
    <row r="191" spans="1:16" ht="14" x14ac:dyDescent="0.2">
      <c r="A191" s="13">
        <f t="shared" si="58"/>
        <v>2023</v>
      </c>
      <c r="B191" s="13" t="str">
        <f t="shared" si="59"/>
        <v>04</v>
      </c>
      <c r="C191" s="13" t="str">
        <f t="shared" si="60"/>
        <v>11</v>
      </c>
      <c r="D191" s="16" t="str">
        <f>VLOOKUP(H191,'Names for Vlookup'!$B$26:$C$94,2,FALSE)</f>
        <v>K&amp;C</v>
      </c>
      <c r="E191" s="16" t="str">
        <f>VLOOKUP(K191,'Names for Vlookup'!$B$8:$C$21,2,FALSE)</f>
        <v>Deer velvet (dried)</v>
      </c>
      <c r="F191" s="16" t="str">
        <f>VLOOKUP(O191,'Names for Vlookup'!$B$2:$C$5,2,FALSE)</f>
        <v>New Zealand</v>
      </c>
      <c r="G191" s="16" t="str">
        <f>VLOOKUP(P191,'Names for Vlookup'!$B$2:$C$5,2,FALSE)</f>
        <v>China</v>
      </c>
      <c r="H191" s="21" t="s">
        <v>294</v>
      </c>
      <c r="I191" s="22" t="s">
        <v>171</v>
      </c>
      <c r="J191" s="22" t="s">
        <v>70</v>
      </c>
      <c r="K191" s="22" t="s">
        <v>64</v>
      </c>
      <c r="L191" s="22" t="s">
        <v>33</v>
      </c>
      <c r="M191" s="23" t="s">
        <v>292</v>
      </c>
      <c r="N191" s="16" t="s">
        <v>295</v>
      </c>
      <c r="O191" s="16" t="s">
        <v>67</v>
      </c>
      <c r="P191" s="16" t="s">
        <v>68</v>
      </c>
    </row>
    <row r="192" spans="1:16" ht="14" x14ac:dyDescent="0.2">
      <c r="A192" s="13">
        <f t="shared" ref="A192:A207" si="61">YEAR(M192)</f>
        <v>2023</v>
      </c>
      <c r="B192" s="13" t="str">
        <f t="shared" ref="B192:B207" si="62">TEXT(M192,"mm")</f>
        <v>04</v>
      </c>
      <c r="C192" s="13" t="str">
        <f t="shared" ref="C192:C207" si="63">TEXT(M192,"dd")</f>
        <v>11</v>
      </c>
      <c r="D192" s="16" t="str">
        <f>VLOOKUP(H192,'Names for Vlookup'!$B$26:$C$94,2,FALSE)</f>
        <v>Bio Dot (Han Dong Herb)</v>
      </c>
      <c r="E192" s="16" t="str">
        <f>VLOOKUP(K192,'Names for Vlookup'!$B$8:$C$21,2,FALSE)</f>
        <v>Deer velvet (frozen)</v>
      </c>
      <c r="F192" s="16" t="str">
        <f>VLOOKUP(O192,'Names for Vlookup'!$B$2:$C$5,2,FALSE)</f>
        <v>New Zealand</v>
      </c>
      <c r="G192" s="16" t="str">
        <f>VLOOKUP(P192,'Names for Vlookup'!$B$2:$C$5,2,FALSE)</f>
        <v>New Zealand</v>
      </c>
      <c r="H192" s="21" t="s">
        <v>86</v>
      </c>
      <c r="I192" s="22" t="s">
        <v>76</v>
      </c>
      <c r="J192" s="22" t="s">
        <v>73</v>
      </c>
      <c r="K192" s="22" t="s">
        <v>74</v>
      </c>
      <c r="L192" s="22" t="s">
        <v>35</v>
      </c>
      <c r="M192" s="23" t="s">
        <v>292</v>
      </c>
      <c r="N192" s="16" t="s">
        <v>296</v>
      </c>
      <c r="O192" s="16" t="s">
        <v>67</v>
      </c>
      <c r="P192" s="16" t="s">
        <v>67</v>
      </c>
    </row>
    <row r="193" spans="1:16" ht="14" x14ac:dyDescent="0.2">
      <c r="A193" s="13">
        <f t="shared" si="61"/>
        <v>2023</v>
      </c>
      <c r="B193" s="13" t="str">
        <f t="shared" si="62"/>
        <v>04</v>
      </c>
      <c r="C193" s="13" t="str">
        <f t="shared" si="63"/>
        <v>04</v>
      </c>
      <c r="D193" s="16" t="str">
        <f>VLOOKUP(H193,'Names for Vlookup'!$B$26:$C$94,2,FALSE)</f>
        <v>KGC</v>
      </c>
      <c r="E193" s="16" t="str">
        <f>VLOOKUP(K193,'Names for Vlookup'!$B$8:$C$21,2,FALSE)</f>
        <v>Deer velvet (dried)</v>
      </c>
      <c r="F193" s="16" t="str">
        <f>VLOOKUP(O193,'Names for Vlookup'!$B$2:$C$5,2,FALSE)</f>
        <v>New Zealand</v>
      </c>
      <c r="G193" s="16" t="str">
        <f>VLOOKUP(P193,'Names for Vlookup'!$B$2:$C$5,2,FALSE)</f>
        <v>New Zealand</v>
      </c>
      <c r="H193" s="21" t="s">
        <v>90</v>
      </c>
      <c r="I193" s="22" t="s">
        <v>171</v>
      </c>
      <c r="J193" s="22" t="s">
        <v>70</v>
      </c>
      <c r="K193" s="22" t="s">
        <v>64</v>
      </c>
      <c r="L193" s="22" t="s">
        <v>250</v>
      </c>
      <c r="M193" s="23" t="s">
        <v>297</v>
      </c>
      <c r="N193" s="16" t="s">
        <v>298</v>
      </c>
      <c r="O193" s="16" t="s">
        <v>67</v>
      </c>
      <c r="P193" s="16" t="s">
        <v>67</v>
      </c>
    </row>
    <row r="194" spans="1:16" ht="14" x14ac:dyDescent="0.2">
      <c r="A194" s="13">
        <f t="shared" si="61"/>
        <v>2023</v>
      </c>
      <c r="B194" s="13" t="str">
        <f t="shared" si="62"/>
        <v>04</v>
      </c>
      <c r="C194" s="13" t="str">
        <f t="shared" si="63"/>
        <v>04</v>
      </c>
      <c r="D194" s="16" t="str">
        <f>VLOOKUP(H194,'Names for Vlookup'!$B$26:$C$94,2,FALSE)</f>
        <v>HwaYong Pharm.</v>
      </c>
      <c r="E194" s="16" t="str">
        <f>VLOOKUP(K194,'Names for Vlookup'!$B$8:$C$21,2,FALSE)</f>
        <v>Deer velvet (frozen)</v>
      </c>
      <c r="F194" s="16" t="str">
        <f>VLOOKUP(O194,'Names for Vlookup'!$B$2:$C$5,2,FALSE)</f>
        <v>New Zealand</v>
      </c>
      <c r="G194" s="16" t="str">
        <f>VLOOKUP(P194,'Names for Vlookup'!$B$2:$C$5,2,FALSE)</f>
        <v>New Zealand</v>
      </c>
      <c r="H194" s="21" t="s">
        <v>80</v>
      </c>
      <c r="I194" s="22" t="s">
        <v>74</v>
      </c>
      <c r="J194" s="22" t="s">
        <v>81</v>
      </c>
      <c r="K194" s="22" t="s">
        <v>74</v>
      </c>
      <c r="L194" s="22" t="s">
        <v>129</v>
      </c>
      <c r="M194" s="23" t="s">
        <v>297</v>
      </c>
      <c r="N194" s="16" t="s">
        <v>299</v>
      </c>
      <c r="O194" s="16" t="s">
        <v>67</v>
      </c>
      <c r="P194" s="16" t="s">
        <v>67</v>
      </c>
    </row>
    <row r="195" spans="1:16" ht="14" x14ac:dyDescent="0.2">
      <c r="A195" s="13">
        <f t="shared" si="61"/>
        <v>2023</v>
      </c>
      <c r="B195" s="13" t="str">
        <f t="shared" si="62"/>
        <v>04</v>
      </c>
      <c r="C195" s="13" t="str">
        <f t="shared" si="63"/>
        <v>04</v>
      </c>
      <c r="D195" s="16" t="str">
        <f>VLOOKUP(H195,'Names for Vlookup'!$B$26:$C$94,2,FALSE)</f>
        <v>YW International</v>
      </c>
      <c r="E195" s="16" t="str">
        <f>VLOOKUP(K195,'Names for Vlookup'!$B$8:$C$21,2,FALSE)</f>
        <v>Deer velvet (frozen)</v>
      </c>
      <c r="F195" s="16" t="str">
        <f>VLOOKUP(O195,'Names for Vlookup'!$B$2:$C$5,2,FALSE)</f>
        <v>New Zealand</v>
      </c>
      <c r="G195" s="16" t="str">
        <f>VLOOKUP(P195,'Names for Vlookup'!$B$2:$C$5,2,FALSE)</f>
        <v>New Zealand</v>
      </c>
      <c r="H195" s="21" t="s">
        <v>88</v>
      </c>
      <c r="I195" s="22" t="s">
        <v>72</v>
      </c>
      <c r="J195" s="22" t="s">
        <v>120</v>
      </c>
      <c r="K195" s="22" t="s">
        <v>74</v>
      </c>
      <c r="L195" s="22" t="s">
        <v>260</v>
      </c>
      <c r="M195" s="23" t="s">
        <v>297</v>
      </c>
      <c r="N195" s="16" t="s">
        <v>66</v>
      </c>
      <c r="O195" s="16" t="s">
        <v>67</v>
      </c>
      <c r="P195" s="16" t="s">
        <v>67</v>
      </c>
    </row>
    <row r="196" spans="1:16" ht="14" x14ac:dyDescent="0.2">
      <c r="A196" s="13">
        <f t="shared" si="61"/>
        <v>2023</v>
      </c>
      <c r="B196" s="13" t="str">
        <f t="shared" si="62"/>
        <v>03</v>
      </c>
      <c r="C196" s="13" t="str">
        <f t="shared" si="63"/>
        <v>30</v>
      </c>
      <c r="D196" s="16" t="str">
        <f>VLOOKUP(H196,'Names for Vlookup'!$B$26:$C$94,2,FALSE)</f>
        <v>YW International</v>
      </c>
      <c r="E196" s="16" t="str">
        <f>VLOOKUP(K196,'Names for Vlookup'!$B$8:$C$21,2,FALSE)</f>
        <v>Deer velvet (frozen)</v>
      </c>
      <c r="F196" s="16" t="str">
        <f>VLOOKUP(O196,'Names for Vlookup'!$B$2:$C$5,2,FALSE)</f>
        <v>New Zealand</v>
      </c>
      <c r="G196" s="16" t="str">
        <f>VLOOKUP(P196,'Names for Vlookup'!$B$2:$C$5,2,FALSE)</f>
        <v>New Zealand</v>
      </c>
      <c r="H196" s="21" t="s">
        <v>88</v>
      </c>
      <c r="I196" s="22" t="s">
        <v>72</v>
      </c>
      <c r="J196" s="22" t="s">
        <v>120</v>
      </c>
      <c r="K196" s="22" t="s">
        <v>74</v>
      </c>
      <c r="L196" s="22" t="s">
        <v>121</v>
      </c>
      <c r="M196" s="23" t="s">
        <v>300</v>
      </c>
      <c r="N196" s="16" t="s">
        <v>66</v>
      </c>
      <c r="O196" s="16" t="s">
        <v>67</v>
      </c>
      <c r="P196" s="16" t="s">
        <v>67</v>
      </c>
    </row>
    <row r="197" spans="1:16" ht="14" x14ac:dyDescent="0.2">
      <c r="A197" s="13">
        <f t="shared" si="61"/>
        <v>2023</v>
      </c>
      <c r="B197" s="13" t="str">
        <f t="shared" si="62"/>
        <v>03</v>
      </c>
      <c r="C197" s="13" t="str">
        <f t="shared" si="63"/>
        <v>28</v>
      </c>
      <c r="D197" s="16" t="str">
        <f>VLOOKUP(H197,'Names for Vlookup'!$B$26:$C$94,2,FALSE)</f>
        <v>Chunho N Care</v>
      </c>
      <c r="E197" s="16" t="str">
        <f>VLOOKUP(K197,'Names for Vlookup'!$B$8:$C$21,2,FALSE)</f>
        <v>Deer velvet (dried)</v>
      </c>
      <c r="F197" s="16" t="str">
        <f>VLOOKUP(O197,'Names for Vlookup'!$B$2:$C$5,2,FALSE)</f>
        <v>New Zealand</v>
      </c>
      <c r="G197" s="16" t="str">
        <f>VLOOKUP(P197,'Names for Vlookup'!$B$2:$C$5,2,FALSE)</f>
        <v>New Zealand</v>
      </c>
      <c r="H197" s="21" t="s">
        <v>128</v>
      </c>
      <c r="I197" s="22" t="s">
        <v>62</v>
      </c>
      <c r="J197" s="22" t="s">
        <v>63</v>
      </c>
      <c r="K197" s="22" t="s">
        <v>64</v>
      </c>
      <c r="L197" s="22" t="s">
        <v>129</v>
      </c>
      <c r="M197" s="23" t="s">
        <v>301</v>
      </c>
      <c r="N197" s="16" t="s">
        <v>302</v>
      </c>
      <c r="O197" s="16" t="s">
        <v>67</v>
      </c>
      <c r="P197" s="16" t="s">
        <v>67</v>
      </c>
    </row>
    <row r="198" spans="1:16" ht="14" x14ac:dyDescent="0.2">
      <c r="A198" s="13">
        <f t="shared" si="61"/>
        <v>2023</v>
      </c>
      <c r="B198" s="13" t="str">
        <f t="shared" si="62"/>
        <v>03</v>
      </c>
      <c r="C198" s="13" t="str">
        <f t="shared" si="63"/>
        <v>24</v>
      </c>
      <c r="D198" s="16" t="str">
        <f>VLOOKUP(H198,'Names for Vlookup'!$B$26:$C$94,2,FALSE)</f>
        <v>Siwon Pharmaceutical</v>
      </c>
      <c r="E198" s="16" t="str">
        <f>VLOOKUP(K198,'Names for Vlookup'!$B$8:$C$21,2,FALSE)</f>
        <v>Deer velvet (frozen)</v>
      </c>
      <c r="F198" s="16" t="str">
        <f>VLOOKUP(O198,'Names for Vlookup'!$B$2:$C$5,2,FALSE)</f>
        <v>New Zealand</v>
      </c>
      <c r="G198" s="16" t="str">
        <f>VLOOKUP(P198,'Names for Vlookup'!$B$2:$C$5,2,FALSE)</f>
        <v>New Zealand</v>
      </c>
      <c r="H198" s="21" t="s">
        <v>303</v>
      </c>
      <c r="I198" s="22" t="s">
        <v>76</v>
      </c>
      <c r="J198" s="22" t="s">
        <v>81</v>
      </c>
      <c r="K198" s="22" t="s">
        <v>74</v>
      </c>
      <c r="L198" s="22" t="s">
        <v>160</v>
      </c>
      <c r="M198" s="23" t="s">
        <v>304</v>
      </c>
      <c r="N198" s="16" t="s">
        <v>302</v>
      </c>
      <c r="O198" s="16" t="s">
        <v>67</v>
      </c>
      <c r="P198" s="16" t="s">
        <v>67</v>
      </c>
    </row>
    <row r="199" spans="1:16" ht="14" x14ac:dyDescent="0.2">
      <c r="A199" s="13">
        <f t="shared" si="61"/>
        <v>2023</v>
      </c>
      <c r="B199" s="13" t="str">
        <f t="shared" si="62"/>
        <v>03</v>
      </c>
      <c r="C199" s="13" t="str">
        <f t="shared" si="63"/>
        <v>21</v>
      </c>
      <c r="D199" s="16" t="str">
        <f>VLOOKUP(H199,'Names for Vlookup'!$B$26:$C$94,2,FALSE)</f>
        <v>KGC</v>
      </c>
      <c r="E199" s="16" t="str">
        <f>VLOOKUP(K199,'Names for Vlookup'!$B$8:$C$21,2,FALSE)</f>
        <v>Deer velvet (dried)</v>
      </c>
      <c r="F199" s="16" t="str">
        <f>VLOOKUP(O199,'Names for Vlookup'!$B$2:$C$5,2,FALSE)</f>
        <v>New Zealand</v>
      </c>
      <c r="G199" s="16" t="str">
        <f>VLOOKUP(P199,'Names for Vlookup'!$B$2:$C$5,2,FALSE)</f>
        <v>New Zealand</v>
      </c>
      <c r="H199" s="21" t="s">
        <v>90</v>
      </c>
      <c r="I199" s="22" t="s">
        <v>64</v>
      </c>
      <c r="J199" s="22" t="s">
        <v>70</v>
      </c>
      <c r="K199" s="22" t="s">
        <v>64</v>
      </c>
      <c r="L199" s="22" t="s">
        <v>37</v>
      </c>
      <c r="M199" s="23" t="s">
        <v>305</v>
      </c>
      <c r="N199" s="16" t="s">
        <v>66</v>
      </c>
      <c r="O199" s="16" t="s">
        <v>67</v>
      </c>
      <c r="P199" s="16" t="s">
        <v>67</v>
      </c>
    </row>
    <row r="200" spans="1:16" ht="14" x14ac:dyDescent="0.2">
      <c r="A200" s="13">
        <f t="shared" si="61"/>
        <v>2023</v>
      </c>
      <c r="B200" s="13" t="str">
        <f t="shared" si="62"/>
        <v>03</v>
      </c>
      <c r="C200" s="13" t="str">
        <f t="shared" si="63"/>
        <v>13</v>
      </c>
      <c r="D200" s="16" t="str">
        <f>VLOOKUP(H200,'Names for Vlookup'!$B$26:$C$94,2,FALSE)</f>
        <v>Onnuri Bio</v>
      </c>
      <c r="E200" s="16" t="str">
        <f>VLOOKUP(K200,'Names for Vlookup'!$B$8:$C$21,2,FALSE)</f>
        <v>Deer velvet (dried)</v>
      </c>
      <c r="F200" s="16" t="str">
        <f>VLOOKUP(O200,'Names for Vlookup'!$B$2:$C$5,2,FALSE)</f>
        <v>Russia</v>
      </c>
      <c r="G200" s="16" t="str">
        <f>VLOOKUP(P200,'Names for Vlookup'!$B$2:$C$5,2,FALSE)</f>
        <v>Russia</v>
      </c>
      <c r="H200" s="21" t="s">
        <v>61</v>
      </c>
      <c r="I200" s="22" t="s">
        <v>62</v>
      </c>
      <c r="J200" s="22" t="s">
        <v>63</v>
      </c>
      <c r="K200" s="22" t="s">
        <v>64</v>
      </c>
      <c r="L200" s="22" t="s">
        <v>306</v>
      </c>
      <c r="M200" s="23" t="s">
        <v>307</v>
      </c>
      <c r="N200" s="16" t="s">
        <v>308</v>
      </c>
      <c r="O200" s="16" t="s">
        <v>95</v>
      </c>
      <c r="P200" s="16" t="s">
        <v>95</v>
      </c>
    </row>
    <row r="201" spans="1:16" ht="14" x14ac:dyDescent="0.2">
      <c r="A201" s="13">
        <f t="shared" si="61"/>
        <v>2023</v>
      </c>
      <c r="B201" s="13" t="str">
        <f t="shared" si="62"/>
        <v>03</v>
      </c>
      <c r="C201" s="13" t="str">
        <f t="shared" si="63"/>
        <v>07</v>
      </c>
      <c r="D201" s="16" t="str">
        <f>VLOOKUP(H201,'Names for Vlookup'!$B$26:$C$94,2,FALSE)</f>
        <v>YW International</v>
      </c>
      <c r="E201" s="16" t="str">
        <f>VLOOKUP(K201,'Names for Vlookup'!$B$8:$C$21,2,FALSE)</f>
        <v>Deer velvet (frozen)</v>
      </c>
      <c r="F201" s="16" t="str">
        <f>VLOOKUP(O201,'Names for Vlookup'!$B$2:$C$5,2,FALSE)</f>
        <v>New Zealand</v>
      </c>
      <c r="G201" s="16" t="str">
        <f>VLOOKUP(P201,'Names for Vlookup'!$B$2:$C$5,2,FALSE)</f>
        <v>New Zealand</v>
      </c>
      <c r="H201" s="21" t="s">
        <v>88</v>
      </c>
      <c r="I201" s="22" t="s">
        <v>72</v>
      </c>
      <c r="J201" s="22" t="s">
        <v>272</v>
      </c>
      <c r="K201" s="22" t="s">
        <v>74</v>
      </c>
      <c r="L201" s="22" t="s">
        <v>37</v>
      </c>
      <c r="M201" s="23" t="s">
        <v>309</v>
      </c>
      <c r="N201" s="16" t="s">
        <v>66</v>
      </c>
      <c r="O201" s="16" t="s">
        <v>67</v>
      </c>
      <c r="P201" s="16" t="s">
        <v>67</v>
      </c>
    </row>
    <row r="202" spans="1:16" ht="14" x14ac:dyDescent="0.2">
      <c r="A202" s="13">
        <f t="shared" si="61"/>
        <v>2023</v>
      </c>
      <c r="B202" s="13" t="str">
        <f t="shared" si="62"/>
        <v>02</v>
      </c>
      <c r="C202" s="13" t="str">
        <f t="shared" si="63"/>
        <v>28</v>
      </c>
      <c r="D202" s="16" t="str">
        <f>VLOOKUP(H202,'Names for Vlookup'!$B$26:$C$94,2,FALSE)</f>
        <v>YW International</v>
      </c>
      <c r="E202" s="16" t="str">
        <f>VLOOKUP(K202,'Names for Vlookup'!$B$8:$C$21,2,FALSE)</f>
        <v>Deer velvet (frozen)</v>
      </c>
      <c r="F202" s="16" t="str">
        <f>VLOOKUP(O202,'Names for Vlookup'!$B$2:$C$5,2,FALSE)</f>
        <v>New Zealand</v>
      </c>
      <c r="G202" s="16" t="str">
        <f>VLOOKUP(P202,'Names for Vlookup'!$B$2:$C$5,2,FALSE)</f>
        <v>New Zealand</v>
      </c>
      <c r="H202" s="21" t="s">
        <v>88</v>
      </c>
      <c r="I202" s="22" t="s">
        <v>72</v>
      </c>
      <c r="J202" s="22" t="s">
        <v>89</v>
      </c>
      <c r="K202" s="22" t="s">
        <v>74</v>
      </c>
      <c r="L202" s="22" t="s">
        <v>38</v>
      </c>
      <c r="M202" s="23" t="s">
        <v>310</v>
      </c>
      <c r="N202" s="16" t="s">
        <v>66</v>
      </c>
      <c r="O202" s="16" t="s">
        <v>67</v>
      </c>
      <c r="P202" s="16" t="s">
        <v>67</v>
      </c>
    </row>
    <row r="203" spans="1:16" ht="14" x14ac:dyDescent="0.2">
      <c r="A203" s="13">
        <f t="shared" si="61"/>
        <v>2023</v>
      </c>
      <c r="B203" s="13" t="str">
        <f t="shared" si="62"/>
        <v>02</v>
      </c>
      <c r="C203" s="13" t="str">
        <f t="shared" si="63"/>
        <v>28</v>
      </c>
      <c r="D203" s="16" t="str">
        <f>VLOOKUP(H203,'Names for Vlookup'!$B$26:$C$94,2,FALSE)</f>
        <v>KGC</v>
      </c>
      <c r="E203" s="16" t="str">
        <f>VLOOKUP(K203,'Names for Vlookup'!$B$8:$C$21,2,FALSE)</f>
        <v>Deer velvet (dried)</v>
      </c>
      <c r="F203" s="16" t="str">
        <f>VLOOKUP(O203,'Names for Vlookup'!$B$2:$C$5,2,FALSE)</f>
        <v>New Zealand</v>
      </c>
      <c r="G203" s="16" t="str">
        <f>VLOOKUP(P203,'Names for Vlookup'!$B$2:$C$5,2,FALSE)</f>
        <v>New Zealand</v>
      </c>
      <c r="H203" s="21" t="s">
        <v>90</v>
      </c>
      <c r="I203" s="22" t="s">
        <v>171</v>
      </c>
      <c r="J203" s="22" t="s">
        <v>70</v>
      </c>
      <c r="K203" s="22" t="s">
        <v>64</v>
      </c>
      <c r="L203" s="22" t="s">
        <v>250</v>
      </c>
      <c r="M203" s="23" t="s">
        <v>310</v>
      </c>
      <c r="N203" s="16" t="s">
        <v>311</v>
      </c>
      <c r="O203" s="16" t="s">
        <v>67</v>
      </c>
      <c r="P203" s="16" t="s">
        <v>67</v>
      </c>
    </row>
    <row r="204" spans="1:16" ht="14" x14ac:dyDescent="0.2">
      <c r="A204" s="13">
        <f t="shared" si="61"/>
        <v>2023</v>
      </c>
      <c r="B204" s="13" t="str">
        <f t="shared" si="62"/>
        <v>02</v>
      </c>
      <c r="C204" s="13" t="str">
        <f t="shared" si="63"/>
        <v>28</v>
      </c>
      <c r="D204" s="16" t="str">
        <f>VLOOKUP(H204,'Names for Vlookup'!$B$26:$C$94,2,FALSE)</f>
        <v>HwaYong Pharm.</v>
      </c>
      <c r="E204" s="16" t="str">
        <f>VLOOKUP(K204,'Names for Vlookup'!$B$8:$C$21,2,FALSE)</f>
        <v>Deer velvet (frozen)</v>
      </c>
      <c r="F204" s="16" t="str">
        <f>VLOOKUP(O204,'Names for Vlookup'!$B$2:$C$5,2,FALSE)</f>
        <v>New Zealand</v>
      </c>
      <c r="G204" s="16" t="str">
        <f>VLOOKUP(P204,'Names for Vlookup'!$B$2:$C$5,2,FALSE)</f>
        <v>New Zealand</v>
      </c>
      <c r="H204" s="21" t="s">
        <v>80</v>
      </c>
      <c r="I204" s="22" t="s">
        <v>74</v>
      </c>
      <c r="J204" s="22" t="s">
        <v>81</v>
      </c>
      <c r="K204" s="22" t="s">
        <v>74</v>
      </c>
      <c r="L204" s="22" t="s">
        <v>129</v>
      </c>
      <c r="M204" s="23" t="s">
        <v>310</v>
      </c>
      <c r="N204" s="16" t="s">
        <v>312</v>
      </c>
      <c r="O204" s="16" t="s">
        <v>67</v>
      </c>
      <c r="P204" s="16" t="s">
        <v>67</v>
      </c>
    </row>
    <row r="205" spans="1:16" ht="14" x14ac:dyDescent="0.2">
      <c r="A205" s="13">
        <f t="shared" si="61"/>
        <v>2023</v>
      </c>
      <c r="B205" s="13" t="str">
        <f t="shared" si="62"/>
        <v>02</v>
      </c>
      <c r="C205" s="13" t="str">
        <f t="shared" si="63"/>
        <v>17</v>
      </c>
      <c r="D205" s="16" t="str">
        <f>VLOOKUP(H205,'Names for Vlookup'!$B$26:$C$94,2,FALSE)</f>
        <v>KGC</v>
      </c>
      <c r="E205" s="16" t="str">
        <f>VLOOKUP(K205,'Names for Vlookup'!$B$8:$C$21,2,FALSE)</f>
        <v>Deer velvet (dried)</v>
      </c>
      <c r="F205" s="16" t="str">
        <f>VLOOKUP(O205,'Names for Vlookup'!$B$2:$C$5,2,FALSE)</f>
        <v>New Zealand</v>
      </c>
      <c r="G205" s="16" t="str">
        <f>VLOOKUP(P205,'Names for Vlookup'!$B$2:$C$5,2,FALSE)</f>
        <v>New Zealand</v>
      </c>
      <c r="H205" s="21" t="s">
        <v>90</v>
      </c>
      <c r="I205" s="22" t="s">
        <v>64</v>
      </c>
      <c r="J205" s="22" t="s">
        <v>70</v>
      </c>
      <c r="K205" s="22" t="s">
        <v>64</v>
      </c>
      <c r="L205" s="22" t="s">
        <v>37</v>
      </c>
      <c r="M205" s="23" t="s">
        <v>313</v>
      </c>
      <c r="N205" s="16" t="s">
        <v>66</v>
      </c>
      <c r="O205" s="16" t="s">
        <v>67</v>
      </c>
      <c r="P205" s="16" t="s">
        <v>67</v>
      </c>
    </row>
    <row r="206" spans="1:16" ht="14" x14ac:dyDescent="0.2">
      <c r="A206" s="13">
        <f t="shared" si="61"/>
        <v>2023</v>
      </c>
      <c r="B206" s="13" t="str">
        <f t="shared" si="62"/>
        <v>02</v>
      </c>
      <c r="C206" s="13" t="str">
        <f t="shared" si="63"/>
        <v>08</v>
      </c>
      <c r="D206" s="16" t="str">
        <f>VLOOKUP(H206,'Names for Vlookup'!$B$26:$C$94,2,FALSE)</f>
        <v>YW International</v>
      </c>
      <c r="E206" s="16" t="str">
        <f>VLOOKUP(K206,'Names for Vlookup'!$B$8:$C$21,2,FALSE)</f>
        <v>Deer velvet (frozen)</v>
      </c>
      <c r="F206" s="16" t="str">
        <f>VLOOKUP(O206,'Names for Vlookup'!$B$2:$C$5,2,FALSE)</f>
        <v>New Zealand</v>
      </c>
      <c r="G206" s="16" t="str">
        <f>VLOOKUP(P206,'Names for Vlookup'!$B$2:$C$5,2,FALSE)</f>
        <v>New Zealand</v>
      </c>
      <c r="H206" s="21" t="s">
        <v>88</v>
      </c>
      <c r="I206" s="22" t="s">
        <v>72</v>
      </c>
      <c r="J206" s="22" t="s">
        <v>120</v>
      </c>
      <c r="K206" s="22" t="s">
        <v>74</v>
      </c>
      <c r="L206" s="22" t="s">
        <v>121</v>
      </c>
      <c r="M206" s="23" t="s">
        <v>314</v>
      </c>
      <c r="N206" s="16" t="s">
        <v>66</v>
      </c>
      <c r="O206" s="16" t="s">
        <v>67</v>
      </c>
      <c r="P206" s="16" t="s">
        <v>67</v>
      </c>
    </row>
    <row r="207" spans="1:16" ht="14" x14ac:dyDescent="0.2">
      <c r="A207" s="13">
        <f t="shared" si="61"/>
        <v>2023</v>
      </c>
      <c r="B207" s="13" t="str">
        <f t="shared" si="62"/>
        <v>02</v>
      </c>
      <c r="C207" s="13" t="str">
        <f t="shared" si="63"/>
        <v>03</v>
      </c>
      <c r="D207" s="16" t="str">
        <f>VLOOKUP(H207,'Names for Vlookup'!$B$26:$C$94,2,FALSE)</f>
        <v>KGC</v>
      </c>
      <c r="E207" s="16" t="str">
        <f>VLOOKUP(K207,'Names for Vlookup'!$B$8:$C$21,2,FALSE)</f>
        <v>Deer velvet (dried)</v>
      </c>
      <c r="F207" s="16" t="str">
        <f>VLOOKUP(O207,'Names for Vlookup'!$B$2:$C$5,2,FALSE)</f>
        <v>New Zealand</v>
      </c>
      <c r="G207" s="16" t="str">
        <f>VLOOKUP(P207,'Names for Vlookup'!$B$2:$C$5,2,FALSE)</f>
        <v>New Zealand</v>
      </c>
      <c r="H207" s="21" t="s">
        <v>90</v>
      </c>
      <c r="I207" s="22" t="s">
        <v>171</v>
      </c>
      <c r="J207" s="22" t="s">
        <v>70</v>
      </c>
      <c r="K207" s="22" t="s">
        <v>64</v>
      </c>
      <c r="L207" s="22" t="s">
        <v>250</v>
      </c>
      <c r="M207" s="23" t="s">
        <v>315</v>
      </c>
      <c r="N207" s="16" t="s">
        <v>316</v>
      </c>
      <c r="O207" s="16" t="s">
        <v>67</v>
      </c>
      <c r="P207" s="16" t="s">
        <v>67</v>
      </c>
    </row>
    <row r="208" spans="1:16" ht="14" x14ac:dyDescent="0.2">
      <c r="A208" s="13">
        <f t="shared" ref="A208:A271" si="64">YEAR(M208)</f>
        <v>2023</v>
      </c>
      <c r="B208" s="13" t="str">
        <f t="shared" ref="B208:B271" si="65">TEXT(M208,"mm")</f>
        <v>02</v>
      </c>
      <c r="C208" s="13" t="str">
        <f t="shared" ref="C208:C271" si="66">TEXT(M208,"dd")</f>
        <v>03</v>
      </c>
      <c r="D208" s="16" t="str">
        <f>VLOOKUP(H208,'Names for Vlookup'!$B$26:$C$94,2,FALSE)</f>
        <v>Heungsoo Nogyong</v>
      </c>
      <c r="E208" s="16" t="str">
        <f>VLOOKUP(K208,'Names for Vlookup'!$B$8:$C$21,2,FALSE)</f>
        <v>Deer velvet (dried)</v>
      </c>
      <c r="F208" s="16" t="str">
        <f>VLOOKUP(O208,'Names for Vlookup'!$B$2:$C$5,2,FALSE)</f>
        <v>Russia</v>
      </c>
      <c r="G208" s="16" t="str">
        <f>VLOOKUP(P208,'Names for Vlookup'!$B$2:$C$5,2,FALSE)</f>
        <v>Russia</v>
      </c>
      <c r="H208" s="21" t="s">
        <v>104</v>
      </c>
      <c r="I208" s="22" t="s">
        <v>64</v>
      </c>
      <c r="J208" s="22" t="s">
        <v>94</v>
      </c>
      <c r="K208" s="22" t="s">
        <v>64</v>
      </c>
      <c r="L208" s="22" t="s">
        <v>179</v>
      </c>
      <c r="M208" s="23" t="s">
        <v>315</v>
      </c>
      <c r="N208" s="16" t="s">
        <v>66</v>
      </c>
      <c r="O208" s="16" t="s">
        <v>95</v>
      </c>
      <c r="P208" s="16" t="s">
        <v>95</v>
      </c>
    </row>
    <row r="209" spans="1:16" ht="14" x14ac:dyDescent="0.2">
      <c r="A209" s="13">
        <f t="shared" si="64"/>
        <v>2023</v>
      </c>
      <c r="B209" s="13" t="str">
        <f t="shared" si="65"/>
        <v>01</v>
      </c>
      <c r="C209" s="13" t="str">
        <f t="shared" si="66"/>
        <v>31</v>
      </c>
      <c r="D209" s="16" t="str">
        <f>VLOOKUP(H209,'Names for Vlookup'!$B$26:$C$94,2,FALSE)</f>
        <v>KNC Deertrade</v>
      </c>
      <c r="E209" s="16" t="str">
        <f>VLOOKUP(K209,'Names for Vlookup'!$B$8:$C$21,2,FALSE)</f>
        <v>Deer velvet (frozen)</v>
      </c>
      <c r="F209" s="16" t="str">
        <f>VLOOKUP(O209,'Names for Vlookup'!$B$2:$C$5,2,FALSE)</f>
        <v>New Zealand</v>
      </c>
      <c r="G209" s="16" t="str">
        <f>VLOOKUP(P209,'Names for Vlookup'!$B$2:$C$5,2,FALSE)</f>
        <v>New Zealand</v>
      </c>
      <c r="H209" s="21" t="s">
        <v>75</v>
      </c>
      <c r="I209" s="22" t="s">
        <v>74</v>
      </c>
      <c r="J209" s="22" t="s">
        <v>73</v>
      </c>
      <c r="K209" s="22" t="s">
        <v>74</v>
      </c>
      <c r="L209" s="22" t="s">
        <v>234</v>
      </c>
      <c r="M209" s="23" t="s">
        <v>317</v>
      </c>
      <c r="N209" s="16" t="s">
        <v>318</v>
      </c>
      <c r="O209" s="16" t="s">
        <v>67</v>
      </c>
      <c r="P209" s="16" t="s">
        <v>67</v>
      </c>
    </row>
    <row r="210" spans="1:16" ht="14" x14ac:dyDescent="0.2">
      <c r="A210" s="13">
        <f t="shared" si="64"/>
        <v>2023</v>
      </c>
      <c r="B210" s="13" t="str">
        <f t="shared" si="65"/>
        <v>01</v>
      </c>
      <c r="C210" s="13" t="str">
        <f t="shared" si="66"/>
        <v>25</v>
      </c>
      <c r="D210" s="16" t="str">
        <f>VLOOKUP(H210,'Names for Vlookup'!$B$26:$C$94,2,FALSE)</f>
        <v>KGC</v>
      </c>
      <c r="E210" s="16" t="str">
        <f>VLOOKUP(K210,'Names for Vlookup'!$B$8:$C$21,2,FALSE)</f>
        <v>Deer velvet (dried)</v>
      </c>
      <c r="F210" s="16" t="str">
        <f>VLOOKUP(O210,'Names for Vlookup'!$B$2:$C$5,2,FALSE)</f>
        <v>New Zealand</v>
      </c>
      <c r="G210" s="16" t="str">
        <f>VLOOKUP(P210,'Names for Vlookup'!$B$2:$C$5,2,FALSE)</f>
        <v>New Zealand</v>
      </c>
      <c r="H210" s="21" t="s">
        <v>90</v>
      </c>
      <c r="I210" s="22" t="s">
        <v>64</v>
      </c>
      <c r="J210" s="22" t="s">
        <v>70</v>
      </c>
      <c r="K210" s="22" t="s">
        <v>64</v>
      </c>
      <c r="L210" s="22" t="s">
        <v>37</v>
      </c>
      <c r="M210" s="23" t="s">
        <v>319</v>
      </c>
      <c r="N210" s="16" t="s">
        <v>66</v>
      </c>
      <c r="O210" s="16" t="s">
        <v>67</v>
      </c>
      <c r="P210" s="16" t="s">
        <v>67</v>
      </c>
    </row>
    <row r="211" spans="1:16" ht="14" x14ac:dyDescent="0.2">
      <c r="A211" s="13">
        <f t="shared" si="64"/>
        <v>2023</v>
      </c>
      <c r="B211" s="13" t="str">
        <f t="shared" si="65"/>
        <v>01</v>
      </c>
      <c r="C211" s="13" t="str">
        <f t="shared" si="66"/>
        <v>25</v>
      </c>
      <c r="D211" s="16" t="str">
        <f>VLOOKUP(H211,'Names for Vlookup'!$B$26:$C$94,2,FALSE)</f>
        <v>Ee Room Pharm.</v>
      </c>
      <c r="E211" s="16" t="str">
        <f>VLOOKUP(K211,'Names for Vlookup'!$B$8:$C$21,2,FALSE)</f>
        <v>Deer velvet (dried)</v>
      </c>
      <c r="F211" s="16" t="str">
        <f>VLOOKUP(O211,'Names for Vlookup'!$B$2:$C$5,2,FALSE)</f>
        <v>New Zealand</v>
      </c>
      <c r="G211" s="16" t="str">
        <f>VLOOKUP(P211,'Names for Vlookup'!$B$2:$C$5,2,FALSE)</f>
        <v>China</v>
      </c>
      <c r="H211" s="21" t="s">
        <v>320</v>
      </c>
      <c r="I211" s="22" t="s">
        <v>171</v>
      </c>
      <c r="J211" s="22" t="s">
        <v>70</v>
      </c>
      <c r="K211" s="22" t="s">
        <v>64</v>
      </c>
      <c r="L211" s="22" t="s">
        <v>247</v>
      </c>
      <c r="M211" s="23" t="s">
        <v>319</v>
      </c>
      <c r="N211" s="16" t="s">
        <v>321</v>
      </c>
      <c r="O211" s="16" t="s">
        <v>67</v>
      </c>
      <c r="P211" s="16" t="s">
        <v>68</v>
      </c>
    </row>
    <row r="212" spans="1:16" ht="14" x14ac:dyDescent="0.2">
      <c r="A212" s="13">
        <f t="shared" si="64"/>
        <v>2023</v>
      </c>
      <c r="B212" s="13" t="str">
        <f t="shared" si="65"/>
        <v>01</v>
      </c>
      <c r="C212" s="13" t="str">
        <f t="shared" si="66"/>
        <v>17</v>
      </c>
      <c r="D212" s="16" t="str">
        <f>VLOOKUP(H212,'Names for Vlookup'!$B$26:$C$94,2,FALSE)</f>
        <v>Ee Room Pharm.</v>
      </c>
      <c r="E212" s="16" t="str">
        <f>VLOOKUP(K212,'Names for Vlookup'!$B$8:$C$21,2,FALSE)</f>
        <v>Deer velvet (dried)</v>
      </c>
      <c r="F212" s="16" t="str">
        <f>VLOOKUP(O212,'Names for Vlookup'!$B$2:$C$5,2,FALSE)</f>
        <v>New Zealand</v>
      </c>
      <c r="G212" s="16" t="str">
        <f>VLOOKUP(P212,'Names for Vlookup'!$B$2:$C$5,2,FALSE)</f>
        <v>China</v>
      </c>
      <c r="H212" s="21" t="s">
        <v>320</v>
      </c>
      <c r="I212" s="22" t="s">
        <v>171</v>
      </c>
      <c r="J212" s="22" t="s">
        <v>70</v>
      </c>
      <c r="K212" s="22" t="s">
        <v>64</v>
      </c>
      <c r="L212" s="22" t="s">
        <v>247</v>
      </c>
      <c r="M212" s="23" t="s">
        <v>322</v>
      </c>
      <c r="N212" s="16" t="s">
        <v>321</v>
      </c>
      <c r="O212" s="16" t="s">
        <v>67</v>
      </c>
      <c r="P212" s="16" t="s">
        <v>68</v>
      </c>
    </row>
    <row r="213" spans="1:16" ht="14" x14ac:dyDescent="0.2">
      <c r="A213" s="13">
        <f t="shared" si="64"/>
        <v>2023</v>
      </c>
      <c r="B213" s="13" t="str">
        <f t="shared" si="65"/>
        <v>01</v>
      </c>
      <c r="C213" s="13" t="str">
        <f t="shared" si="66"/>
        <v>10</v>
      </c>
      <c r="D213" s="16" t="str">
        <f>VLOOKUP(H213,'Names for Vlookup'!$B$26:$C$94,2,FALSE)</f>
        <v>YW International</v>
      </c>
      <c r="E213" s="16" t="str">
        <f>VLOOKUP(K213,'Names for Vlookup'!$B$8:$C$21,2,FALSE)</f>
        <v>Deer velvet (frozen)</v>
      </c>
      <c r="F213" s="16" t="str">
        <f>VLOOKUP(O213,'Names for Vlookup'!$B$2:$C$5,2,FALSE)</f>
        <v>New Zealand</v>
      </c>
      <c r="G213" s="16" t="str">
        <f>VLOOKUP(P213,'Names for Vlookup'!$B$2:$C$5,2,FALSE)</f>
        <v>New Zealand</v>
      </c>
      <c r="H213" s="21" t="s">
        <v>88</v>
      </c>
      <c r="I213" s="22" t="s">
        <v>72</v>
      </c>
      <c r="J213" s="22" t="s">
        <v>120</v>
      </c>
      <c r="K213" s="22" t="s">
        <v>74</v>
      </c>
      <c r="L213" s="22" t="s">
        <v>121</v>
      </c>
      <c r="M213" s="23" t="s">
        <v>323</v>
      </c>
      <c r="N213" s="16" t="s">
        <v>66</v>
      </c>
      <c r="O213" s="16" t="s">
        <v>67</v>
      </c>
      <c r="P213" s="16" t="s">
        <v>67</v>
      </c>
    </row>
    <row r="214" spans="1:16" ht="14" x14ac:dyDescent="0.2">
      <c r="A214" s="13">
        <f t="shared" si="64"/>
        <v>2023</v>
      </c>
      <c r="B214" s="13" t="str">
        <f t="shared" si="65"/>
        <v>01</v>
      </c>
      <c r="C214" s="13" t="str">
        <f t="shared" si="66"/>
        <v>03</v>
      </c>
      <c r="D214" s="16" t="str">
        <f>VLOOKUP(H214,'Names for Vlookup'!$B$26:$C$94,2,FALSE)</f>
        <v>HwaYong Pharm.</v>
      </c>
      <c r="E214" s="16" t="str">
        <f>VLOOKUP(K214,'Names for Vlookup'!$B$8:$C$21,2,FALSE)</f>
        <v>Deer velvet (frozen)</v>
      </c>
      <c r="F214" s="16" t="str">
        <f>VLOOKUP(O214,'Names for Vlookup'!$B$2:$C$5,2,FALSE)</f>
        <v>New Zealand</v>
      </c>
      <c r="G214" s="16" t="str">
        <f>VLOOKUP(P214,'Names for Vlookup'!$B$2:$C$5,2,FALSE)</f>
        <v>New Zealand</v>
      </c>
      <c r="H214" s="21" t="s">
        <v>80</v>
      </c>
      <c r="I214" s="22" t="s">
        <v>74</v>
      </c>
      <c r="J214" s="22" t="s">
        <v>81</v>
      </c>
      <c r="K214" s="22" t="s">
        <v>74</v>
      </c>
      <c r="L214" s="22" t="s">
        <v>129</v>
      </c>
      <c r="M214" s="23" t="s">
        <v>324</v>
      </c>
      <c r="N214" s="16" t="s">
        <v>325</v>
      </c>
      <c r="O214" s="16" t="s">
        <v>67</v>
      </c>
      <c r="P214" s="16" t="s">
        <v>67</v>
      </c>
    </row>
    <row r="215" spans="1:16" ht="14" x14ac:dyDescent="0.2">
      <c r="A215" s="13">
        <f t="shared" si="64"/>
        <v>2022</v>
      </c>
      <c r="B215" s="13" t="str">
        <f t="shared" si="65"/>
        <v>12</v>
      </c>
      <c r="C215" s="13" t="str">
        <f t="shared" si="66"/>
        <v>21</v>
      </c>
      <c r="D215" s="16" t="str">
        <f>VLOOKUP(H215,'Names for Vlookup'!$B$26:$C$94,2,FALSE)</f>
        <v>Yujin Trade</v>
      </c>
      <c r="E215" s="16" t="str">
        <f>VLOOKUP(K215,'Names for Vlookup'!$B$8:$C$21,2,FALSE)</f>
        <v>Deer velvet (dried)</v>
      </c>
      <c r="F215" s="16" t="str">
        <f>VLOOKUP(O215,'Names for Vlookup'!$B$2:$C$5,2,FALSE)</f>
        <v>Russia</v>
      </c>
      <c r="G215" s="16" t="str">
        <f>VLOOKUP(P215,'Names for Vlookup'!$B$2:$C$5,2,FALSE)</f>
        <v>Russia</v>
      </c>
      <c r="H215" s="21" t="s">
        <v>91</v>
      </c>
      <c r="I215" s="22" t="s">
        <v>171</v>
      </c>
      <c r="J215" s="22" t="s">
        <v>63</v>
      </c>
      <c r="K215" s="22" t="s">
        <v>64</v>
      </c>
      <c r="L215" s="22" t="s">
        <v>326</v>
      </c>
      <c r="M215" s="23" t="s">
        <v>327</v>
      </c>
      <c r="N215" s="16" t="s">
        <v>66</v>
      </c>
      <c r="O215" s="16" t="s">
        <v>95</v>
      </c>
      <c r="P215" s="16" t="s">
        <v>95</v>
      </c>
    </row>
    <row r="216" spans="1:16" ht="14" x14ac:dyDescent="0.2">
      <c r="A216" s="13">
        <f t="shared" si="64"/>
        <v>2022</v>
      </c>
      <c r="B216" s="13" t="str">
        <f t="shared" si="65"/>
        <v>12</v>
      </c>
      <c r="C216" s="13" t="str">
        <f t="shared" si="66"/>
        <v>21</v>
      </c>
      <c r="D216" s="16" t="str">
        <f>VLOOKUP(H216,'Names for Vlookup'!$B$26:$C$94,2,FALSE)</f>
        <v>Yujin Trade</v>
      </c>
      <c r="E216" s="16" t="str">
        <f>VLOOKUP(K216,'Names for Vlookup'!$B$8:$C$21,2,FALSE)</f>
        <v>Deer velvet (dried)</v>
      </c>
      <c r="F216" s="16" t="str">
        <f>VLOOKUP(O216,'Names for Vlookup'!$B$2:$C$5,2,FALSE)</f>
        <v>New Zealand</v>
      </c>
      <c r="G216" s="16" t="str">
        <f>VLOOKUP(P216,'Names for Vlookup'!$B$2:$C$5,2,FALSE)</f>
        <v>China</v>
      </c>
      <c r="H216" s="22" t="s">
        <v>91</v>
      </c>
      <c r="I216" s="22" t="s">
        <v>171</v>
      </c>
      <c r="J216" s="22" t="s">
        <v>172</v>
      </c>
      <c r="K216" s="22" t="s">
        <v>64</v>
      </c>
      <c r="L216" s="22" t="s">
        <v>106</v>
      </c>
      <c r="M216" s="23" t="s">
        <v>327</v>
      </c>
      <c r="N216" s="16" t="s">
        <v>328</v>
      </c>
      <c r="O216" s="16" t="s">
        <v>67</v>
      </c>
      <c r="P216" s="16" t="s">
        <v>68</v>
      </c>
    </row>
    <row r="217" spans="1:16" ht="14" x14ac:dyDescent="0.2">
      <c r="A217" s="13">
        <f t="shared" si="64"/>
        <v>2022</v>
      </c>
      <c r="B217" s="13" t="str">
        <f t="shared" si="65"/>
        <v>12</v>
      </c>
      <c r="C217" s="13" t="str">
        <f t="shared" si="66"/>
        <v>21</v>
      </c>
      <c r="D217" s="16" t="str">
        <f>VLOOKUP(H217,'Names for Vlookup'!$B$26:$C$94,2,FALSE)</f>
        <v>Onnuri Bio</v>
      </c>
      <c r="E217" s="16" t="str">
        <f>VLOOKUP(K217,'Names for Vlookup'!$B$8:$C$21,2,FALSE)</f>
        <v>Deer velvet (frozen)</v>
      </c>
      <c r="F217" s="16" t="str">
        <f>VLOOKUP(O217,'Names for Vlookup'!$B$2:$C$5,2,FALSE)</f>
        <v>New Zealand</v>
      </c>
      <c r="G217" s="16" t="str">
        <f>VLOOKUP(P217,'Names for Vlookup'!$B$2:$C$5,2,FALSE)</f>
        <v>New Zealand</v>
      </c>
      <c r="H217" s="22" t="s">
        <v>61</v>
      </c>
      <c r="I217" s="22" t="s">
        <v>62</v>
      </c>
      <c r="J217" s="22" t="s">
        <v>63</v>
      </c>
      <c r="K217" s="22" t="s">
        <v>232</v>
      </c>
      <c r="L217" s="22" t="s">
        <v>260</v>
      </c>
      <c r="M217" s="23" t="s">
        <v>327</v>
      </c>
      <c r="N217" s="16" t="s">
        <v>329</v>
      </c>
      <c r="O217" s="16" t="s">
        <v>67</v>
      </c>
      <c r="P217" s="16" t="s">
        <v>67</v>
      </c>
    </row>
    <row r="218" spans="1:16" ht="14" x14ac:dyDescent="0.2">
      <c r="A218" s="13">
        <f t="shared" si="64"/>
        <v>2022</v>
      </c>
      <c r="B218" s="13" t="str">
        <f t="shared" si="65"/>
        <v>12</v>
      </c>
      <c r="C218" s="13" t="str">
        <f t="shared" si="66"/>
        <v>15</v>
      </c>
      <c r="D218" s="16" t="str">
        <f>VLOOKUP(H218,'Names for Vlookup'!$B$26:$C$94,2,FALSE)</f>
        <v>KNC Deertrade</v>
      </c>
      <c r="E218" s="16" t="str">
        <f>VLOOKUP(K218,'Names for Vlookup'!$B$8:$C$21,2,FALSE)</f>
        <v>Deer velvet (frozen)</v>
      </c>
      <c r="F218" s="16" t="str">
        <f>VLOOKUP(O218,'Names for Vlookup'!$B$2:$C$5,2,FALSE)</f>
        <v>New Zealand</v>
      </c>
      <c r="G218" s="16" t="str">
        <f>VLOOKUP(P218,'Names for Vlookup'!$B$2:$C$5,2,FALSE)</f>
        <v>New Zealand</v>
      </c>
      <c r="H218" s="22" t="s">
        <v>75</v>
      </c>
      <c r="I218" s="22" t="s">
        <v>74</v>
      </c>
      <c r="J218" s="22" t="s">
        <v>73</v>
      </c>
      <c r="K218" s="22" t="s">
        <v>74</v>
      </c>
      <c r="L218" s="22" t="s">
        <v>36</v>
      </c>
      <c r="M218" s="23" t="s">
        <v>330</v>
      </c>
      <c r="N218" s="16" t="s">
        <v>331</v>
      </c>
      <c r="O218" s="16" t="s">
        <v>67</v>
      </c>
      <c r="P218" s="16" t="s">
        <v>67</v>
      </c>
    </row>
    <row r="219" spans="1:16" ht="14" x14ac:dyDescent="0.2">
      <c r="A219" s="13">
        <f t="shared" si="64"/>
        <v>2022</v>
      </c>
      <c r="B219" s="13" t="str">
        <f t="shared" si="65"/>
        <v>12</v>
      </c>
      <c r="C219" s="13" t="str">
        <f t="shared" si="66"/>
        <v>13</v>
      </c>
      <c r="D219" s="16" t="str">
        <f>VLOOKUP(H219,'Names for Vlookup'!$B$26:$C$94,2,FALSE)</f>
        <v>Bio Dot (Han Dong Herb)</v>
      </c>
      <c r="E219" s="16" t="str">
        <f>VLOOKUP(K219,'Names for Vlookup'!$B$8:$C$21,2,FALSE)</f>
        <v>Deer velvet (frozen)</v>
      </c>
      <c r="F219" s="16" t="str">
        <f>VLOOKUP(O219,'Names for Vlookup'!$B$2:$C$5,2,FALSE)</f>
        <v>New Zealand</v>
      </c>
      <c r="G219" s="16" t="str">
        <f>VLOOKUP(P219,'Names for Vlookup'!$B$2:$C$5,2,FALSE)</f>
        <v>New Zealand</v>
      </c>
      <c r="H219" s="24" t="s">
        <v>86</v>
      </c>
      <c r="I219" s="24" t="s">
        <v>74</v>
      </c>
      <c r="J219" s="24" t="s">
        <v>73</v>
      </c>
      <c r="K219" s="24" t="s">
        <v>74</v>
      </c>
      <c r="L219" s="24" t="s">
        <v>36</v>
      </c>
      <c r="M219" s="25" t="s">
        <v>332</v>
      </c>
      <c r="N219" s="16" t="s">
        <v>333</v>
      </c>
      <c r="O219" s="16" t="s">
        <v>67</v>
      </c>
      <c r="P219" s="16" t="s">
        <v>67</v>
      </c>
    </row>
    <row r="220" spans="1:16" ht="14" x14ac:dyDescent="0.2">
      <c r="A220" s="13">
        <f t="shared" si="64"/>
        <v>2022</v>
      </c>
      <c r="B220" s="13" t="str">
        <f t="shared" si="65"/>
        <v>12</v>
      </c>
      <c r="C220" s="13" t="str">
        <f t="shared" si="66"/>
        <v>13</v>
      </c>
      <c r="D220" s="16" t="str">
        <f>VLOOKUP(H220,'Names for Vlookup'!$B$26:$C$94,2,FALSE)</f>
        <v>HwaYong Pharm.</v>
      </c>
      <c r="E220" s="16" t="str">
        <f>VLOOKUP(K220,'Names for Vlookup'!$B$8:$C$21,2,FALSE)</f>
        <v>Deer velvet (frozen)</v>
      </c>
      <c r="F220" s="16" t="str">
        <f>VLOOKUP(O220,'Names for Vlookup'!$B$2:$C$5,2,FALSE)</f>
        <v>New Zealand</v>
      </c>
      <c r="G220" s="16" t="str">
        <f>VLOOKUP(P220,'Names for Vlookup'!$B$2:$C$5,2,FALSE)</f>
        <v>New Zealand</v>
      </c>
      <c r="H220" s="24" t="s">
        <v>80</v>
      </c>
      <c r="I220" s="24" t="s">
        <v>74</v>
      </c>
      <c r="J220" s="24" t="s">
        <v>81</v>
      </c>
      <c r="K220" s="24" t="s">
        <v>74</v>
      </c>
      <c r="L220" s="24" t="s">
        <v>129</v>
      </c>
      <c r="M220" s="25" t="s">
        <v>332</v>
      </c>
      <c r="N220" s="16" t="s">
        <v>334</v>
      </c>
      <c r="O220" s="16" t="s">
        <v>67</v>
      </c>
      <c r="P220" s="16" t="s">
        <v>67</v>
      </c>
    </row>
    <row r="221" spans="1:16" ht="14" x14ac:dyDescent="0.2">
      <c r="A221" s="13">
        <f t="shared" si="64"/>
        <v>2022</v>
      </c>
      <c r="B221" s="13" t="str">
        <f t="shared" si="65"/>
        <v>12</v>
      </c>
      <c r="C221" s="13" t="str">
        <f t="shared" si="66"/>
        <v>13</v>
      </c>
      <c r="D221" s="16" t="str">
        <f>VLOOKUP(H221,'Names for Vlookup'!$B$26:$C$94,2,FALSE)</f>
        <v>Ilseong Food</v>
      </c>
      <c r="E221" s="16" t="str">
        <f>VLOOKUP(K221,'Names for Vlookup'!$B$8:$C$21,2,FALSE)</f>
        <v>Deer velvet (dried)</v>
      </c>
      <c r="F221" s="16" t="str">
        <f>VLOOKUP(O221,'Names for Vlookup'!$B$2:$C$5,2,FALSE)</f>
        <v>New Zealand</v>
      </c>
      <c r="G221" s="16" t="str">
        <f>VLOOKUP(P221,'Names for Vlookup'!$B$2:$C$5,2,FALSE)</f>
        <v>China</v>
      </c>
      <c r="H221" s="24" t="s">
        <v>335</v>
      </c>
      <c r="I221" s="24" t="s">
        <v>62</v>
      </c>
      <c r="J221" s="24" t="s">
        <v>63</v>
      </c>
      <c r="K221" s="24" t="s">
        <v>64</v>
      </c>
      <c r="L221" s="24" t="s">
        <v>336</v>
      </c>
      <c r="M221" s="25" t="s">
        <v>332</v>
      </c>
      <c r="N221" s="16" t="s">
        <v>337</v>
      </c>
      <c r="O221" s="16" t="s">
        <v>67</v>
      </c>
      <c r="P221" s="16" t="s">
        <v>68</v>
      </c>
    </row>
    <row r="222" spans="1:16" ht="14" x14ac:dyDescent="0.2">
      <c r="A222" s="13">
        <f t="shared" si="64"/>
        <v>2022</v>
      </c>
      <c r="B222" s="13" t="str">
        <f t="shared" si="65"/>
        <v>12</v>
      </c>
      <c r="C222" s="13" t="str">
        <f t="shared" si="66"/>
        <v>07</v>
      </c>
      <c r="D222" s="16" t="str">
        <f>VLOOKUP(H222,'Names for Vlookup'!$B$26:$C$94,2,FALSE)</f>
        <v xml:space="preserve">JoEun Pharm </v>
      </c>
      <c r="E222" s="16" t="str">
        <f>VLOOKUP(K222,'Names for Vlookup'!$B$8:$C$21,2,FALSE)</f>
        <v>Deer velvet (dried)</v>
      </c>
      <c r="F222" s="16" t="str">
        <f>VLOOKUP(O222,'Names for Vlookup'!$B$2:$C$5,2,FALSE)</f>
        <v>Russia</v>
      </c>
      <c r="G222" s="16" t="str">
        <f>VLOOKUP(P222,'Names for Vlookup'!$B$2:$C$5,2,FALSE)</f>
        <v>Russia</v>
      </c>
      <c r="H222" s="24" t="s">
        <v>99</v>
      </c>
      <c r="I222" s="24" t="s">
        <v>62</v>
      </c>
      <c r="J222" s="24" t="s">
        <v>63</v>
      </c>
      <c r="K222" s="24" t="s">
        <v>64</v>
      </c>
      <c r="L222" s="24" t="s">
        <v>100</v>
      </c>
      <c r="M222" s="25" t="s">
        <v>338</v>
      </c>
      <c r="N222" s="16" t="s">
        <v>339</v>
      </c>
      <c r="O222" s="16" t="s">
        <v>95</v>
      </c>
      <c r="P222" s="16" t="s">
        <v>95</v>
      </c>
    </row>
    <row r="223" spans="1:16" ht="14" x14ac:dyDescent="0.2">
      <c r="A223" s="13">
        <f t="shared" si="64"/>
        <v>2022</v>
      </c>
      <c r="B223" s="13" t="str">
        <f t="shared" si="65"/>
        <v>11</v>
      </c>
      <c r="C223" s="13" t="str">
        <f t="shared" si="66"/>
        <v>21</v>
      </c>
      <c r="D223" s="16" t="str">
        <f>VLOOKUP(H223,'Names for Vlookup'!$B$26:$C$94,2,FALSE)</f>
        <v>Onnuri Bio</v>
      </c>
      <c r="E223" s="16" t="str">
        <f>VLOOKUP(K223,'Names for Vlookup'!$B$8:$C$21,2,FALSE)</f>
        <v>Deer velvet (dried)</v>
      </c>
      <c r="F223" s="16" t="str">
        <f>VLOOKUP(O223,'Names for Vlookup'!$B$2:$C$5,2,FALSE)</f>
        <v>New Zealand</v>
      </c>
      <c r="G223" s="16" t="str">
        <f>VLOOKUP(P223,'Names for Vlookup'!$B$2:$C$5,2,FALSE)</f>
        <v>China</v>
      </c>
      <c r="H223" s="24" t="s">
        <v>61</v>
      </c>
      <c r="I223" s="24" t="s">
        <v>62</v>
      </c>
      <c r="J223" s="24" t="s">
        <v>63</v>
      </c>
      <c r="K223" s="24" t="s">
        <v>64</v>
      </c>
      <c r="L223" s="24" t="s">
        <v>247</v>
      </c>
      <c r="M223" s="25" t="s">
        <v>340</v>
      </c>
      <c r="N223" s="16" t="s">
        <v>341</v>
      </c>
      <c r="O223" s="16" t="s">
        <v>67</v>
      </c>
      <c r="P223" s="16" t="s">
        <v>68</v>
      </c>
    </row>
    <row r="224" spans="1:16" ht="14" x14ac:dyDescent="0.2">
      <c r="A224" s="13">
        <f t="shared" si="64"/>
        <v>2022</v>
      </c>
      <c r="B224" s="13" t="str">
        <f t="shared" si="65"/>
        <v>11</v>
      </c>
      <c r="C224" s="13" t="str">
        <f t="shared" si="66"/>
        <v>21</v>
      </c>
      <c r="D224" s="16" t="str">
        <f>VLOOKUP(H224,'Names for Vlookup'!$B$26:$C$94,2,FALSE)</f>
        <v>Eryong Pharm.</v>
      </c>
      <c r="E224" s="16" t="str">
        <f>VLOOKUP(K224,'Names for Vlookup'!$B$8:$C$21,2,FALSE)</f>
        <v>Deer velvet (dried)</v>
      </c>
      <c r="F224" s="16" t="str">
        <f>VLOOKUP(O224,'Names for Vlookup'!$B$2:$C$5,2,FALSE)</f>
        <v>New Zealand</v>
      </c>
      <c r="G224" s="16" t="str">
        <f>VLOOKUP(P224,'Names for Vlookup'!$B$2:$C$5,2,FALSE)</f>
        <v>China</v>
      </c>
      <c r="H224" s="24" t="s">
        <v>92</v>
      </c>
      <c r="I224" s="24" t="s">
        <v>62</v>
      </c>
      <c r="J224" s="24" t="s">
        <v>63</v>
      </c>
      <c r="K224" s="24" t="s">
        <v>64</v>
      </c>
      <c r="L224" s="24" t="s">
        <v>247</v>
      </c>
      <c r="M224" s="25" t="s">
        <v>340</v>
      </c>
      <c r="N224" s="16" t="s">
        <v>342</v>
      </c>
      <c r="O224" s="16" t="s">
        <v>67</v>
      </c>
      <c r="P224" s="16" t="s">
        <v>68</v>
      </c>
    </row>
    <row r="225" spans="1:16" ht="14" x14ac:dyDescent="0.2">
      <c r="A225" s="13">
        <f t="shared" si="64"/>
        <v>2022</v>
      </c>
      <c r="B225" s="13" t="str">
        <f t="shared" si="65"/>
        <v>11</v>
      </c>
      <c r="C225" s="13" t="str">
        <f t="shared" si="66"/>
        <v>03</v>
      </c>
      <c r="D225" s="16" t="str">
        <f>VLOOKUP(H225,'Names for Vlookup'!$B$26:$C$94,2,FALSE)</f>
        <v>DaeWon RTD</v>
      </c>
      <c r="E225" s="16" t="str">
        <f>VLOOKUP(K225,'Names for Vlookup'!$B$8:$C$21,2,FALSE)</f>
        <v>Deer velvet (dried)</v>
      </c>
      <c r="F225" s="16" t="str">
        <f>VLOOKUP(O225,'Names for Vlookup'!$B$2:$C$5,2,FALSE)</f>
        <v>Russia</v>
      </c>
      <c r="G225" s="16" t="str">
        <f>VLOOKUP(P225,'Names for Vlookup'!$B$2:$C$5,2,FALSE)</f>
        <v>Russia</v>
      </c>
      <c r="H225" s="24" t="s">
        <v>102</v>
      </c>
      <c r="I225" s="24" t="s">
        <v>64</v>
      </c>
      <c r="J225" s="24" t="s">
        <v>94</v>
      </c>
      <c r="K225" s="24" t="s">
        <v>64</v>
      </c>
      <c r="L225" s="24" t="s">
        <v>103</v>
      </c>
      <c r="M225" s="25" t="s">
        <v>343</v>
      </c>
      <c r="N225" s="16" t="s">
        <v>66</v>
      </c>
      <c r="O225" s="16" t="s">
        <v>95</v>
      </c>
      <c r="P225" s="16" t="s">
        <v>95</v>
      </c>
    </row>
    <row r="226" spans="1:16" ht="14" x14ac:dyDescent="0.2">
      <c r="A226" s="13">
        <f t="shared" si="64"/>
        <v>2022</v>
      </c>
      <c r="B226" s="13" t="str">
        <f t="shared" si="65"/>
        <v>11</v>
      </c>
      <c r="C226" s="13" t="str">
        <f t="shared" si="66"/>
        <v>03</v>
      </c>
      <c r="D226" s="16" t="str">
        <f>VLOOKUP(H226,'Names for Vlookup'!$B$26:$C$94,2,FALSE)</f>
        <v>SamBo (Mr. Kang in Busan)</v>
      </c>
      <c r="E226" s="16" t="str">
        <f>VLOOKUP(K226,'Names for Vlookup'!$B$8:$C$21,2,FALSE)</f>
        <v>Deer velvet (dried)</v>
      </c>
      <c r="F226" s="16" t="str">
        <f>VLOOKUP(O226,'Names for Vlookup'!$B$2:$C$5,2,FALSE)</f>
        <v>New Zealand</v>
      </c>
      <c r="G226" s="16" t="str">
        <f>VLOOKUP(P226,'Names for Vlookup'!$B$2:$C$5,2,FALSE)</f>
        <v>New Zealand</v>
      </c>
      <c r="H226" s="24" t="s">
        <v>344</v>
      </c>
      <c r="I226" s="24" t="s">
        <v>64</v>
      </c>
      <c r="J226" s="24" t="s">
        <v>345</v>
      </c>
      <c r="K226" s="24" t="s">
        <v>64</v>
      </c>
      <c r="L226" s="24" t="s">
        <v>203</v>
      </c>
      <c r="M226" s="25" t="s">
        <v>343</v>
      </c>
      <c r="N226" s="16" t="s">
        <v>346</v>
      </c>
      <c r="O226" s="16" t="s">
        <v>67</v>
      </c>
      <c r="P226" s="16" t="s">
        <v>67</v>
      </c>
    </row>
    <row r="227" spans="1:16" ht="14" x14ac:dyDescent="0.2">
      <c r="A227" s="13">
        <f t="shared" si="64"/>
        <v>2022</v>
      </c>
      <c r="B227" s="13" t="str">
        <f t="shared" si="65"/>
        <v>10</v>
      </c>
      <c r="C227" s="13" t="str">
        <f t="shared" si="66"/>
        <v>26</v>
      </c>
      <c r="D227" s="16" t="str">
        <f>VLOOKUP(H227,'Names for Vlookup'!$B$26:$C$94,2,FALSE)</f>
        <v>Eryong Pharm.</v>
      </c>
      <c r="E227" s="16" t="str">
        <f>VLOOKUP(K227,'Names for Vlookup'!$B$8:$C$21,2,FALSE)</f>
        <v>Deer velvet (dried)</v>
      </c>
      <c r="F227" s="16" t="str">
        <f>VLOOKUP(O227,'Names for Vlookup'!$B$2:$C$5,2,FALSE)</f>
        <v>New Zealand</v>
      </c>
      <c r="G227" s="16" t="str">
        <f>VLOOKUP(P227,'Names for Vlookup'!$B$2:$C$5,2,FALSE)</f>
        <v>China</v>
      </c>
      <c r="H227" s="24" t="s">
        <v>92</v>
      </c>
      <c r="I227" s="24" t="s">
        <v>62</v>
      </c>
      <c r="J227" s="24" t="s">
        <v>63</v>
      </c>
      <c r="K227" s="24" t="s">
        <v>64</v>
      </c>
      <c r="L227" s="24" t="s">
        <v>347</v>
      </c>
      <c r="M227" s="25" t="s">
        <v>348</v>
      </c>
      <c r="N227" s="16" t="s">
        <v>349</v>
      </c>
      <c r="O227" s="16" t="s">
        <v>67</v>
      </c>
      <c r="P227" s="16" t="s">
        <v>68</v>
      </c>
    </row>
    <row r="228" spans="1:16" ht="14" x14ac:dyDescent="0.2">
      <c r="A228" s="13">
        <f t="shared" si="64"/>
        <v>2022</v>
      </c>
      <c r="B228" s="13" t="str">
        <f t="shared" si="65"/>
        <v>10</v>
      </c>
      <c r="C228" s="13" t="str">
        <f t="shared" si="66"/>
        <v>18</v>
      </c>
      <c r="D228" s="16" t="str">
        <f>VLOOKUP(H228,'Names for Vlookup'!$B$26:$C$94,2,FALSE)</f>
        <v>KGC</v>
      </c>
      <c r="E228" s="16" t="str">
        <f>VLOOKUP(K228,'Names for Vlookup'!$B$8:$C$21,2,FALSE)</f>
        <v>Deer velvet (dried)</v>
      </c>
      <c r="F228" s="16" t="str">
        <f>VLOOKUP(O228,'Names for Vlookup'!$B$2:$C$5,2,FALSE)</f>
        <v>New Zealand</v>
      </c>
      <c r="G228" s="16" t="str">
        <f>VLOOKUP(P228,'Names for Vlookup'!$B$2:$C$5,2,FALSE)</f>
        <v>New Zealand</v>
      </c>
      <c r="H228" s="24" t="s">
        <v>90</v>
      </c>
      <c r="I228" s="24" t="s">
        <v>64</v>
      </c>
      <c r="J228" s="24" t="s">
        <v>70</v>
      </c>
      <c r="K228" s="24" t="s">
        <v>64</v>
      </c>
      <c r="L228" s="24" t="s">
        <v>37</v>
      </c>
      <c r="M228" s="25" t="s">
        <v>350</v>
      </c>
      <c r="N228" s="16" t="s">
        <v>66</v>
      </c>
      <c r="O228" s="16" t="s">
        <v>67</v>
      </c>
      <c r="P228" s="16" t="s">
        <v>67</v>
      </c>
    </row>
    <row r="229" spans="1:16" ht="14" x14ac:dyDescent="0.2">
      <c r="A229" s="13">
        <f t="shared" si="64"/>
        <v>2022</v>
      </c>
      <c r="B229" s="13" t="str">
        <f t="shared" si="65"/>
        <v>10</v>
      </c>
      <c r="C229" s="13" t="str">
        <f t="shared" si="66"/>
        <v>04</v>
      </c>
      <c r="D229" s="16" t="str">
        <f>VLOOKUP(H229,'Names for Vlookup'!$B$26:$C$94,2,FALSE)</f>
        <v>KGC</v>
      </c>
      <c r="E229" s="16" t="str">
        <f>VLOOKUP(K229,'Names for Vlookup'!$B$8:$C$21,2,FALSE)</f>
        <v>Deer velvet (dried)</v>
      </c>
      <c r="G229" s="16" t="str">
        <f>VLOOKUP(L229,'Names for Vlookup'!$B$101:$C$181,2,FALSE)</f>
        <v>New Zealand</v>
      </c>
      <c r="H229" s="24" t="s">
        <v>90</v>
      </c>
      <c r="I229" s="24" t="s">
        <v>64</v>
      </c>
      <c r="J229" s="24" t="s">
        <v>70</v>
      </c>
      <c r="K229" s="24" t="s">
        <v>64</v>
      </c>
      <c r="L229" s="24" t="s">
        <v>250</v>
      </c>
      <c r="M229" s="24" t="s">
        <v>351</v>
      </c>
    </row>
    <row r="230" spans="1:16" ht="14" x14ac:dyDescent="0.2">
      <c r="A230" s="13">
        <f t="shared" si="64"/>
        <v>2022</v>
      </c>
      <c r="B230" s="13" t="str">
        <f t="shared" si="65"/>
        <v>09</v>
      </c>
      <c r="C230" s="13" t="str">
        <f t="shared" si="66"/>
        <v>23</v>
      </c>
      <c r="D230" s="16" t="str">
        <f>VLOOKUP(H230,'Names for Vlookup'!$B$26:$C$94,2,FALSE)</f>
        <v>KGC</v>
      </c>
      <c r="E230" s="16" t="str">
        <f>VLOOKUP(K230,'Names for Vlookup'!$B$8:$C$21,2,FALSE)</f>
        <v>Deer velvet (dried)</v>
      </c>
      <c r="G230" s="16" t="str">
        <f>VLOOKUP(L230,'Names for Vlookup'!$B$101:$C$181,2,FALSE)</f>
        <v>New Zealand</v>
      </c>
      <c r="H230" s="24" t="s">
        <v>90</v>
      </c>
      <c r="I230" s="24" t="s">
        <v>64</v>
      </c>
      <c r="J230" s="24" t="s">
        <v>70</v>
      </c>
      <c r="K230" s="24" t="s">
        <v>64</v>
      </c>
      <c r="L230" s="24" t="s">
        <v>37</v>
      </c>
      <c r="M230" s="24" t="s">
        <v>352</v>
      </c>
    </row>
    <row r="231" spans="1:16" ht="14" x14ac:dyDescent="0.2">
      <c r="A231" s="13">
        <f t="shared" si="64"/>
        <v>2022</v>
      </c>
      <c r="B231" s="13" t="str">
        <f t="shared" si="65"/>
        <v>09</v>
      </c>
      <c r="C231" s="13" t="str">
        <f t="shared" si="66"/>
        <v>15</v>
      </c>
      <c r="D231" s="16" t="str">
        <f>VLOOKUP(H231,'Names for Vlookup'!$B$26:$C$94,2,FALSE)</f>
        <v>YW International</v>
      </c>
      <c r="E231" s="16" t="str">
        <f>VLOOKUP(K231,'Names for Vlookup'!$B$8:$C$21,2,FALSE)</f>
        <v>Deer velvet (frozen)</v>
      </c>
      <c r="G231" s="16" t="str">
        <f>VLOOKUP(L231,'Names for Vlookup'!$B$101:$C$181,2,FALSE)</f>
        <v>New Zealand</v>
      </c>
      <c r="H231" s="24" t="s">
        <v>88</v>
      </c>
      <c r="I231" s="24" t="s">
        <v>72</v>
      </c>
      <c r="J231" s="24" t="s">
        <v>353</v>
      </c>
      <c r="K231" s="24" t="s">
        <v>74</v>
      </c>
      <c r="L231" s="24" t="s">
        <v>38</v>
      </c>
      <c r="M231" s="24" t="s">
        <v>354</v>
      </c>
    </row>
    <row r="232" spans="1:16" ht="14" x14ac:dyDescent="0.2">
      <c r="A232" s="13">
        <f t="shared" si="64"/>
        <v>2022</v>
      </c>
      <c r="B232" s="13" t="str">
        <f t="shared" si="65"/>
        <v>09</v>
      </c>
      <c r="C232" s="13" t="str">
        <f t="shared" si="66"/>
        <v>02</v>
      </c>
      <c r="D232" s="16" t="str">
        <f>VLOOKUP(H232,'Names for Vlookup'!$B$26:$C$94,2,FALSE)</f>
        <v>KGC</v>
      </c>
      <c r="E232" s="16" t="str">
        <f>VLOOKUP(K232,'Names for Vlookup'!$B$8:$C$21,2,FALSE)</f>
        <v>Deer velvet (dried)</v>
      </c>
      <c r="G232" s="16" t="str">
        <f>VLOOKUP(L232,'Names for Vlookup'!$B$101:$C$181,2,FALSE)</f>
        <v>New Zealand</v>
      </c>
      <c r="H232" s="24" t="s">
        <v>90</v>
      </c>
      <c r="I232" s="24" t="s">
        <v>64</v>
      </c>
      <c r="J232" s="24" t="s">
        <v>70</v>
      </c>
      <c r="K232" s="24" t="s">
        <v>64</v>
      </c>
      <c r="L232" s="24" t="s">
        <v>37</v>
      </c>
      <c r="M232" s="24" t="s">
        <v>355</v>
      </c>
    </row>
    <row r="233" spans="1:16" ht="14" x14ac:dyDescent="0.2">
      <c r="A233" s="13">
        <f t="shared" si="64"/>
        <v>2022</v>
      </c>
      <c r="B233" s="13" t="str">
        <f t="shared" si="65"/>
        <v>08</v>
      </c>
      <c r="C233" s="13" t="str">
        <f t="shared" si="66"/>
        <v>29</v>
      </c>
      <c r="D233" s="16" t="str">
        <f>VLOOKUP(H233,'Names for Vlookup'!$B$26:$C$94,2,FALSE)</f>
        <v>Bibong Herb</v>
      </c>
      <c r="E233" s="16" t="str">
        <f>VLOOKUP(K233,'Names for Vlookup'!$B$8:$C$21,2,FALSE)</f>
        <v>Deer velvet (dried)</v>
      </c>
      <c r="G233" s="16" t="str">
        <f>VLOOKUP(L233,'Names for Vlookup'!$B$101:$C$181,2,FALSE)</f>
        <v>New Zealand</v>
      </c>
      <c r="H233" s="24" t="s">
        <v>135</v>
      </c>
      <c r="I233" s="24" t="s">
        <v>62</v>
      </c>
      <c r="J233" s="24" t="s">
        <v>63</v>
      </c>
      <c r="K233" s="24" t="s">
        <v>64</v>
      </c>
      <c r="L233" s="24" t="s">
        <v>260</v>
      </c>
      <c r="M233" s="24" t="s">
        <v>356</v>
      </c>
    </row>
    <row r="234" spans="1:16" ht="14" x14ac:dyDescent="0.2">
      <c r="A234" s="13">
        <f t="shared" si="64"/>
        <v>2022</v>
      </c>
      <c r="B234" s="13" t="str">
        <f t="shared" si="65"/>
        <v>08</v>
      </c>
      <c r="C234" s="13" t="str">
        <f t="shared" si="66"/>
        <v>24</v>
      </c>
      <c r="D234" s="16" t="str">
        <f>VLOOKUP(H234,'Names for Vlookup'!$B$26:$C$94,2,FALSE)</f>
        <v>KGC</v>
      </c>
      <c r="E234" s="16" t="str">
        <f>VLOOKUP(K234,'Names for Vlookup'!$B$8:$C$21,2,FALSE)</f>
        <v>Deer velvet (dried)</v>
      </c>
      <c r="G234" s="16" t="str">
        <f>VLOOKUP(L234,'Names for Vlookup'!$B$101:$C$181,2,FALSE)</f>
        <v>New Zealand</v>
      </c>
      <c r="H234" s="24" t="s">
        <v>90</v>
      </c>
      <c r="I234" s="24" t="s">
        <v>64</v>
      </c>
      <c r="J234" s="24" t="s">
        <v>70</v>
      </c>
      <c r="K234" s="24" t="s">
        <v>64</v>
      </c>
      <c r="L234" s="24" t="s">
        <v>250</v>
      </c>
      <c r="M234" s="24" t="s">
        <v>357</v>
      </c>
    </row>
    <row r="235" spans="1:16" ht="14" x14ac:dyDescent="0.2">
      <c r="A235" s="13">
        <f t="shared" si="64"/>
        <v>2022</v>
      </c>
      <c r="B235" s="13" t="str">
        <f t="shared" si="65"/>
        <v>08</v>
      </c>
      <c r="C235" s="13" t="str">
        <f t="shared" si="66"/>
        <v>08</v>
      </c>
      <c r="D235" s="16" t="str">
        <f>VLOOKUP(H235,'Names for Vlookup'!$B$26:$C$94,2,FALSE)</f>
        <v>Eryong Pharm.</v>
      </c>
      <c r="E235" s="16" t="str">
        <f>VLOOKUP(K235,'Names for Vlookup'!$B$8:$C$21,2,FALSE)</f>
        <v>Deer velvet (dried)</v>
      </c>
      <c r="G235" s="16" t="str">
        <f>VLOOKUP(L235,'Names for Vlookup'!$B$101:$C$181,2,FALSE)</f>
        <v>New Zealand</v>
      </c>
      <c r="H235" s="24" t="s">
        <v>92</v>
      </c>
      <c r="I235" s="24" t="s">
        <v>62</v>
      </c>
      <c r="J235" s="24" t="s">
        <v>63</v>
      </c>
      <c r="K235" s="24" t="s">
        <v>64</v>
      </c>
      <c r="L235" s="24" t="s">
        <v>129</v>
      </c>
      <c r="M235" s="24" t="s">
        <v>358</v>
      </c>
    </row>
    <row r="236" spans="1:16" ht="14" x14ac:dyDescent="0.2">
      <c r="A236" s="13">
        <f t="shared" si="64"/>
        <v>2022</v>
      </c>
      <c r="B236" s="13" t="str">
        <f t="shared" si="65"/>
        <v>08</v>
      </c>
      <c r="C236" s="13" t="str">
        <f t="shared" si="66"/>
        <v>05</v>
      </c>
      <c r="D236" s="16" t="str">
        <f>VLOOKUP(H236,'Names for Vlookup'!$B$26:$C$94,2,FALSE)</f>
        <v>Yujin Trade</v>
      </c>
      <c r="E236" s="16" t="str">
        <f>VLOOKUP(K236,'Names for Vlookup'!$B$8:$C$21,2,FALSE)</f>
        <v>Deer velvet (dried)</v>
      </c>
      <c r="G236" s="16" t="str">
        <f>VLOOKUP(L236,'Names for Vlookup'!$B$101:$C$181,2,FALSE)</f>
        <v>China</v>
      </c>
      <c r="H236" s="24" t="s">
        <v>91</v>
      </c>
      <c r="I236" s="24" t="s">
        <v>171</v>
      </c>
      <c r="J236" s="24" t="s">
        <v>172</v>
      </c>
      <c r="K236" s="24" t="s">
        <v>64</v>
      </c>
      <c r="L236" s="24" t="s">
        <v>106</v>
      </c>
      <c r="M236" s="24" t="s">
        <v>359</v>
      </c>
    </row>
    <row r="237" spans="1:16" ht="14" x14ac:dyDescent="0.2">
      <c r="A237" s="13">
        <f t="shared" si="64"/>
        <v>2022</v>
      </c>
      <c r="B237" s="13" t="str">
        <f t="shared" si="65"/>
        <v>08</v>
      </c>
      <c r="C237" s="13" t="str">
        <f t="shared" si="66"/>
        <v>04</v>
      </c>
      <c r="D237" s="16" t="str">
        <f>VLOOKUP(H237,'Names for Vlookup'!$B$26:$C$94,2,FALSE)</f>
        <v>Onnuri Bio</v>
      </c>
      <c r="E237" s="16" t="str">
        <f>VLOOKUP(K237,'Names for Vlookup'!$B$8:$C$21,2,FALSE)</f>
        <v>Deer velvet (frozen)</v>
      </c>
      <c r="G237" s="16" t="str">
        <f>VLOOKUP(L237,'Names for Vlookup'!$B$101:$C$181,2,FALSE)</f>
        <v>New Zealand</v>
      </c>
      <c r="H237" s="24" t="s">
        <v>61</v>
      </c>
      <c r="I237" s="24" t="s">
        <v>62</v>
      </c>
      <c r="J237" s="24" t="s">
        <v>63</v>
      </c>
      <c r="K237" s="24" t="s">
        <v>232</v>
      </c>
      <c r="L237" s="24" t="s">
        <v>260</v>
      </c>
      <c r="M237" s="24" t="s">
        <v>360</v>
      </c>
    </row>
    <row r="238" spans="1:16" ht="14" x14ac:dyDescent="0.2">
      <c r="A238" s="13">
        <f t="shared" si="64"/>
        <v>2022</v>
      </c>
      <c r="B238" s="13" t="str">
        <f t="shared" si="65"/>
        <v>07</v>
      </c>
      <c r="C238" s="13" t="str">
        <f t="shared" si="66"/>
        <v>29</v>
      </c>
      <c r="D238" s="16" t="str">
        <f>VLOOKUP(H238,'Names for Vlookup'!$B$26:$C$94,2,FALSE)</f>
        <v>KGC</v>
      </c>
      <c r="E238" s="16" t="str">
        <f>VLOOKUP(K238,'Names for Vlookup'!$B$8:$C$21,2,FALSE)</f>
        <v>Deer velvet (dried)</v>
      </c>
      <c r="G238" s="16" t="str">
        <f>VLOOKUP(L238,'Names for Vlookup'!$B$101:$C$181,2,FALSE)</f>
        <v>New Zealand</v>
      </c>
      <c r="H238" s="24" t="s">
        <v>90</v>
      </c>
      <c r="I238" s="24" t="s">
        <v>64</v>
      </c>
      <c r="J238" s="24" t="s">
        <v>70</v>
      </c>
      <c r="K238" s="24" t="s">
        <v>64</v>
      </c>
      <c r="L238" s="24" t="s">
        <v>37</v>
      </c>
      <c r="M238" s="24" t="s">
        <v>361</v>
      </c>
    </row>
    <row r="239" spans="1:16" ht="14" x14ac:dyDescent="0.2">
      <c r="A239" s="13">
        <f t="shared" si="64"/>
        <v>2022</v>
      </c>
      <c r="B239" s="13" t="str">
        <f t="shared" si="65"/>
        <v>07</v>
      </c>
      <c r="C239" s="13" t="str">
        <f t="shared" si="66"/>
        <v>12</v>
      </c>
      <c r="D239" s="16" t="str">
        <f>VLOOKUP(H239,'Names for Vlookup'!$B$26:$C$94,2,FALSE)</f>
        <v>KGC</v>
      </c>
      <c r="E239" s="16" t="str">
        <f>VLOOKUP(K239,'Names for Vlookup'!$B$8:$C$21,2,FALSE)</f>
        <v>Deer velvet (dried)</v>
      </c>
      <c r="G239" s="16" t="str">
        <f>VLOOKUP(L239,'Names for Vlookup'!$B$101:$C$181,2,FALSE)</f>
        <v>New Zealand</v>
      </c>
      <c r="H239" s="24" t="s">
        <v>90</v>
      </c>
      <c r="I239" s="24" t="s">
        <v>64</v>
      </c>
      <c r="J239" s="24" t="s">
        <v>70</v>
      </c>
      <c r="K239" s="24" t="s">
        <v>64</v>
      </c>
      <c r="L239" s="24" t="s">
        <v>250</v>
      </c>
      <c r="M239" s="24" t="s">
        <v>362</v>
      </c>
    </row>
    <row r="240" spans="1:16" ht="14" x14ac:dyDescent="0.2">
      <c r="A240" s="13">
        <f t="shared" si="64"/>
        <v>2022</v>
      </c>
      <c r="B240" s="13" t="str">
        <f t="shared" si="65"/>
        <v>07</v>
      </c>
      <c r="C240" s="13" t="str">
        <f t="shared" si="66"/>
        <v>07</v>
      </c>
      <c r="D240" s="16" t="str">
        <f>VLOOKUP(H240,'Names for Vlookup'!$B$26:$C$94,2,FALSE)</f>
        <v>KNC Deertrade</v>
      </c>
      <c r="E240" s="16" t="str">
        <f>VLOOKUP(K240,'Names for Vlookup'!$B$8:$C$21,2,FALSE)</f>
        <v>Deer velvet (frozen)</v>
      </c>
      <c r="G240" s="16" t="str">
        <f>VLOOKUP(L240,'Names for Vlookup'!$B$101:$C$181,2,FALSE)</f>
        <v>New Zealand</v>
      </c>
      <c r="H240" s="24" t="s">
        <v>75</v>
      </c>
      <c r="I240" s="24" t="s">
        <v>74</v>
      </c>
      <c r="J240" s="24" t="s">
        <v>73</v>
      </c>
      <c r="K240" s="24" t="s">
        <v>74</v>
      </c>
      <c r="L240" s="24" t="s">
        <v>36</v>
      </c>
      <c r="M240" s="24" t="s">
        <v>363</v>
      </c>
    </row>
    <row r="241" spans="1:13" ht="14" x14ac:dyDescent="0.2">
      <c r="A241" s="13">
        <f t="shared" si="64"/>
        <v>2022</v>
      </c>
      <c r="B241" s="13" t="str">
        <f t="shared" si="65"/>
        <v>07</v>
      </c>
      <c r="C241" s="13" t="str">
        <f t="shared" si="66"/>
        <v>05</v>
      </c>
      <c r="D241" s="16" t="str">
        <f>VLOOKUP(H241,'Names for Vlookup'!$B$26:$C$94,2,FALSE)</f>
        <v>YW International</v>
      </c>
      <c r="E241" s="16" t="str">
        <f>VLOOKUP(K241,'Names for Vlookup'!$B$8:$C$21,2,FALSE)</f>
        <v>Deer velvet (frozen)</v>
      </c>
      <c r="G241" s="16" t="str">
        <f>VLOOKUP(L241,'Names for Vlookup'!$B$101:$C$181,2,FALSE)</f>
        <v>New Zealand</v>
      </c>
      <c r="H241" s="24" t="s">
        <v>88</v>
      </c>
      <c r="I241" s="24" t="s">
        <v>72</v>
      </c>
      <c r="J241" s="24" t="s">
        <v>120</v>
      </c>
      <c r="K241" s="24" t="s">
        <v>74</v>
      </c>
      <c r="L241" s="24" t="s">
        <v>121</v>
      </c>
      <c r="M241" s="24" t="s">
        <v>364</v>
      </c>
    </row>
    <row r="242" spans="1:13" ht="14" x14ac:dyDescent="0.2">
      <c r="A242" s="13">
        <f t="shared" si="64"/>
        <v>2022</v>
      </c>
      <c r="B242" s="13" t="str">
        <f t="shared" si="65"/>
        <v>06</v>
      </c>
      <c r="C242" s="13" t="str">
        <f t="shared" si="66"/>
        <v>30</v>
      </c>
      <c r="D242" s="16" t="str">
        <f>VLOOKUP(H242,'Names for Vlookup'!$B$26:$C$94,2,FALSE)</f>
        <v>Hanbangin</v>
      </c>
      <c r="E242" s="16" t="str">
        <f>VLOOKUP(K242,'Names for Vlookup'!$B$8:$C$21,2,FALSE)</f>
        <v>Deer velvet (dried)</v>
      </c>
      <c r="G242" s="16" t="str">
        <f>VLOOKUP(L242,'Names for Vlookup'!$B$101:$C$181,2,FALSE)</f>
        <v>China</v>
      </c>
      <c r="H242" s="24" t="s">
        <v>365</v>
      </c>
      <c r="I242" s="24" t="s">
        <v>171</v>
      </c>
      <c r="J242" s="24" t="s">
        <v>70</v>
      </c>
      <c r="K242" s="24" t="s">
        <v>64</v>
      </c>
      <c r="L242" s="24" t="s">
        <v>247</v>
      </c>
      <c r="M242" s="24" t="s">
        <v>366</v>
      </c>
    </row>
    <row r="243" spans="1:13" ht="14" x14ac:dyDescent="0.2">
      <c r="A243" s="13">
        <f t="shared" si="64"/>
        <v>2022</v>
      </c>
      <c r="B243" s="13" t="str">
        <f t="shared" si="65"/>
        <v>06</v>
      </c>
      <c r="C243" s="13" t="str">
        <f t="shared" si="66"/>
        <v>30</v>
      </c>
      <c r="D243" s="16" t="str">
        <f>VLOOKUP(H243,'Names for Vlookup'!$B$26:$C$94,2,FALSE)</f>
        <v>KGC</v>
      </c>
      <c r="E243" s="16" t="str">
        <f>VLOOKUP(K243,'Names for Vlookup'!$B$8:$C$21,2,FALSE)</f>
        <v>Deer velvet (dried)</v>
      </c>
      <c r="G243" s="16" t="str">
        <f>VLOOKUP(L243,'Names for Vlookup'!$B$101:$C$181,2,FALSE)</f>
        <v>New Zealand</v>
      </c>
      <c r="H243" s="24" t="s">
        <v>90</v>
      </c>
      <c r="I243" s="24" t="s">
        <v>64</v>
      </c>
      <c r="J243" s="24" t="s">
        <v>70</v>
      </c>
      <c r="K243" s="24" t="s">
        <v>64</v>
      </c>
      <c r="L243" s="24" t="s">
        <v>250</v>
      </c>
      <c r="M243" s="24" t="s">
        <v>366</v>
      </c>
    </row>
    <row r="244" spans="1:13" ht="14" x14ac:dyDescent="0.2">
      <c r="A244" s="13">
        <f t="shared" si="64"/>
        <v>2022</v>
      </c>
      <c r="B244" s="13" t="str">
        <f t="shared" si="65"/>
        <v>06</v>
      </c>
      <c r="C244" s="13" t="str">
        <f t="shared" si="66"/>
        <v>22</v>
      </c>
      <c r="D244" s="16" t="str">
        <f>VLOOKUP(H244,'Names for Vlookup'!$B$26:$C$94,2,FALSE)</f>
        <v>HwaYong Pharm.</v>
      </c>
      <c r="E244" s="16" t="str">
        <f>VLOOKUP(K244,'Names for Vlookup'!$B$8:$C$21,2,FALSE)</f>
        <v>Deer velvet (frozen)</v>
      </c>
      <c r="G244" s="16" t="str">
        <f>VLOOKUP(L244,'Names for Vlookup'!$B$101:$C$181,2,FALSE)</f>
        <v>New Zealand</v>
      </c>
      <c r="H244" s="24" t="s">
        <v>80</v>
      </c>
      <c r="I244" s="24" t="s">
        <v>74</v>
      </c>
      <c r="J244" s="24" t="s">
        <v>81</v>
      </c>
      <c r="K244" s="24" t="s">
        <v>74</v>
      </c>
      <c r="L244" s="24" t="s">
        <v>129</v>
      </c>
      <c r="M244" s="24" t="s">
        <v>367</v>
      </c>
    </row>
    <row r="245" spans="1:13" ht="14" x14ac:dyDescent="0.2">
      <c r="A245" s="13">
        <f t="shared" si="64"/>
        <v>2022</v>
      </c>
      <c r="B245" s="13" t="str">
        <f t="shared" si="65"/>
        <v>06</v>
      </c>
      <c r="C245" s="13" t="str">
        <f t="shared" si="66"/>
        <v>15</v>
      </c>
      <c r="D245" s="16" t="str">
        <f>VLOOKUP(H245,'Names for Vlookup'!$B$26:$C$94,2,FALSE)</f>
        <v>Ee Room Pharm.</v>
      </c>
      <c r="E245" s="16" t="str">
        <f>VLOOKUP(K245,'Names for Vlookup'!$B$8:$C$21,2,FALSE)</f>
        <v>Deer velvet (dried)</v>
      </c>
      <c r="G245" s="16" t="str">
        <f>VLOOKUP(L245,'Names for Vlookup'!$B$101:$C$181,2,FALSE)</f>
        <v>China</v>
      </c>
      <c r="H245" s="24" t="s">
        <v>320</v>
      </c>
      <c r="I245" s="24" t="s">
        <v>171</v>
      </c>
      <c r="J245" s="24" t="s">
        <v>70</v>
      </c>
      <c r="K245" s="24" t="s">
        <v>64</v>
      </c>
      <c r="L245" s="24" t="s">
        <v>247</v>
      </c>
      <c r="M245" s="24" t="s">
        <v>368</v>
      </c>
    </row>
    <row r="246" spans="1:13" ht="14" x14ac:dyDescent="0.2">
      <c r="A246" s="13">
        <f t="shared" si="64"/>
        <v>2022</v>
      </c>
      <c r="B246" s="13" t="str">
        <f t="shared" si="65"/>
        <v>06</v>
      </c>
      <c r="C246" s="13" t="str">
        <f t="shared" si="66"/>
        <v>07</v>
      </c>
      <c r="D246" s="16" t="str">
        <f>VLOOKUP(H246,'Names for Vlookup'!$B$26:$C$94,2,FALSE)</f>
        <v>KGC</v>
      </c>
      <c r="E246" s="16" t="str">
        <f>VLOOKUP(K246,'Names for Vlookup'!$B$8:$C$21,2,FALSE)</f>
        <v>Deer velvet (dried)</v>
      </c>
      <c r="G246" s="16" t="str">
        <f>VLOOKUP(L246,'Names for Vlookup'!$B$101:$C$181,2,FALSE)</f>
        <v>New Zealand</v>
      </c>
      <c r="H246" s="24" t="s">
        <v>90</v>
      </c>
      <c r="I246" s="24" t="s">
        <v>171</v>
      </c>
      <c r="J246" s="24" t="s">
        <v>70</v>
      </c>
      <c r="K246" s="24" t="s">
        <v>64</v>
      </c>
      <c r="L246" s="24" t="s">
        <v>37</v>
      </c>
      <c r="M246" s="24" t="s">
        <v>369</v>
      </c>
    </row>
    <row r="247" spans="1:13" ht="14" x14ac:dyDescent="0.2">
      <c r="A247" s="13">
        <f t="shared" si="64"/>
        <v>2022</v>
      </c>
      <c r="B247" s="13" t="str">
        <f t="shared" si="65"/>
        <v>05</v>
      </c>
      <c r="C247" s="13" t="str">
        <f t="shared" si="66"/>
        <v>19</v>
      </c>
      <c r="D247" s="16" t="str">
        <f>VLOOKUP(H247,'Names for Vlookup'!$B$26:$C$94,2,FALSE)</f>
        <v>Siwon Pharmaceutical</v>
      </c>
      <c r="E247" s="16" t="str">
        <f>VLOOKUP(K247,'Names for Vlookup'!$B$8:$C$21,2,FALSE)</f>
        <v>Deer velvet (frozen)</v>
      </c>
      <c r="G247" s="16" t="str">
        <f>VLOOKUP(L247,'Names for Vlookup'!$B$101:$C$181,2,FALSE)</f>
        <v>New Zealand</v>
      </c>
      <c r="H247" s="24" t="s">
        <v>303</v>
      </c>
      <c r="I247" s="24" t="s">
        <v>76</v>
      </c>
      <c r="J247" s="24" t="s">
        <v>81</v>
      </c>
      <c r="K247" s="24" t="s">
        <v>74</v>
      </c>
      <c r="L247" s="24" t="s">
        <v>160</v>
      </c>
      <c r="M247" s="24" t="s">
        <v>370</v>
      </c>
    </row>
    <row r="248" spans="1:13" ht="14" x14ac:dyDescent="0.2">
      <c r="A248" s="13">
        <f t="shared" si="64"/>
        <v>2022</v>
      </c>
      <c r="B248" s="13" t="str">
        <f t="shared" si="65"/>
        <v>05</v>
      </c>
      <c r="C248" s="13" t="str">
        <f t="shared" si="66"/>
        <v>11</v>
      </c>
      <c r="D248" s="16" t="str">
        <f>VLOOKUP(H248,'Names for Vlookup'!$B$26:$C$94,2,FALSE)</f>
        <v>KNC Deertrade</v>
      </c>
      <c r="E248" s="16" t="str">
        <f>VLOOKUP(K248,'Names for Vlookup'!$B$8:$C$21,2,FALSE)</f>
        <v>Deer velvet (frozen)</v>
      </c>
      <c r="G248" s="16" t="str">
        <f>VLOOKUP(L248,'Names for Vlookup'!$B$101:$C$181,2,FALSE)</f>
        <v>New Zealand</v>
      </c>
      <c r="H248" s="24" t="s">
        <v>75</v>
      </c>
      <c r="I248" s="24" t="s">
        <v>76</v>
      </c>
      <c r="J248" s="24" t="s">
        <v>73</v>
      </c>
      <c r="K248" s="24" t="s">
        <v>74</v>
      </c>
      <c r="L248" s="24" t="s">
        <v>39</v>
      </c>
      <c r="M248" s="24" t="s">
        <v>371</v>
      </c>
    </row>
    <row r="249" spans="1:13" ht="14" x14ac:dyDescent="0.2">
      <c r="A249" s="13">
        <f t="shared" si="64"/>
        <v>2022</v>
      </c>
      <c r="B249" s="13" t="str">
        <f t="shared" si="65"/>
        <v>05</v>
      </c>
      <c r="C249" s="13" t="str">
        <f t="shared" si="66"/>
        <v>11</v>
      </c>
      <c r="D249" s="16" t="str">
        <f>VLOOKUP(H249,'Names for Vlookup'!$B$26:$C$94,2,FALSE)</f>
        <v>YW International</v>
      </c>
      <c r="E249" s="16" t="str">
        <f>VLOOKUP(K249,'Names for Vlookup'!$B$8:$C$21,2,FALSE)</f>
        <v>Deer velvet (frozen)</v>
      </c>
      <c r="G249" s="16" t="str">
        <f>VLOOKUP(L249,'Names for Vlookup'!$B$101:$C$181,2,FALSE)</f>
        <v>New Zealand</v>
      </c>
      <c r="H249" s="24" t="s">
        <v>88</v>
      </c>
      <c r="I249" s="24" t="s">
        <v>72</v>
      </c>
      <c r="J249" s="24" t="s">
        <v>120</v>
      </c>
      <c r="K249" s="24" t="s">
        <v>74</v>
      </c>
      <c r="L249" s="24" t="s">
        <v>121</v>
      </c>
      <c r="M249" s="24" t="s">
        <v>371</v>
      </c>
    </row>
    <row r="250" spans="1:13" ht="14" x14ac:dyDescent="0.2">
      <c r="A250" s="13">
        <f t="shared" si="64"/>
        <v>2022</v>
      </c>
      <c r="B250" s="13" t="str">
        <f t="shared" si="65"/>
        <v>05</v>
      </c>
      <c r="C250" s="13" t="str">
        <f t="shared" si="66"/>
        <v>09</v>
      </c>
      <c r="D250" s="16" t="str">
        <f>VLOOKUP(H250,'Names for Vlookup'!$B$26:$C$94,2,FALSE)</f>
        <v>KGC</v>
      </c>
      <c r="E250" s="16" t="str">
        <f>VLOOKUP(K250,'Names for Vlookup'!$B$8:$C$21,2,FALSE)</f>
        <v>Deer velvet (dried)</v>
      </c>
      <c r="G250" s="16" t="str">
        <f>VLOOKUP(L250,'Names for Vlookup'!$B$101:$C$181,2,FALSE)</f>
        <v>New Zealand</v>
      </c>
      <c r="H250" s="24" t="s">
        <v>90</v>
      </c>
      <c r="I250" s="24" t="s">
        <v>64</v>
      </c>
      <c r="J250" s="24" t="s">
        <v>70</v>
      </c>
      <c r="K250" s="24" t="s">
        <v>64</v>
      </c>
      <c r="L250" s="24" t="s">
        <v>250</v>
      </c>
      <c r="M250" s="24" t="s">
        <v>372</v>
      </c>
    </row>
    <row r="251" spans="1:13" ht="14" x14ac:dyDescent="0.2">
      <c r="A251" s="13">
        <f t="shared" si="64"/>
        <v>2022</v>
      </c>
      <c r="B251" s="13" t="str">
        <f t="shared" si="65"/>
        <v>05</v>
      </c>
      <c r="C251" s="13" t="str">
        <f t="shared" si="66"/>
        <v>09</v>
      </c>
      <c r="D251" s="16" t="str">
        <f>VLOOKUP(H251,'Names for Vlookup'!$B$26:$C$94,2,FALSE)</f>
        <v>Bibong Herb</v>
      </c>
      <c r="E251" s="16" t="str">
        <f>VLOOKUP(K251,'Names for Vlookup'!$B$8:$C$21,2,FALSE)</f>
        <v>Deer velvet (dried)</v>
      </c>
      <c r="G251" s="16" t="str">
        <f>VLOOKUP(L251,'Names for Vlookup'!$B$101:$C$181,2,FALSE)</f>
        <v>New Zealand</v>
      </c>
      <c r="H251" s="24" t="s">
        <v>135</v>
      </c>
      <c r="I251" s="24" t="s">
        <v>64</v>
      </c>
      <c r="J251" s="24" t="s">
        <v>70</v>
      </c>
      <c r="K251" s="24" t="s">
        <v>64</v>
      </c>
      <c r="L251" s="24" t="s">
        <v>129</v>
      </c>
      <c r="M251" s="24" t="s">
        <v>372</v>
      </c>
    </row>
    <row r="252" spans="1:13" ht="14" x14ac:dyDescent="0.2">
      <c r="A252" s="13">
        <f t="shared" si="64"/>
        <v>2022</v>
      </c>
      <c r="B252" s="13" t="str">
        <f t="shared" si="65"/>
        <v>05</v>
      </c>
      <c r="C252" s="13" t="str">
        <f t="shared" si="66"/>
        <v>09</v>
      </c>
      <c r="D252" s="16" t="str">
        <f>VLOOKUP(H252,'Names for Vlookup'!$B$26:$C$94,2,FALSE)</f>
        <v>Harang Muyak</v>
      </c>
      <c r="E252" s="16" t="str">
        <f>VLOOKUP(K252,'Names for Vlookup'!$B$8:$C$21,2,FALSE)</f>
        <v>Deer velvet (dried)</v>
      </c>
      <c r="G252" s="16" t="str">
        <f>VLOOKUP(L252,'Names for Vlookup'!$B$101:$C$181,2,FALSE)</f>
        <v>China</v>
      </c>
      <c r="H252" s="24" t="s">
        <v>373</v>
      </c>
      <c r="I252" s="24" t="s">
        <v>64</v>
      </c>
      <c r="J252" s="24" t="s">
        <v>70</v>
      </c>
      <c r="K252" s="24" t="s">
        <v>64</v>
      </c>
      <c r="L252" s="24" t="s">
        <v>247</v>
      </c>
      <c r="M252" s="24" t="s">
        <v>372</v>
      </c>
    </row>
    <row r="253" spans="1:13" ht="14" x14ac:dyDescent="0.2">
      <c r="A253" s="13">
        <f t="shared" si="64"/>
        <v>2022</v>
      </c>
      <c r="B253" s="13" t="str">
        <f t="shared" si="65"/>
        <v>05</v>
      </c>
      <c r="C253" s="13" t="str">
        <f t="shared" si="66"/>
        <v>09</v>
      </c>
      <c r="D253" s="16" t="str">
        <f>VLOOKUP(H253,'Names for Vlookup'!$B$26:$C$94,2,FALSE)</f>
        <v>YongBo (Mr. Woljin Kim)</v>
      </c>
      <c r="E253" s="16" t="str">
        <f>VLOOKUP(K253,'Names for Vlookup'!$B$8:$C$21,2,FALSE)</f>
        <v>Deer velvet (dried)</v>
      </c>
      <c r="G253" s="16" t="str">
        <f>VLOOKUP(L253,'Names for Vlookup'!$B$101:$C$181,2,FALSE)</f>
        <v>China</v>
      </c>
      <c r="H253" s="24" t="s">
        <v>98</v>
      </c>
      <c r="I253" s="24" t="s">
        <v>64</v>
      </c>
      <c r="J253" s="24" t="s">
        <v>70</v>
      </c>
      <c r="K253" s="24" t="s">
        <v>64</v>
      </c>
      <c r="L253" s="24" t="s">
        <v>33</v>
      </c>
      <c r="M253" s="24" t="s">
        <v>372</v>
      </c>
    </row>
    <row r="254" spans="1:13" ht="14" x14ac:dyDescent="0.2">
      <c r="A254" s="13">
        <f t="shared" si="64"/>
        <v>2022</v>
      </c>
      <c r="B254" s="13" t="str">
        <f t="shared" si="65"/>
        <v>05</v>
      </c>
      <c r="C254" s="13" t="str">
        <f t="shared" si="66"/>
        <v>09</v>
      </c>
      <c r="D254" s="16" t="str">
        <f>VLOOKUP(H254,'Names for Vlookup'!$B$26:$C$94,2,FALSE)</f>
        <v xml:space="preserve">WooSung (Mr Bang) </v>
      </c>
      <c r="E254" s="16" t="str">
        <f>VLOOKUP(K254,'Names for Vlookup'!$B$8:$C$21,2,FALSE)</f>
        <v>Deer velvet (dried)</v>
      </c>
      <c r="G254" s="16" t="str">
        <f>VLOOKUP(L254,'Names for Vlookup'!$B$101:$C$181,2,FALSE)</f>
        <v>China</v>
      </c>
      <c r="H254" s="24" t="s">
        <v>69</v>
      </c>
      <c r="I254" s="24" t="s">
        <v>64</v>
      </c>
      <c r="J254" s="24" t="s">
        <v>70</v>
      </c>
      <c r="K254" s="24" t="s">
        <v>64</v>
      </c>
      <c r="L254" s="24" t="s">
        <v>33</v>
      </c>
      <c r="M254" s="24" t="s">
        <v>372</v>
      </c>
    </row>
    <row r="255" spans="1:13" ht="14" x14ac:dyDescent="0.2">
      <c r="A255" s="13">
        <f t="shared" si="64"/>
        <v>2022</v>
      </c>
      <c r="B255" s="13" t="str">
        <f t="shared" si="65"/>
        <v>04</v>
      </c>
      <c r="C255" s="13" t="str">
        <f t="shared" si="66"/>
        <v>25</v>
      </c>
      <c r="D255" s="16" t="str">
        <f>VLOOKUP(H255,'Names for Vlookup'!$B$26:$C$94,2,FALSE)</f>
        <v>Hansun Trading</v>
      </c>
      <c r="E255" s="16" t="str">
        <f>VLOOKUP(K255,'Names for Vlookup'!$B$8:$C$21,2,FALSE)</f>
        <v>Deer velvet (dried)</v>
      </c>
      <c r="G255" s="16" t="str">
        <f>VLOOKUP(L255,'Names for Vlookup'!$B$101:$C$181,2,FALSE)</f>
        <v>China</v>
      </c>
      <c r="H255" s="24" t="s">
        <v>374</v>
      </c>
      <c r="I255" s="24" t="s">
        <v>171</v>
      </c>
      <c r="J255" s="24" t="s">
        <v>70</v>
      </c>
      <c r="K255" s="24" t="s">
        <v>64</v>
      </c>
      <c r="L255" s="24" t="s">
        <v>247</v>
      </c>
      <c r="M255" s="24" t="s">
        <v>375</v>
      </c>
    </row>
    <row r="256" spans="1:13" ht="14" x14ac:dyDescent="0.2">
      <c r="A256" s="13">
        <f t="shared" si="64"/>
        <v>2022</v>
      </c>
      <c r="B256" s="13" t="str">
        <f t="shared" si="65"/>
        <v>04</v>
      </c>
      <c r="C256" s="13" t="str">
        <f t="shared" si="66"/>
        <v>18</v>
      </c>
      <c r="D256" s="16" t="str">
        <f>VLOOKUP(H256,'Names for Vlookup'!$B$26:$C$94,2,FALSE)</f>
        <v>Chunho N Care</v>
      </c>
      <c r="E256" s="16" t="str">
        <f>VLOOKUP(K256,'Names for Vlookup'!$B$8:$C$21,2,FALSE)</f>
        <v>Deer velvet (dried)</v>
      </c>
      <c r="G256" s="16" t="str">
        <f>VLOOKUP(L256,'Names for Vlookup'!$B$101:$C$181,2,FALSE)</f>
        <v>New Zealand</v>
      </c>
      <c r="H256" s="24" t="s">
        <v>128</v>
      </c>
      <c r="I256" s="24" t="s">
        <v>171</v>
      </c>
      <c r="J256" s="24" t="s">
        <v>70</v>
      </c>
      <c r="K256" s="24" t="s">
        <v>64</v>
      </c>
      <c r="L256" s="24" t="s">
        <v>129</v>
      </c>
      <c r="M256" s="24" t="s">
        <v>376</v>
      </c>
    </row>
    <row r="257" spans="1:13" ht="14" x14ac:dyDescent="0.2">
      <c r="A257" s="13">
        <f t="shared" si="64"/>
        <v>2022</v>
      </c>
      <c r="B257" s="13" t="str">
        <f t="shared" si="65"/>
        <v>04</v>
      </c>
      <c r="C257" s="13" t="str">
        <f t="shared" si="66"/>
        <v>18</v>
      </c>
      <c r="D257" s="16" t="str">
        <f>VLOOKUP(H257,'Names for Vlookup'!$B$26:$C$94,2,FALSE)</f>
        <v>KGC</v>
      </c>
      <c r="E257" s="16" t="str">
        <f>VLOOKUP(K257,'Names for Vlookup'!$B$8:$C$21,2,FALSE)</f>
        <v>Deer velvet (dried)</v>
      </c>
      <c r="G257" s="16" t="str">
        <f>VLOOKUP(L257,'Names for Vlookup'!$B$101:$C$181,2,FALSE)</f>
        <v>New Zealand</v>
      </c>
      <c r="H257" s="24" t="s">
        <v>90</v>
      </c>
      <c r="I257" s="24" t="s">
        <v>171</v>
      </c>
      <c r="J257" s="24" t="s">
        <v>70</v>
      </c>
      <c r="K257" s="24" t="s">
        <v>64</v>
      </c>
      <c r="L257" s="24" t="s">
        <v>37</v>
      </c>
      <c r="M257" s="24" t="s">
        <v>376</v>
      </c>
    </row>
    <row r="258" spans="1:13" ht="14" x14ac:dyDescent="0.2">
      <c r="A258" s="13">
        <f t="shared" si="64"/>
        <v>2022</v>
      </c>
      <c r="B258" s="13" t="str">
        <f t="shared" si="65"/>
        <v>04</v>
      </c>
      <c r="C258" s="13" t="str">
        <f t="shared" si="66"/>
        <v>18</v>
      </c>
      <c r="D258" s="16" t="str">
        <f>VLOOKUP(H258,'Names for Vlookup'!$B$26:$C$94,2,FALSE)</f>
        <v>Onnuri Bio</v>
      </c>
      <c r="E258" s="16" t="str">
        <f>VLOOKUP(K258,'Names for Vlookup'!$B$8:$C$21,2,FALSE)</f>
        <v>Deer velvet (dried)</v>
      </c>
      <c r="G258" s="16" t="str">
        <f>VLOOKUP(L258,'Names for Vlookup'!$B$101:$C$181,2,FALSE)</f>
        <v>China</v>
      </c>
      <c r="H258" s="24" t="s">
        <v>61</v>
      </c>
      <c r="I258" s="24" t="s">
        <v>62</v>
      </c>
      <c r="J258" s="24" t="s">
        <v>63</v>
      </c>
      <c r="K258" s="24" t="s">
        <v>64</v>
      </c>
      <c r="L258" s="24" t="s">
        <v>247</v>
      </c>
      <c r="M258" s="24" t="s">
        <v>376</v>
      </c>
    </row>
    <row r="259" spans="1:13" ht="14" x14ac:dyDescent="0.2">
      <c r="A259" s="13">
        <f t="shared" si="64"/>
        <v>2022</v>
      </c>
      <c r="B259" s="13" t="str">
        <f t="shared" si="65"/>
        <v>04</v>
      </c>
      <c r="C259" s="13" t="str">
        <f t="shared" si="66"/>
        <v>12</v>
      </c>
      <c r="D259" s="16" t="str">
        <f>VLOOKUP(H259,'Names for Vlookup'!$B$26:$C$94,2,FALSE)</f>
        <v>KNC Deertrade</v>
      </c>
      <c r="E259" s="16" t="str">
        <f>VLOOKUP(K259,'Names for Vlookup'!$B$8:$C$21,2,FALSE)</f>
        <v>Deer velvet (frozen)</v>
      </c>
      <c r="G259" s="16" t="str">
        <f>VLOOKUP(L259,'Names for Vlookup'!$B$101:$C$181,2,FALSE)</f>
        <v>New Zealand</v>
      </c>
      <c r="H259" s="24" t="s">
        <v>75</v>
      </c>
      <c r="I259" s="24" t="s">
        <v>74</v>
      </c>
      <c r="J259" s="24" t="s">
        <v>73</v>
      </c>
      <c r="K259" s="24" t="s">
        <v>74</v>
      </c>
      <c r="L259" s="24" t="s">
        <v>36</v>
      </c>
      <c r="M259" s="24" t="s">
        <v>377</v>
      </c>
    </row>
    <row r="260" spans="1:13" ht="14" x14ac:dyDescent="0.2">
      <c r="A260" s="13">
        <f t="shared" si="64"/>
        <v>2022</v>
      </c>
      <c r="B260" s="13" t="str">
        <f t="shared" si="65"/>
        <v>04</v>
      </c>
      <c r="C260" s="13" t="str">
        <f t="shared" si="66"/>
        <v>06</v>
      </c>
      <c r="D260" s="16" t="str">
        <f>VLOOKUP(H260,'Names for Vlookup'!$B$26:$C$94,2,FALSE)</f>
        <v>KGC</v>
      </c>
      <c r="E260" s="16" t="str">
        <f>VLOOKUP(K260,'Names for Vlookup'!$B$8:$C$21,2,FALSE)</f>
        <v>Deer velvet (dried)</v>
      </c>
      <c r="G260" s="16" t="str">
        <f>VLOOKUP(L260,'Names for Vlookup'!$B$101:$C$181,2,FALSE)</f>
        <v>New Zealand</v>
      </c>
      <c r="H260" s="24" t="s">
        <v>90</v>
      </c>
      <c r="I260" s="24" t="s">
        <v>171</v>
      </c>
      <c r="J260" s="24" t="s">
        <v>70</v>
      </c>
      <c r="K260" s="24" t="s">
        <v>64</v>
      </c>
      <c r="L260" s="24" t="s">
        <v>250</v>
      </c>
      <c r="M260" s="24" t="s">
        <v>378</v>
      </c>
    </row>
    <row r="261" spans="1:13" ht="14" x14ac:dyDescent="0.2">
      <c r="A261" s="13">
        <f t="shared" si="64"/>
        <v>2022</v>
      </c>
      <c r="B261" s="13" t="str">
        <f t="shared" si="65"/>
        <v>04</v>
      </c>
      <c r="C261" s="13" t="str">
        <f t="shared" si="66"/>
        <v>06</v>
      </c>
      <c r="D261" s="16" t="str">
        <f>VLOOKUP(H261,'Names for Vlookup'!$B$26:$C$94,2,FALSE)</f>
        <v>K&amp;C</v>
      </c>
      <c r="E261" s="16" t="str">
        <f>VLOOKUP(K261,'Names for Vlookup'!$B$8:$C$21,2,FALSE)</f>
        <v>Deer velvet (dried)</v>
      </c>
      <c r="G261" s="16" t="str">
        <f>VLOOKUP(L261,'Names for Vlookup'!$B$101:$C$181,2,FALSE)</f>
        <v>China</v>
      </c>
      <c r="H261" s="24" t="s">
        <v>294</v>
      </c>
      <c r="I261" s="24" t="s">
        <v>171</v>
      </c>
      <c r="J261" s="24" t="s">
        <v>70</v>
      </c>
      <c r="K261" s="24" t="s">
        <v>64</v>
      </c>
      <c r="L261" s="24" t="s">
        <v>33</v>
      </c>
      <c r="M261" s="24" t="s">
        <v>378</v>
      </c>
    </row>
    <row r="262" spans="1:13" ht="14" x14ac:dyDescent="0.2">
      <c r="A262" s="13">
        <f t="shared" si="64"/>
        <v>2022</v>
      </c>
      <c r="B262" s="13" t="str">
        <f t="shared" si="65"/>
        <v>04</v>
      </c>
      <c r="C262" s="13" t="str">
        <f t="shared" si="66"/>
        <v>06</v>
      </c>
      <c r="D262" s="16" t="str">
        <f>VLOOKUP(H262,'Names for Vlookup'!$B$26:$C$94,2,FALSE)</f>
        <v>Ee Room Pharm.</v>
      </c>
      <c r="E262" s="16" t="str">
        <f>VLOOKUP(K262,'Names for Vlookup'!$B$8:$C$21,2,FALSE)</f>
        <v>Deer velvet (dried)</v>
      </c>
      <c r="G262" s="16" t="str">
        <f>VLOOKUP(L262,'Names for Vlookup'!$B$101:$C$181,2,FALSE)</f>
        <v>China</v>
      </c>
      <c r="H262" s="24" t="s">
        <v>320</v>
      </c>
      <c r="I262" s="24" t="s">
        <v>171</v>
      </c>
      <c r="J262" s="24" t="s">
        <v>70</v>
      </c>
      <c r="K262" s="24" t="s">
        <v>64</v>
      </c>
      <c r="L262" s="24" t="s">
        <v>247</v>
      </c>
      <c r="M262" s="24" t="s">
        <v>378</v>
      </c>
    </row>
    <row r="263" spans="1:13" ht="14" x14ac:dyDescent="0.2">
      <c r="A263" s="13">
        <f t="shared" si="64"/>
        <v>2022</v>
      </c>
      <c r="B263" s="13" t="str">
        <f t="shared" si="65"/>
        <v>04</v>
      </c>
      <c r="C263" s="13" t="str">
        <f t="shared" si="66"/>
        <v>01</v>
      </c>
      <c r="D263" s="16" t="str">
        <f>VLOOKUP(H263,'Names for Vlookup'!$B$26:$C$94,2,FALSE)</f>
        <v>KGC</v>
      </c>
      <c r="E263" s="16" t="str">
        <f>VLOOKUP(K263,'Names for Vlookup'!$B$8:$C$21,2,FALSE)</f>
        <v>Deer velvet (dried)</v>
      </c>
      <c r="G263" s="16" t="str">
        <f>VLOOKUP(L263,'Names for Vlookup'!$B$101:$C$181,2,FALSE)</f>
        <v>New Zealand</v>
      </c>
      <c r="H263" s="24" t="s">
        <v>90</v>
      </c>
      <c r="I263" s="24" t="s">
        <v>171</v>
      </c>
      <c r="J263" s="24" t="s">
        <v>70</v>
      </c>
      <c r="K263" s="24" t="s">
        <v>64</v>
      </c>
      <c r="L263" s="24" t="s">
        <v>37</v>
      </c>
      <c r="M263" s="24" t="s">
        <v>379</v>
      </c>
    </row>
    <row r="264" spans="1:13" ht="14" x14ac:dyDescent="0.2">
      <c r="A264" s="13">
        <f t="shared" si="64"/>
        <v>2022</v>
      </c>
      <c r="B264" s="13" t="str">
        <f t="shared" si="65"/>
        <v>04</v>
      </c>
      <c r="C264" s="13" t="str">
        <f t="shared" si="66"/>
        <v>01</v>
      </c>
      <c r="D264" s="16" t="str">
        <f>VLOOKUP(H264,'Names for Vlookup'!$B$26:$C$94,2,FALSE)</f>
        <v>Hyangna Bio</v>
      </c>
      <c r="E264" s="16" t="str">
        <f>VLOOKUP(K264,'Names for Vlookup'!$B$8:$C$21,2,FALSE)</f>
        <v>Deer velvet (dried)</v>
      </c>
      <c r="G264" s="16" t="str">
        <f>VLOOKUP(L264,'Names for Vlookup'!$B$101:$C$181,2,FALSE)</f>
        <v>New Zealand</v>
      </c>
      <c r="H264" s="24" t="s">
        <v>111</v>
      </c>
      <c r="I264" s="24" t="s">
        <v>62</v>
      </c>
      <c r="J264" s="24" t="s">
        <v>63</v>
      </c>
      <c r="K264" s="24" t="s">
        <v>64</v>
      </c>
      <c r="L264" s="24" t="s">
        <v>242</v>
      </c>
      <c r="M264" s="24" t="s">
        <v>379</v>
      </c>
    </row>
    <row r="265" spans="1:13" ht="14" x14ac:dyDescent="0.2">
      <c r="A265" s="13">
        <f t="shared" si="64"/>
        <v>2022</v>
      </c>
      <c r="B265" s="13" t="str">
        <f t="shared" si="65"/>
        <v>03</v>
      </c>
      <c r="C265" s="13" t="str">
        <f t="shared" si="66"/>
        <v>18</v>
      </c>
      <c r="D265" s="16" t="str">
        <f>VLOOKUP(H265,'Names for Vlookup'!$B$26:$C$94,2,FALSE)</f>
        <v>KGC</v>
      </c>
      <c r="E265" s="16" t="str">
        <f>VLOOKUP(K265,'Names for Vlookup'!$B$8:$C$21,2,FALSE)</f>
        <v>Deer velvet (dried)</v>
      </c>
      <c r="G265" s="16" t="str">
        <f>VLOOKUP(L265,'Names for Vlookup'!$B$101:$C$181,2,FALSE)</f>
        <v>New Zealand</v>
      </c>
      <c r="H265" s="24" t="s">
        <v>90</v>
      </c>
      <c r="I265" s="24" t="s">
        <v>171</v>
      </c>
      <c r="J265" s="24" t="s">
        <v>70</v>
      </c>
      <c r="K265" s="24" t="s">
        <v>64</v>
      </c>
      <c r="L265" s="24" t="s">
        <v>250</v>
      </c>
      <c r="M265" s="24" t="s">
        <v>380</v>
      </c>
    </row>
    <row r="266" spans="1:13" ht="14" x14ac:dyDescent="0.2">
      <c r="A266" s="13">
        <f t="shared" si="64"/>
        <v>2022</v>
      </c>
      <c r="B266" s="13" t="str">
        <f t="shared" si="65"/>
        <v>03</v>
      </c>
      <c r="C266" s="13" t="str">
        <f t="shared" si="66"/>
        <v>15</v>
      </c>
      <c r="D266" s="16" t="str">
        <f>VLOOKUP(H266,'Names for Vlookup'!$B$26:$C$94,2,FALSE)</f>
        <v>KNC Deertrade</v>
      </c>
      <c r="E266" s="16" t="str">
        <f>VLOOKUP(K266,'Names for Vlookup'!$B$8:$C$21,2,FALSE)</f>
        <v>Deer velvet (frozen)</v>
      </c>
      <c r="G266" s="16" t="str">
        <f>VLOOKUP(L266,'Names for Vlookup'!$B$101:$C$181,2,FALSE)</f>
        <v>New Zealand</v>
      </c>
      <c r="H266" s="24" t="s">
        <v>75</v>
      </c>
      <c r="I266" s="24" t="s">
        <v>74</v>
      </c>
      <c r="J266" s="24" t="s">
        <v>73</v>
      </c>
      <c r="K266" s="24" t="s">
        <v>74</v>
      </c>
      <c r="L266" s="24" t="s">
        <v>37</v>
      </c>
      <c r="M266" s="24" t="s">
        <v>381</v>
      </c>
    </row>
    <row r="267" spans="1:13" ht="14" x14ac:dyDescent="0.2">
      <c r="A267" s="13">
        <f t="shared" si="64"/>
        <v>2022</v>
      </c>
      <c r="B267" s="13" t="str">
        <f t="shared" si="65"/>
        <v>03</v>
      </c>
      <c r="C267" s="13" t="str">
        <f t="shared" si="66"/>
        <v>10</v>
      </c>
      <c r="D267" s="16" t="str">
        <f>VLOOKUP(H267,'Names for Vlookup'!$B$26:$C$94,2,FALSE)</f>
        <v>Ilseong Food</v>
      </c>
      <c r="E267" s="16" t="str">
        <f>VLOOKUP(K267,'Names for Vlookup'!$B$8:$C$21,2,FALSE)</f>
        <v>Deer velvet (dried)</v>
      </c>
      <c r="G267" s="16" t="str">
        <f>VLOOKUP(L267,'Names for Vlookup'!$B$101:$C$181,2,FALSE)</f>
        <v>China</v>
      </c>
      <c r="H267" s="24" t="s">
        <v>335</v>
      </c>
      <c r="I267" s="24" t="s">
        <v>62</v>
      </c>
      <c r="J267" s="24" t="s">
        <v>63</v>
      </c>
      <c r="K267" s="24" t="s">
        <v>64</v>
      </c>
      <c r="L267" s="24" t="s">
        <v>247</v>
      </c>
      <c r="M267" s="24" t="s">
        <v>382</v>
      </c>
    </row>
    <row r="268" spans="1:13" ht="14" x14ac:dyDescent="0.2">
      <c r="A268" s="13">
        <f t="shared" si="64"/>
        <v>2022</v>
      </c>
      <c r="B268" s="13" t="str">
        <f t="shared" si="65"/>
        <v>02</v>
      </c>
      <c r="C268" s="13" t="str">
        <f t="shared" si="66"/>
        <v>21</v>
      </c>
      <c r="D268" s="16" t="str">
        <f>VLOOKUP(H268,'Names for Vlookup'!$B$26:$C$94,2,FALSE)</f>
        <v>Bibong Herb</v>
      </c>
      <c r="E268" s="16" t="str">
        <f>VLOOKUP(K268,'Names for Vlookup'!$B$8:$C$21,2,FALSE)</f>
        <v>Deer velvet (dried)</v>
      </c>
      <c r="G268" s="16" t="str">
        <f>VLOOKUP(L268,'Names for Vlookup'!$B$101:$C$181,2,FALSE)</f>
        <v>New Zealand</v>
      </c>
      <c r="H268" s="24" t="s">
        <v>135</v>
      </c>
      <c r="I268" s="24" t="s">
        <v>64</v>
      </c>
      <c r="J268" s="24" t="s">
        <v>70</v>
      </c>
      <c r="K268" s="24" t="s">
        <v>64</v>
      </c>
      <c r="L268" s="24" t="s">
        <v>260</v>
      </c>
      <c r="M268" s="24" t="s">
        <v>383</v>
      </c>
    </row>
    <row r="269" spans="1:13" ht="14" x14ac:dyDescent="0.2">
      <c r="A269" s="13">
        <f t="shared" si="64"/>
        <v>2022</v>
      </c>
      <c r="B269" s="13" t="str">
        <f t="shared" si="65"/>
        <v>02</v>
      </c>
      <c r="C269" s="13" t="str">
        <f t="shared" si="66"/>
        <v>16</v>
      </c>
      <c r="D269" s="16" t="str">
        <f>VLOOKUP(H269,'Names for Vlookup'!$B$26:$C$94,2,FALSE)</f>
        <v>Bia Tech</v>
      </c>
      <c r="E269" s="16" t="str">
        <f>VLOOKUP(K269,'Names for Vlookup'!$B$8:$C$21,2,FALSE)</f>
        <v>Deer velvet (dried)</v>
      </c>
      <c r="G269" s="16" t="str">
        <f>VLOOKUP(L269,'Names for Vlookup'!$B$101:$C$181,2,FALSE)</f>
        <v>Russia</v>
      </c>
      <c r="H269" s="24" t="s">
        <v>384</v>
      </c>
      <c r="I269" s="24" t="s">
        <v>64</v>
      </c>
      <c r="J269" s="24" t="s">
        <v>385</v>
      </c>
      <c r="K269" s="24" t="s">
        <v>64</v>
      </c>
      <c r="L269" s="24" t="s">
        <v>386</v>
      </c>
      <c r="M269" s="24" t="s">
        <v>387</v>
      </c>
    </row>
    <row r="270" spans="1:13" ht="14" x14ac:dyDescent="0.2">
      <c r="A270" s="13">
        <f t="shared" si="64"/>
        <v>2022</v>
      </c>
      <c r="B270" s="13" t="str">
        <f t="shared" si="65"/>
        <v>02</v>
      </c>
      <c r="C270" s="13" t="str">
        <f t="shared" si="66"/>
        <v>15</v>
      </c>
      <c r="D270" s="16" t="str">
        <f>VLOOKUP(H270,'Names for Vlookup'!$B$26:$C$94,2,FALSE)</f>
        <v>Hyangna Bio</v>
      </c>
      <c r="E270" s="16" t="str">
        <f>VLOOKUP(K270,'Names for Vlookup'!$B$8:$C$21,2,FALSE)</f>
        <v>Deer velvet (dried)</v>
      </c>
      <c r="G270" s="16" t="str">
        <f>VLOOKUP(L270,'Names for Vlookup'!$B$101:$C$181,2,FALSE)</f>
        <v>New Zealand</v>
      </c>
      <c r="H270" s="24" t="s">
        <v>111</v>
      </c>
      <c r="I270" s="24" t="s">
        <v>62</v>
      </c>
      <c r="J270" s="24" t="s">
        <v>63</v>
      </c>
      <c r="K270" s="24" t="s">
        <v>64</v>
      </c>
      <c r="L270" s="24" t="s">
        <v>129</v>
      </c>
      <c r="M270" s="24" t="s">
        <v>388</v>
      </c>
    </row>
    <row r="271" spans="1:13" ht="14" x14ac:dyDescent="0.2">
      <c r="A271" s="13">
        <f t="shared" si="64"/>
        <v>2022</v>
      </c>
      <c r="B271" s="13" t="str">
        <f t="shared" si="65"/>
        <v>02</v>
      </c>
      <c r="C271" s="13" t="str">
        <f t="shared" si="66"/>
        <v>10</v>
      </c>
      <c r="D271" s="16" t="str">
        <f>VLOOKUP(H271,'Names for Vlookup'!$B$26:$C$94,2,FALSE)</f>
        <v>MyungGa (Mr.Lee in Daegu)</v>
      </c>
      <c r="E271" s="16" t="str">
        <f>VLOOKUP(K271,'Names for Vlookup'!$B$8:$C$21,2,FALSE)</f>
        <v>Deer velvet (dried)</v>
      </c>
      <c r="G271" s="16" t="str">
        <f>VLOOKUP(L271,'Names for Vlookup'!$B$101:$C$181,2,FALSE)</f>
        <v>New Zealand</v>
      </c>
      <c r="H271" s="24" t="s">
        <v>208</v>
      </c>
      <c r="I271" s="24" t="s">
        <v>62</v>
      </c>
      <c r="J271" s="24" t="s">
        <v>152</v>
      </c>
      <c r="K271" s="24" t="s">
        <v>64</v>
      </c>
      <c r="L271" s="24" t="s">
        <v>260</v>
      </c>
      <c r="M271" s="24" t="s">
        <v>389</v>
      </c>
    </row>
    <row r="272" spans="1:13" ht="14" x14ac:dyDescent="0.2">
      <c r="A272" s="13">
        <f t="shared" ref="A272:A335" si="67">YEAR(M272)</f>
        <v>2022</v>
      </c>
      <c r="B272" s="13" t="str">
        <f t="shared" ref="B272:B335" si="68">TEXT(M272,"mm")</f>
        <v>02</v>
      </c>
      <c r="C272" s="13" t="str">
        <f t="shared" ref="C272:C335" si="69">TEXT(M272,"dd")</f>
        <v>03</v>
      </c>
      <c r="D272" s="16" t="str">
        <f>VLOOKUP(H272,'Names for Vlookup'!$B$26:$C$94,2,FALSE)</f>
        <v>HwaYong Pharm.</v>
      </c>
      <c r="E272" s="16" t="str">
        <f>VLOOKUP(K272,'Names for Vlookup'!$B$8:$C$21,2,FALSE)</f>
        <v>Deer velvet (dried)</v>
      </c>
      <c r="G272" s="16" t="str">
        <f>VLOOKUP(L272,'Names for Vlookup'!$B$101:$C$181,2,FALSE)</f>
        <v>China</v>
      </c>
      <c r="H272" s="24" t="s">
        <v>80</v>
      </c>
      <c r="I272" s="24" t="s">
        <v>62</v>
      </c>
      <c r="J272" s="24" t="s">
        <v>63</v>
      </c>
      <c r="K272" s="24" t="s">
        <v>64</v>
      </c>
      <c r="L272" s="24" t="s">
        <v>247</v>
      </c>
      <c r="M272" s="24" t="s">
        <v>390</v>
      </c>
    </row>
    <row r="273" spans="1:13" ht="14" x14ac:dyDescent="0.2">
      <c r="A273" s="13">
        <f t="shared" si="67"/>
        <v>2022</v>
      </c>
      <c r="B273" s="13" t="str">
        <f t="shared" si="68"/>
        <v>01</v>
      </c>
      <c r="C273" s="13" t="str">
        <f t="shared" si="69"/>
        <v>27</v>
      </c>
      <c r="D273" s="16" t="str">
        <f>VLOOKUP(H273,'Names for Vlookup'!$B$26:$C$94,2,FALSE)</f>
        <v>MyungGa (Mr.Lee in Daegu)</v>
      </c>
      <c r="E273" s="16" t="str">
        <f>VLOOKUP(K273,'Names for Vlookup'!$B$8:$C$21,2,FALSE)</f>
        <v>Deer velvet (frozen)</v>
      </c>
      <c r="G273" s="16" t="str">
        <f>VLOOKUP(L273,'Names for Vlookup'!$B$101:$C$181,2,FALSE)</f>
        <v>New Zealand</v>
      </c>
      <c r="H273" s="24" t="s">
        <v>208</v>
      </c>
      <c r="I273" s="24" t="s">
        <v>76</v>
      </c>
      <c r="J273" s="24" t="s">
        <v>73</v>
      </c>
      <c r="K273" s="24" t="s">
        <v>74</v>
      </c>
      <c r="L273" s="24" t="s">
        <v>260</v>
      </c>
      <c r="M273" s="24" t="s">
        <v>391</v>
      </c>
    </row>
    <row r="274" spans="1:13" ht="14" x14ac:dyDescent="0.2">
      <c r="A274" s="13">
        <f t="shared" si="67"/>
        <v>2022</v>
      </c>
      <c r="B274" s="13" t="str">
        <f t="shared" si="68"/>
        <v>01</v>
      </c>
      <c r="C274" s="13" t="str">
        <f t="shared" si="69"/>
        <v>26</v>
      </c>
      <c r="D274" s="16" t="str">
        <f>VLOOKUP(H274,'Names for Vlookup'!$B$26:$C$94,2,FALSE)</f>
        <v>Bio Dot (Han Dong Herb)</v>
      </c>
      <c r="E274" s="16" t="str">
        <f>VLOOKUP(K274,'Names for Vlookup'!$B$8:$C$21,2,FALSE)</f>
        <v>Deer velvet (frozen)</v>
      </c>
      <c r="G274" s="16" t="str">
        <f>VLOOKUP(L274,'Names for Vlookup'!$B$101:$C$181,2,FALSE)</f>
        <v>New Zealand</v>
      </c>
      <c r="H274" s="24" t="s">
        <v>86</v>
      </c>
      <c r="I274" s="24" t="s">
        <v>76</v>
      </c>
      <c r="J274" s="24" t="s">
        <v>73</v>
      </c>
      <c r="K274" s="24" t="s">
        <v>74</v>
      </c>
      <c r="L274" s="24" t="s">
        <v>260</v>
      </c>
      <c r="M274" s="24" t="s">
        <v>392</v>
      </c>
    </row>
    <row r="275" spans="1:13" ht="14" x14ac:dyDescent="0.2">
      <c r="A275" s="13">
        <f t="shared" si="67"/>
        <v>2022</v>
      </c>
      <c r="B275" s="13" t="str">
        <f t="shared" si="68"/>
        <v>01</v>
      </c>
      <c r="C275" s="13" t="str">
        <f t="shared" si="69"/>
        <v>25</v>
      </c>
      <c r="D275" s="16" t="str">
        <f>VLOOKUP(H275,'Names for Vlookup'!$B$26:$C$94,2,FALSE)</f>
        <v>Eryong Pharm.</v>
      </c>
      <c r="E275" s="16" t="str">
        <f>VLOOKUP(K275,'Names for Vlookup'!$B$8:$C$21,2,FALSE)</f>
        <v>Deer velvet (frozen)</v>
      </c>
      <c r="G275" s="16" t="str">
        <f>VLOOKUP(L275,'Names for Vlookup'!$B$101:$C$181,2,FALSE)</f>
        <v>New Zealand</v>
      </c>
      <c r="H275" s="24" t="s">
        <v>92</v>
      </c>
      <c r="I275" s="24" t="s">
        <v>62</v>
      </c>
      <c r="J275" s="24" t="s">
        <v>63</v>
      </c>
      <c r="K275" s="24" t="s">
        <v>232</v>
      </c>
      <c r="L275" s="24" t="s">
        <v>260</v>
      </c>
      <c r="M275" s="24" t="s">
        <v>393</v>
      </c>
    </row>
    <row r="276" spans="1:13" ht="14" x14ac:dyDescent="0.2">
      <c r="A276" s="13">
        <f t="shared" si="67"/>
        <v>2022</v>
      </c>
      <c r="B276" s="13" t="str">
        <f t="shared" si="68"/>
        <v>01</v>
      </c>
      <c r="C276" s="13" t="str">
        <f t="shared" si="69"/>
        <v>24</v>
      </c>
      <c r="D276" s="16" t="str">
        <f>VLOOKUP(H276,'Names for Vlookup'!$B$26:$C$94,2,FALSE)</f>
        <v>Ilseong Food</v>
      </c>
      <c r="E276" s="16" t="str">
        <f>VLOOKUP(K276,'Names for Vlookup'!$B$8:$C$21,2,FALSE)</f>
        <v>Deer velvet (dried)</v>
      </c>
      <c r="G276" s="16" t="str">
        <f>VLOOKUP(L276,'Names for Vlookup'!$B$101:$C$181,2,FALSE)</f>
        <v>China</v>
      </c>
      <c r="H276" s="24" t="s">
        <v>335</v>
      </c>
      <c r="I276" s="24" t="s">
        <v>62</v>
      </c>
      <c r="J276" s="24" t="s">
        <v>63</v>
      </c>
      <c r="K276" s="24" t="s">
        <v>64</v>
      </c>
      <c r="L276" s="24" t="s">
        <v>247</v>
      </c>
      <c r="M276" s="24" t="s">
        <v>394</v>
      </c>
    </row>
    <row r="277" spans="1:13" ht="14" x14ac:dyDescent="0.2">
      <c r="A277" s="13">
        <f t="shared" si="67"/>
        <v>2022</v>
      </c>
      <c r="B277" s="13" t="str">
        <f t="shared" si="68"/>
        <v>01</v>
      </c>
      <c r="C277" s="13" t="str">
        <f t="shared" si="69"/>
        <v>20</v>
      </c>
      <c r="D277" s="16" t="str">
        <f>VLOOKUP(H277,'Names for Vlookup'!$B$26:$C$94,2,FALSE)</f>
        <v>KNC Deertrade</v>
      </c>
      <c r="E277" s="16" t="str">
        <f>VLOOKUP(K277,'Names for Vlookup'!$B$8:$C$21,2,FALSE)</f>
        <v>Deer velvet (frozen)</v>
      </c>
      <c r="G277" s="16" t="str">
        <f>VLOOKUP(L277,'Names for Vlookup'!$B$101:$C$181,2,FALSE)</f>
        <v>New Zealand</v>
      </c>
      <c r="H277" s="24" t="s">
        <v>75</v>
      </c>
      <c r="I277" s="24" t="s">
        <v>74</v>
      </c>
      <c r="J277" s="24" t="s">
        <v>73</v>
      </c>
      <c r="K277" s="24" t="s">
        <v>74</v>
      </c>
      <c r="L277" s="24" t="s">
        <v>36</v>
      </c>
      <c r="M277" s="24" t="s">
        <v>395</v>
      </c>
    </row>
    <row r="278" spans="1:13" ht="14" x14ac:dyDescent="0.2">
      <c r="A278" s="13">
        <f t="shared" si="67"/>
        <v>2022</v>
      </c>
      <c r="B278" s="13" t="str">
        <f t="shared" si="68"/>
        <v>01</v>
      </c>
      <c r="C278" s="13" t="str">
        <f t="shared" si="69"/>
        <v>17</v>
      </c>
      <c r="D278" s="16" t="str">
        <f>VLOOKUP(H278,'Names for Vlookup'!$B$26:$C$94,2,FALSE)</f>
        <v>KNC Deertrade</v>
      </c>
      <c r="E278" s="16" t="str">
        <f>VLOOKUP(K278,'Names for Vlookup'!$B$8:$C$21,2,FALSE)</f>
        <v>Deer velvet (frozen)</v>
      </c>
      <c r="G278" s="16" t="str">
        <f>VLOOKUP(L278,'Names for Vlookup'!$B$101:$C$181,2,FALSE)</f>
        <v>New Zealand</v>
      </c>
      <c r="H278" s="24" t="s">
        <v>75</v>
      </c>
      <c r="I278" s="24" t="s">
        <v>74</v>
      </c>
      <c r="J278" s="24" t="s">
        <v>73</v>
      </c>
      <c r="K278" s="24" t="s">
        <v>74</v>
      </c>
      <c r="L278" s="24" t="s">
        <v>36</v>
      </c>
      <c r="M278" s="24" t="s">
        <v>396</v>
      </c>
    </row>
    <row r="279" spans="1:13" ht="14" x14ac:dyDescent="0.2">
      <c r="A279" s="13">
        <f t="shared" si="67"/>
        <v>2022</v>
      </c>
      <c r="B279" s="13" t="str">
        <f t="shared" si="68"/>
        <v>01</v>
      </c>
      <c r="C279" s="13" t="str">
        <f t="shared" si="69"/>
        <v>17</v>
      </c>
      <c r="D279" s="16" t="str">
        <f>VLOOKUP(H279,'Names for Vlookup'!$B$26:$C$94,2,FALSE)</f>
        <v>KNC Deertrade</v>
      </c>
      <c r="E279" s="16" t="str">
        <f>VLOOKUP(K279,'Names for Vlookup'!$B$8:$C$21,2,FALSE)</f>
        <v>Deer velvet (frozen)</v>
      </c>
      <c r="G279" s="16" t="str">
        <f>VLOOKUP(L279,'Names for Vlookup'!$B$101:$C$181,2,FALSE)</f>
        <v>New Zealand</v>
      </c>
      <c r="H279" s="24" t="s">
        <v>75</v>
      </c>
      <c r="I279" s="24" t="s">
        <v>74</v>
      </c>
      <c r="J279" s="24" t="s">
        <v>73</v>
      </c>
      <c r="K279" s="24" t="s">
        <v>74</v>
      </c>
      <c r="L279" s="24" t="s">
        <v>36</v>
      </c>
      <c r="M279" s="24" t="s">
        <v>396</v>
      </c>
    </row>
    <row r="280" spans="1:13" ht="14" x14ac:dyDescent="0.2">
      <c r="A280" s="13">
        <f t="shared" si="67"/>
        <v>2022</v>
      </c>
      <c r="B280" s="13" t="str">
        <f t="shared" si="68"/>
        <v>01</v>
      </c>
      <c r="C280" s="13" t="str">
        <f t="shared" si="69"/>
        <v>11</v>
      </c>
      <c r="D280" s="16" t="str">
        <f>VLOOKUP(H280,'Names for Vlookup'!$B$26:$C$94,2,FALSE)</f>
        <v>YW International</v>
      </c>
      <c r="E280" s="16" t="str">
        <f>VLOOKUP(I280,'Names for Vlookup'!$B$8:$C$21,2,FALSE)</f>
        <v>Deer velvet (frozen)</v>
      </c>
      <c r="G280" s="16" t="str">
        <f>VLOOKUP(L280,'Names for Vlookup'!$B$101:$C$181,2,FALSE)</f>
        <v>New Zealand</v>
      </c>
      <c r="H280" s="16" t="s">
        <v>88</v>
      </c>
      <c r="I280" s="16" t="s">
        <v>74</v>
      </c>
      <c r="J280" s="16" t="s">
        <v>89</v>
      </c>
      <c r="L280" s="16" t="s">
        <v>38</v>
      </c>
      <c r="M280" s="26" t="s">
        <v>397</v>
      </c>
    </row>
    <row r="281" spans="1:13" ht="14" x14ac:dyDescent="0.2">
      <c r="A281" s="13">
        <f t="shared" si="67"/>
        <v>2021</v>
      </c>
      <c r="B281" s="13" t="str">
        <f t="shared" si="68"/>
        <v>12</v>
      </c>
      <c r="C281" s="13" t="str">
        <f t="shared" si="69"/>
        <v>28</v>
      </c>
      <c r="D281" s="16" t="str">
        <f>VLOOKUP(H281,'Names for Vlookup'!$B$26:$C$94,2,FALSE)</f>
        <v>Ee Room Pharm.</v>
      </c>
      <c r="E281" s="16" t="str">
        <f>VLOOKUP(I281,'Names for Vlookup'!$B$8:$C$21,2,FALSE)</f>
        <v>Deer velvet (dried)</v>
      </c>
      <c r="G281" s="16" t="str">
        <f>VLOOKUP(L281,'Names for Vlookup'!$B$101:$C$181,2,FALSE)</f>
        <v>China</v>
      </c>
      <c r="H281" s="16" t="s">
        <v>320</v>
      </c>
      <c r="I281" s="16" t="s">
        <v>171</v>
      </c>
      <c r="J281" s="16" t="s">
        <v>70</v>
      </c>
      <c r="L281" s="16" t="s">
        <v>247</v>
      </c>
      <c r="M281" s="26" t="s">
        <v>398</v>
      </c>
    </row>
    <row r="282" spans="1:13" ht="14" x14ac:dyDescent="0.2">
      <c r="A282" s="13">
        <f t="shared" si="67"/>
        <v>2021</v>
      </c>
      <c r="B282" s="13" t="str">
        <f t="shared" si="68"/>
        <v>12</v>
      </c>
      <c r="C282" s="13" t="str">
        <f t="shared" si="69"/>
        <v>24</v>
      </c>
      <c r="D282" s="16" t="str">
        <f>VLOOKUP(H282,'Names for Vlookup'!$B$26:$C$94,2,FALSE)</f>
        <v>Bio Dot (Han Dong Herb)</v>
      </c>
      <c r="E282" s="16" t="str">
        <f>VLOOKUP(I282,'Names for Vlookup'!$B$8:$C$21,2,FALSE)</f>
        <v>Deer velvet (frozen)</v>
      </c>
      <c r="G282" s="16" t="str">
        <f>VLOOKUP(L282,'Names for Vlookup'!$B$101:$C$181,2,FALSE)</f>
        <v>New Zealand</v>
      </c>
      <c r="H282" s="16" t="s">
        <v>86</v>
      </c>
      <c r="I282" s="16" t="s">
        <v>76</v>
      </c>
      <c r="J282" s="16" t="s">
        <v>73</v>
      </c>
      <c r="L282" s="16" t="s">
        <v>183</v>
      </c>
      <c r="M282" s="26" t="s">
        <v>399</v>
      </c>
    </row>
    <row r="283" spans="1:13" ht="14" x14ac:dyDescent="0.2">
      <c r="A283" s="13">
        <f t="shared" si="67"/>
        <v>2021</v>
      </c>
      <c r="B283" s="13" t="str">
        <f t="shared" si="68"/>
        <v>12</v>
      </c>
      <c r="C283" s="13" t="str">
        <f t="shared" si="69"/>
        <v>24</v>
      </c>
      <c r="D283" s="16" t="str">
        <f>VLOOKUP(H283,'Names for Vlookup'!$B$26:$C$94,2,FALSE)</f>
        <v xml:space="preserve">WooSung (Mr Bang) </v>
      </c>
      <c r="E283" s="16" t="str">
        <f>VLOOKUP(I283,'Names for Vlookup'!$B$8:$C$21,2,FALSE)</f>
        <v>Deer velvet (dried)</v>
      </c>
      <c r="G283" s="16" t="str">
        <f>VLOOKUP(L283,'Names for Vlookup'!$B$101:$C$181,2,FALSE)</f>
        <v>China</v>
      </c>
      <c r="H283" s="16" t="s">
        <v>69</v>
      </c>
      <c r="I283" s="16" t="s">
        <v>64</v>
      </c>
      <c r="J283" s="16" t="s">
        <v>70</v>
      </c>
      <c r="L283" s="16" t="s">
        <v>33</v>
      </c>
      <c r="M283" s="26" t="s">
        <v>399</v>
      </c>
    </row>
    <row r="284" spans="1:13" ht="14" x14ac:dyDescent="0.2">
      <c r="A284" s="13">
        <f t="shared" si="67"/>
        <v>2021</v>
      </c>
      <c r="B284" s="13" t="str">
        <f t="shared" si="68"/>
        <v>11</v>
      </c>
      <c r="C284" s="13" t="str">
        <f t="shared" si="69"/>
        <v>24</v>
      </c>
      <c r="D284" s="16" t="str">
        <f>VLOOKUP(H284,'Names for Vlookup'!$B$26:$C$94,2,FALSE)</f>
        <v>Taeahn (Mr. Ahn)</v>
      </c>
      <c r="E284" s="16" t="str">
        <f>VLOOKUP(I284,'Names for Vlookup'!$B$8:$C$21,2,FALSE)</f>
        <v>Deer velvet</v>
      </c>
      <c r="G284" s="16" t="str">
        <f>VLOOKUP(L284,'Names for Vlookup'!$B$101:$C$181,2,FALSE)</f>
        <v>Russia</v>
      </c>
      <c r="H284" s="16" t="s">
        <v>151</v>
      </c>
      <c r="I284" s="16" t="s">
        <v>62</v>
      </c>
      <c r="J284" s="16" t="s">
        <v>63</v>
      </c>
      <c r="L284" s="16" t="s">
        <v>100</v>
      </c>
      <c r="M284" s="26" t="s">
        <v>400</v>
      </c>
    </row>
    <row r="285" spans="1:13" ht="14" x14ac:dyDescent="0.2">
      <c r="A285" s="13">
        <f t="shared" si="67"/>
        <v>2021</v>
      </c>
      <c r="B285" s="13" t="str">
        <f t="shared" si="68"/>
        <v>11</v>
      </c>
      <c r="C285" s="13" t="str">
        <f t="shared" si="69"/>
        <v>22</v>
      </c>
      <c r="D285" s="16" t="str">
        <f>VLOOKUP(H285,'Names for Vlookup'!$B$26:$C$94,2,FALSE)</f>
        <v>Hyangna Bio</v>
      </c>
      <c r="E285" s="16" t="str">
        <f>VLOOKUP(I285,'Names for Vlookup'!$B$8:$C$21,2,FALSE)</f>
        <v>Deer velvet</v>
      </c>
      <c r="G285" s="16" t="str">
        <f>VLOOKUP(L285,'Names for Vlookup'!$B$101:$C$181,2,FALSE)</f>
        <v>Russia</v>
      </c>
      <c r="H285" s="16" t="s">
        <v>111</v>
      </c>
      <c r="I285" s="16" t="s">
        <v>62</v>
      </c>
      <c r="J285" s="16" t="s">
        <v>63</v>
      </c>
      <c r="L285" s="16" t="s">
        <v>212</v>
      </c>
      <c r="M285" s="26" t="s">
        <v>401</v>
      </c>
    </row>
    <row r="286" spans="1:13" ht="14" x14ac:dyDescent="0.2">
      <c r="A286" s="13">
        <f t="shared" si="67"/>
        <v>2021</v>
      </c>
      <c r="B286" s="13" t="str">
        <f t="shared" si="68"/>
        <v>11</v>
      </c>
      <c r="C286" s="13" t="str">
        <f t="shared" si="69"/>
        <v>22</v>
      </c>
      <c r="D286" s="16" t="str">
        <f>VLOOKUP(H286,'Names for Vlookup'!$B$26:$C$94,2,FALSE)</f>
        <v>Ilseong Food</v>
      </c>
      <c r="E286" s="16" t="str">
        <f>VLOOKUP(I286,'Names for Vlookup'!$B$8:$C$21,2,FALSE)</f>
        <v>Deer velvet</v>
      </c>
      <c r="G286" s="16" t="str">
        <f>VLOOKUP(L286,'Names for Vlookup'!$B$101:$C$181,2,FALSE)</f>
        <v>Russia</v>
      </c>
      <c r="H286" s="16" t="s">
        <v>335</v>
      </c>
      <c r="I286" s="16" t="s">
        <v>62</v>
      </c>
      <c r="J286" s="16" t="s">
        <v>63</v>
      </c>
      <c r="L286" s="16" t="s">
        <v>212</v>
      </c>
      <c r="M286" s="26" t="s">
        <v>401</v>
      </c>
    </row>
    <row r="287" spans="1:13" ht="14" x14ac:dyDescent="0.2">
      <c r="A287" s="13">
        <f t="shared" si="67"/>
        <v>2021</v>
      </c>
      <c r="B287" s="13" t="str">
        <f t="shared" si="68"/>
        <v>11</v>
      </c>
      <c r="C287" s="13" t="str">
        <f t="shared" si="69"/>
        <v>22</v>
      </c>
      <c r="D287" s="16" t="str">
        <f>VLOOKUP(H287,'Names for Vlookup'!$B$26:$C$94,2,FALSE)</f>
        <v>YW International</v>
      </c>
      <c r="E287" s="16" t="str">
        <f>VLOOKUP(I287,'Names for Vlookup'!$B$8:$C$21,2,FALSE)</f>
        <v>Deer velvet</v>
      </c>
      <c r="G287" s="16" t="str">
        <f>VLOOKUP(L287,'Names for Vlookup'!$B$101:$C$181,2,FALSE)</f>
        <v>New Zealand</v>
      </c>
      <c r="H287" s="16" t="s">
        <v>88</v>
      </c>
      <c r="I287" s="16" t="s">
        <v>62</v>
      </c>
      <c r="J287" s="16" t="s">
        <v>402</v>
      </c>
      <c r="L287" s="16" t="s">
        <v>38</v>
      </c>
      <c r="M287" s="26" t="s">
        <v>401</v>
      </c>
    </row>
    <row r="288" spans="1:13" ht="14" x14ac:dyDescent="0.2">
      <c r="A288" s="13">
        <f t="shared" si="67"/>
        <v>2021</v>
      </c>
      <c r="B288" s="13" t="str">
        <f t="shared" si="68"/>
        <v>11</v>
      </c>
      <c r="C288" s="13" t="str">
        <f t="shared" si="69"/>
        <v>22</v>
      </c>
      <c r="D288" s="16" t="str">
        <f>VLOOKUP(H288,'Names for Vlookup'!$B$26:$C$94,2,FALSE)</f>
        <v xml:space="preserve">JoEun Pharm </v>
      </c>
      <c r="E288" s="16" t="str">
        <f>VLOOKUP(I288,'Names for Vlookup'!$B$8:$C$21,2,FALSE)</f>
        <v>Deer velvet</v>
      </c>
      <c r="G288" s="16" t="str">
        <f>VLOOKUP(L288,'Names for Vlookup'!$B$101:$C$181,2,FALSE)</f>
        <v>Russia</v>
      </c>
      <c r="H288" s="16" t="s">
        <v>99</v>
      </c>
      <c r="I288" s="16" t="s">
        <v>62</v>
      </c>
      <c r="J288" s="16" t="s">
        <v>63</v>
      </c>
      <c r="L288" s="16" t="s">
        <v>100</v>
      </c>
      <c r="M288" s="26" t="s">
        <v>401</v>
      </c>
    </row>
    <row r="289" spans="1:13" ht="14" x14ac:dyDescent="0.2">
      <c r="A289" s="13">
        <f t="shared" si="67"/>
        <v>2021</v>
      </c>
      <c r="B289" s="13" t="str">
        <f t="shared" si="68"/>
        <v>11</v>
      </c>
      <c r="C289" s="13" t="str">
        <f t="shared" si="69"/>
        <v>15</v>
      </c>
      <c r="D289" s="16" t="str">
        <f>VLOOKUP(H289,'Names for Vlookup'!$B$26:$C$94,2,FALSE)</f>
        <v>MyungGa (Mr.Lee in Daegu)</v>
      </c>
      <c r="E289" s="16" t="str">
        <f>VLOOKUP(I289,'Names for Vlookup'!$B$8:$C$21,2,FALSE)</f>
        <v>Deer velvet</v>
      </c>
      <c r="G289" s="16" t="str">
        <f>VLOOKUP(L289,'Names for Vlookup'!$B$101:$C$181,2,FALSE)</f>
        <v>Russia</v>
      </c>
      <c r="H289" s="16" t="s">
        <v>208</v>
      </c>
      <c r="I289" s="16" t="s">
        <v>62</v>
      </c>
      <c r="J289" s="16" t="s">
        <v>105</v>
      </c>
      <c r="L289" s="16" t="s">
        <v>212</v>
      </c>
      <c r="M289" s="26" t="s">
        <v>403</v>
      </c>
    </row>
    <row r="290" spans="1:13" ht="14" x14ac:dyDescent="0.2">
      <c r="A290" s="13">
        <f t="shared" si="67"/>
        <v>2021</v>
      </c>
      <c r="B290" s="13" t="str">
        <f t="shared" si="68"/>
        <v>11</v>
      </c>
      <c r="C290" s="13" t="str">
        <f t="shared" si="69"/>
        <v>09</v>
      </c>
      <c r="D290" s="16" t="str">
        <f>VLOOKUP(H290,'Names for Vlookup'!$B$26:$C$94,2,FALSE)</f>
        <v>K&amp;C</v>
      </c>
      <c r="E290" s="16" t="str">
        <f>VLOOKUP(I290,'Names for Vlookup'!$B$8:$C$21,2,FALSE)</f>
        <v>Deer velvet (dried)</v>
      </c>
      <c r="G290" s="16" t="str">
        <f>VLOOKUP(L290,'Names for Vlookup'!$B$101:$C$181,2,FALSE)</f>
        <v>China</v>
      </c>
      <c r="H290" s="16" t="s">
        <v>294</v>
      </c>
      <c r="I290" s="16" t="s">
        <v>171</v>
      </c>
      <c r="J290" s="16" t="s">
        <v>70</v>
      </c>
      <c r="L290" s="16" t="s">
        <v>33</v>
      </c>
      <c r="M290" s="26" t="s">
        <v>404</v>
      </c>
    </row>
    <row r="291" spans="1:13" ht="14" x14ac:dyDescent="0.2">
      <c r="A291" s="13">
        <f t="shared" si="67"/>
        <v>2021</v>
      </c>
      <c r="B291" s="13" t="str">
        <f t="shared" si="68"/>
        <v>11</v>
      </c>
      <c r="C291" s="13" t="str">
        <f t="shared" si="69"/>
        <v>09</v>
      </c>
      <c r="D291" s="16" t="str">
        <f>VLOOKUP(H291,'Names for Vlookup'!$B$26:$C$94,2,FALSE)</f>
        <v>Bia Tech</v>
      </c>
      <c r="E291" s="16" t="str">
        <f>VLOOKUP(I291,'Names for Vlookup'!$B$8:$C$21,2,FALSE)</f>
        <v>Deer velvet (dried)</v>
      </c>
      <c r="G291" s="16" t="str">
        <f>VLOOKUP(L291,'Names for Vlookup'!$B$101:$C$181,2,FALSE)</f>
        <v>Russia</v>
      </c>
      <c r="H291" s="16" t="s">
        <v>384</v>
      </c>
      <c r="I291" s="16" t="s">
        <v>64</v>
      </c>
      <c r="J291" s="16" t="s">
        <v>385</v>
      </c>
      <c r="L291" s="16" t="s">
        <v>386</v>
      </c>
      <c r="M291" s="26" t="s">
        <v>404</v>
      </c>
    </row>
    <row r="292" spans="1:13" ht="14" x14ac:dyDescent="0.2">
      <c r="A292" s="13">
        <f t="shared" si="67"/>
        <v>2021</v>
      </c>
      <c r="B292" s="13" t="str">
        <f t="shared" si="68"/>
        <v>11</v>
      </c>
      <c r="C292" s="13" t="str">
        <f t="shared" si="69"/>
        <v>05</v>
      </c>
      <c r="D292" s="16" t="str">
        <f>VLOOKUP(H292,'Names for Vlookup'!$B$26:$C$94,2,FALSE)</f>
        <v>DaeWon RTD</v>
      </c>
      <c r="E292" s="16" t="str">
        <f>VLOOKUP(I292,'Names for Vlookup'!$B$8:$C$21,2,FALSE)</f>
        <v>Deer velvet (dried)</v>
      </c>
      <c r="G292" s="16" t="str">
        <f>VLOOKUP(L292,'Names for Vlookup'!$B$101:$C$181,2,FALSE)</f>
        <v>Russia</v>
      </c>
      <c r="H292" s="16" t="s">
        <v>102</v>
      </c>
      <c r="I292" s="16" t="s">
        <v>64</v>
      </c>
      <c r="J292" s="16" t="s">
        <v>94</v>
      </c>
      <c r="L292" s="16" t="s">
        <v>103</v>
      </c>
      <c r="M292" s="26" t="s">
        <v>405</v>
      </c>
    </row>
    <row r="293" spans="1:13" ht="14" x14ac:dyDescent="0.2">
      <c r="A293" s="13">
        <f t="shared" si="67"/>
        <v>2021</v>
      </c>
      <c r="B293" s="13" t="str">
        <f t="shared" si="68"/>
        <v>11</v>
      </c>
      <c r="C293" s="13" t="str">
        <f t="shared" si="69"/>
        <v>05</v>
      </c>
      <c r="D293" s="16" t="str">
        <f>VLOOKUP(H293,'Names for Vlookup'!$B$26:$C$94,2,FALSE)</f>
        <v>Onnuri Bio</v>
      </c>
      <c r="E293" s="16" t="str">
        <f>VLOOKUP(I293,'Names for Vlookup'!$B$8:$C$21,2,FALSE)</f>
        <v>Deer velvet</v>
      </c>
      <c r="G293" s="16" t="str">
        <f>VLOOKUP(L293,'Names for Vlookup'!$B$101:$C$181,2,FALSE)</f>
        <v>China</v>
      </c>
      <c r="H293" s="16" t="s">
        <v>61</v>
      </c>
      <c r="I293" s="16" t="s">
        <v>62</v>
      </c>
      <c r="J293" s="16" t="s">
        <v>63</v>
      </c>
      <c r="L293" s="16" t="s">
        <v>245</v>
      </c>
      <c r="M293" s="26" t="s">
        <v>405</v>
      </c>
    </row>
    <row r="294" spans="1:13" ht="14" x14ac:dyDescent="0.2">
      <c r="A294" s="13">
        <f t="shared" si="67"/>
        <v>2021</v>
      </c>
      <c r="B294" s="13" t="str">
        <f t="shared" si="68"/>
        <v>11</v>
      </c>
      <c r="C294" s="13" t="str">
        <f t="shared" si="69"/>
        <v>05</v>
      </c>
      <c r="D294" s="16" t="str">
        <f>VLOOKUP(H294,'Names for Vlookup'!$B$26:$C$94,2,FALSE)</f>
        <v>Daeheung Pharm</v>
      </c>
      <c r="E294" s="16" t="str">
        <f>VLOOKUP(I294,'Names for Vlookup'!$B$8:$C$21,2,FALSE)</f>
        <v>Deer velvet</v>
      </c>
      <c r="G294" s="16" t="str">
        <f>VLOOKUP(L294,'Names for Vlookup'!$B$101:$C$181,2,FALSE)</f>
        <v>Russia</v>
      </c>
      <c r="H294" s="16" t="s">
        <v>406</v>
      </c>
      <c r="I294" s="16" t="s">
        <v>62</v>
      </c>
      <c r="J294" s="16" t="s">
        <v>63</v>
      </c>
      <c r="L294" s="16" t="s">
        <v>115</v>
      </c>
      <c r="M294" s="26" t="s">
        <v>405</v>
      </c>
    </row>
    <row r="295" spans="1:13" ht="14" x14ac:dyDescent="0.2">
      <c r="A295" s="13">
        <f t="shared" si="67"/>
        <v>2021</v>
      </c>
      <c r="B295" s="13" t="str">
        <f t="shared" si="68"/>
        <v>11</v>
      </c>
      <c r="C295" s="13" t="str">
        <f t="shared" si="69"/>
        <v>02</v>
      </c>
      <c r="D295" s="16" t="str">
        <f>VLOOKUP(H295,'Names for Vlookup'!$B$26:$C$94,2,FALSE)</f>
        <v>YW International</v>
      </c>
      <c r="E295" s="16" t="str">
        <f>VLOOKUP(I295,'Names for Vlookup'!$B$8:$C$21,2,FALSE)</f>
        <v>Deer velvet</v>
      </c>
      <c r="G295" s="16" t="str">
        <f>VLOOKUP(L295,'Names for Vlookup'!$B$101:$C$181,2,FALSE)</f>
        <v>Russia</v>
      </c>
      <c r="H295" s="16" t="s">
        <v>88</v>
      </c>
      <c r="I295" s="16" t="s">
        <v>62</v>
      </c>
      <c r="J295" s="16" t="s">
        <v>105</v>
      </c>
      <c r="L295" s="16" t="s">
        <v>212</v>
      </c>
      <c r="M295" s="26" t="s">
        <v>407</v>
      </c>
    </row>
    <row r="296" spans="1:13" ht="14" x14ac:dyDescent="0.2">
      <c r="A296" s="13">
        <f t="shared" si="67"/>
        <v>2021</v>
      </c>
      <c r="B296" s="13" t="str">
        <f t="shared" si="68"/>
        <v>10</v>
      </c>
      <c r="C296" s="13" t="str">
        <f t="shared" si="69"/>
        <v>25</v>
      </c>
      <c r="D296" s="16" t="str">
        <f>VLOOKUP(H296,'Names for Vlookup'!$B$26:$C$94,2,FALSE)</f>
        <v>Heungsoo Nogyong</v>
      </c>
      <c r="E296" s="16" t="str">
        <f>VLOOKUP(I296,'Names for Vlookup'!$B$8:$C$21,2,FALSE)</f>
        <v>Deer velvet (dried)</v>
      </c>
      <c r="G296" s="16" t="str">
        <f>VLOOKUP(L296,'Names for Vlookup'!$B$101:$C$181,2,FALSE)</f>
        <v>Russia</v>
      </c>
      <c r="H296" s="16" t="s">
        <v>104</v>
      </c>
      <c r="I296" s="16" t="s">
        <v>64</v>
      </c>
      <c r="J296" s="16" t="s">
        <v>94</v>
      </c>
      <c r="L296" s="16" t="s">
        <v>179</v>
      </c>
      <c r="M296" s="26" t="s">
        <v>408</v>
      </c>
    </row>
    <row r="297" spans="1:13" ht="14" x14ac:dyDescent="0.2">
      <c r="A297" s="13">
        <f t="shared" si="67"/>
        <v>2021</v>
      </c>
      <c r="B297" s="13" t="str">
        <f t="shared" si="68"/>
        <v>10</v>
      </c>
      <c r="C297" s="13" t="str">
        <f t="shared" si="69"/>
        <v>19</v>
      </c>
      <c r="D297" s="16" t="str">
        <f>VLOOKUP(H297,'Names for Vlookup'!$B$26:$C$94,2,FALSE)</f>
        <v>KNC Deertrade</v>
      </c>
      <c r="E297" s="16" t="str">
        <f>VLOOKUP(I297,'Names for Vlookup'!$B$8:$C$21,2,FALSE)</f>
        <v>Deer velvet (frozen)</v>
      </c>
      <c r="G297" s="16" t="str">
        <f>VLOOKUP(L297,'Names for Vlookup'!$B$101:$C$181,2,FALSE)</f>
        <v>New Zealand</v>
      </c>
      <c r="H297" s="16" t="s">
        <v>75</v>
      </c>
      <c r="I297" s="16" t="s">
        <v>76</v>
      </c>
      <c r="J297" s="16" t="s">
        <v>73</v>
      </c>
      <c r="L297" s="16" t="s">
        <v>37</v>
      </c>
      <c r="M297" s="26" t="s">
        <v>409</v>
      </c>
    </row>
    <row r="298" spans="1:13" ht="14" x14ac:dyDescent="0.2">
      <c r="A298" s="13">
        <f t="shared" si="67"/>
        <v>2021</v>
      </c>
      <c r="B298" s="13" t="str">
        <f t="shared" si="68"/>
        <v>10</v>
      </c>
      <c r="C298" s="13" t="str">
        <f t="shared" si="69"/>
        <v>01</v>
      </c>
      <c r="D298" s="16" t="str">
        <f>VLOOKUP(H298,'Names for Vlookup'!$B$26:$C$94,2,FALSE)</f>
        <v>K&amp;C</v>
      </c>
      <c r="E298" s="16" t="str">
        <f>VLOOKUP(I298,'Names for Vlookup'!$B$8:$C$21,2,FALSE)</f>
        <v>Deer velvet (dried)</v>
      </c>
      <c r="G298" s="16" t="str">
        <f>VLOOKUP(L298,'Names for Vlookup'!$B$101:$C$181,2,FALSE)</f>
        <v>China</v>
      </c>
      <c r="H298" s="16" t="s">
        <v>294</v>
      </c>
      <c r="I298" s="16" t="s">
        <v>171</v>
      </c>
      <c r="J298" s="16" t="s">
        <v>70</v>
      </c>
      <c r="L298" s="16" t="s">
        <v>33</v>
      </c>
      <c r="M298" s="26" t="s">
        <v>410</v>
      </c>
    </row>
    <row r="299" spans="1:13" ht="14" x14ac:dyDescent="0.2">
      <c r="A299" s="13">
        <f t="shared" si="67"/>
        <v>2021</v>
      </c>
      <c r="B299" s="13" t="str">
        <f t="shared" si="68"/>
        <v>10</v>
      </c>
      <c r="C299" s="13" t="str">
        <f t="shared" si="69"/>
        <v>01</v>
      </c>
      <c r="D299" s="16" t="str">
        <f>VLOOKUP(H299,'Names for Vlookup'!$B$26:$C$94,2,FALSE)</f>
        <v>WooSung (Mr. Bang)</v>
      </c>
      <c r="E299" s="16" t="str">
        <f>VLOOKUP(I299,'Names for Vlookup'!$B$8:$C$21,2,FALSE)</f>
        <v>Deer velvet (dried)</v>
      </c>
      <c r="G299" s="16" t="str">
        <f>VLOOKUP(L299,'Names for Vlookup'!$B$101:$C$181,2,FALSE)</f>
        <v>China</v>
      </c>
      <c r="H299" s="16" t="s">
        <v>411</v>
      </c>
      <c r="I299" s="16" t="s">
        <v>64</v>
      </c>
      <c r="J299" s="16" t="s">
        <v>70</v>
      </c>
      <c r="L299" s="16" t="s">
        <v>33</v>
      </c>
      <c r="M299" s="26" t="s">
        <v>410</v>
      </c>
    </row>
    <row r="300" spans="1:13" ht="14" x14ac:dyDescent="0.2">
      <c r="A300" s="13">
        <f t="shared" si="67"/>
        <v>2021</v>
      </c>
      <c r="B300" s="13" t="str">
        <f t="shared" si="68"/>
        <v>10</v>
      </c>
      <c r="C300" s="13" t="str">
        <f t="shared" si="69"/>
        <v>01</v>
      </c>
      <c r="D300" s="16" t="str">
        <f>VLOOKUP(H300,'Names for Vlookup'!$B$26:$C$94,2,FALSE)</f>
        <v>Yujin Trade</v>
      </c>
      <c r="E300" s="16" t="str">
        <f>VLOOKUP(I300,'Names for Vlookup'!$B$8:$C$21,2,FALSE)</f>
        <v>Deer velvet (dried)</v>
      </c>
      <c r="G300" s="16" t="str">
        <f>VLOOKUP(L300,'Names for Vlookup'!$B$101:$C$181,2,FALSE)</f>
        <v>Russia</v>
      </c>
      <c r="H300" s="16" t="s">
        <v>91</v>
      </c>
      <c r="I300" s="16" t="s">
        <v>171</v>
      </c>
      <c r="J300" s="16" t="s">
        <v>63</v>
      </c>
      <c r="L300" s="16" t="s">
        <v>326</v>
      </c>
      <c r="M300" s="26" t="s">
        <v>410</v>
      </c>
    </row>
    <row r="301" spans="1:13" ht="14" x14ac:dyDescent="0.2">
      <c r="A301" s="13">
        <f t="shared" si="67"/>
        <v>2021</v>
      </c>
      <c r="B301" s="13" t="str">
        <f t="shared" si="68"/>
        <v>09</v>
      </c>
      <c r="C301" s="13" t="str">
        <f t="shared" si="69"/>
        <v>24</v>
      </c>
      <c r="D301" s="16" t="str">
        <f>VLOOKUP(H301,'Names for Vlookup'!$B$26:$C$94,2,FALSE)</f>
        <v>HwaYong Pharm.</v>
      </c>
      <c r="E301" s="16" t="str">
        <f>VLOOKUP(I301,'Names for Vlookup'!$B$8:$C$21,2,FALSE)</f>
        <v>Deer velvet</v>
      </c>
      <c r="G301" s="16" t="str">
        <f>VLOOKUP(L301,'Names for Vlookup'!$B$101:$C$181,2,FALSE)</f>
        <v>China</v>
      </c>
      <c r="H301" s="16" t="s">
        <v>80</v>
      </c>
      <c r="I301" s="16" t="s">
        <v>62</v>
      </c>
      <c r="J301" s="16" t="s">
        <v>63</v>
      </c>
      <c r="L301" s="16" t="s">
        <v>245</v>
      </c>
      <c r="M301" s="26" t="s">
        <v>412</v>
      </c>
    </row>
    <row r="302" spans="1:13" ht="14" x14ac:dyDescent="0.2">
      <c r="A302" s="13">
        <f t="shared" si="67"/>
        <v>2021</v>
      </c>
      <c r="B302" s="13" t="str">
        <f t="shared" si="68"/>
        <v>09</v>
      </c>
      <c r="C302" s="13" t="str">
        <f t="shared" si="69"/>
        <v>13</v>
      </c>
      <c r="D302" s="16" t="str">
        <f>VLOOKUP(H302,'Names for Vlookup'!$B$26:$C$94,2,FALSE)</f>
        <v>Hyangna Bio</v>
      </c>
      <c r="E302" s="16" t="str">
        <f>VLOOKUP(I302,'Names for Vlookup'!$B$8:$C$21,2,FALSE)</f>
        <v>Deer velvet</v>
      </c>
      <c r="G302" s="16" t="str">
        <f>VLOOKUP(L302,'Names for Vlookup'!$B$101:$C$181,2,FALSE)</f>
        <v>China</v>
      </c>
      <c r="H302" s="16" t="s">
        <v>111</v>
      </c>
      <c r="I302" s="16" t="s">
        <v>62</v>
      </c>
      <c r="J302" s="16" t="s">
        <v>63</v>
      </c>
      <c r="L302" s="16" t="s">
        <v>245</v>
      </c>
      <c r="M302" s="26" t="s">
        <v>413</v>
      </c>
    </row>
    <row r="303" spans="1:13" ht="14" x14ac:dyDescent="0.2">
      <c r="A303" s="13">
        <f t="shared" si="67"/>
        <v>2021</v>
      </c>
      <c r="B303" s="13" t="str">
        <f t="shared" si="68"/>
        <v>09</v>
      </c>
      <c r="C303" s="13" t="str">
        <f t="shared" si="69"/>
        <v>06</v>
      </c>
      <c r="D303" s="16" t="str">
        <f>VLOOKUP(H303,'Names for Vlookup'!$B$26:$C$94,2,FALSE)</f>
        <v>Onnuri Bio</v>
      </c>
      <c r="E303" s="16" t="str">
        <f>VLOOKUP(I303,'Names for Vlookup'!$B$8:$C$21,2,FALSE)</f>
        <v>Deer velvet</v>
      </c>
      <c r="G303" s="16" t="str">
        <f>VLOOKUP(L303,'Names for Vlookup'!$B$101:$C$181,2,FALSE)</f>
        <v>China</v>
      </c>
      <c r="H303" s="16" t="s">
        <v>61</v>
      </c>
      <c r="I303" s="16" t="s">
        <v>62</v>
      </c>
      <c r="J303" s="16" t="s">
        <v>63</v>
      </c>
      <c r="L303" s="16" t="s">
        <v>247</v>
      </c>
      <c r="M303" s="26" t="s">
        <v>414</v>
      </c>
    </row>
    <row r="304" spans="1:13" ht="14" x14ac:dyDescent="0.2">
      <c r="A304" s="13">
        <f t="shared" si="67"/>
        <v>2021</v>
      </c>
      <c r="B304" s="13" t="str">
        <f t="shared" si="68"/>
        <v>08</v>
      </c>
      <c r="C304" s="13" t="str">
        <f t="shared" si="69"/>
        <v>31</v>
      </c>
      <c r="D304" s="16" t="str">
        <f>VLOOKUP(H304,'Names for Vlookup'!$B$26:$C$94,2,FALSE)</f>
        <v>Ee Room Pharm.</v>
      </c>
      <c r="E304" s="16" t="str">
        <f>VLOOKUP(I304,'Names for Vlookup'!$B$8:$C$21,2,FALSE)</f>
        <v>Deer velvet (dried)</v>
      </c>
      <c r="G304" s="16" t="str">
        <f>VLOOKUP(L304,'Names for Vlookup'!$B$101:$C$181,2,FALSE)</f>
        <v>China</v>
      </c>
      <c r="H304" s="16" t="s">
        <v>320</v>
      </c>
      <c r="I304" s="16" t="s">
        <v>171</v>
      </c>
      <c r="J304" s="16" t="s">
        <v>70</v>
      </c>
      <c r="L304" s="16" t="s">
        <v>247</v>
      </c>
      <c r="M304" s="26" t="s">
        <v>415</v>
      </c>
    </row>
    <row r="305" spans="1:13" ht="14" x14ac:dyDescent="0.2">
      <c r="A305" s="13">
        <f t="shared" si="67"/>
        <v>2021</v>
      </c>
      <c r="B305" s="13" t="str">
        <f t="shared" si="68"/>
        <v>08</v>
      </c>
      <c r="C305" s="13" t="str">
        <f t="shared" si="69"/>
        <v>23</v>
      </c>
      <c r="D305" s="16" t="str">
        <f>VLOOKUP(H305,'Names for Vlookup'!$B$26:$C$94,2,FALSE)</f>
        <v>Onnuri Bio</v>
      </c>
      <c r="E305" s="16" t="str">
        <f>VLOOKUP(I305,'Names for Vlookup'!$B$8:$C$21,2,FALSE)</f>
        <v>Deer velvet</v>
      </c>
      <c r="G305" s="16" t="str">
        <f>VLOOKUP(L305,'Names for Vlookup'!$B$101:$C$181,2,FALSE)</f>
        <v>Russia</v>
      </c>
      <c r="H305" s="16" t="s">
        <v>61</v>
      </c>
      <c r="I305" s="16" t="s">
        <v>62</v>
      </c>
      <c r="J305" s="16" t="s">
        <v>63</v>
      </c>
      <c r="L305" s="16" t="s">
        <v>306</v>
      </c>
      <c r="M305" s="26" t="s">
        <v>416</v>
      </c>
    </row>
    <row r="306" spans="1:13" ht="14" x14ac:dyDescent="0.2">
      <c r="A306" s="13">
        <f t="shared" si="67"/>
        <v>2021</v>
      </c>
      <c r="B306" s="13" t="str">
        <f t="shared" si="68"/>
        <v>08</v>
      </c>
      <c r="C306" s="13" t="str">
        <f t="shared" si="69"/>
        <v>23</v>
      </c>
      <c r="D306" s="16" t="str">
        <f>VLOOKUP(H306,'Names for Vlookup'!$B$26:$C$94,2,FALSE)</f>
        <v>Bibong Herb</v>
      </c>
      <c r="E306" s="16" t="str">
        <f>VLOOKUP(I306,'Names for Vlookup'!$B$8:$C$21,2,FALSE)</f>
        <v>Deer velvet (dried)</v>
      </c>
      <c r="G306" s="16" t="str">
        <f>VLOOKUP(L306,'Names for Vlookup'!$B$101:$C$181,2,FALSE)</f>
        <v>New Zealand</v>
      </c>
      <c r="H306" s="16" t="s">
        <v>135</v>
      </c>
      <c r="I306" s="16" t="s">
        <v>64</v>
      </c>
      <c r="J306" s="16" t="s">
        <v>70</v>
      </c>
      <c r="L306" s="16" t="s">
        <v>417</v>
      </c>
      <c r="M306" s="26" t="s">
        <v>416</v>
      </c>
    </row>
    <row r="307" spans="1:13" ht="14" x14ac:dyDescent="0.2">
      <c r="A307" s="13">
        <f t="shared" si="67"/>
        <v>2021</v>
      </c>
      <c r="B307" s="13" t="str">
        <f t="shared" si="68"/>
        <v>08</v>
      </c>
      <c r="C307" s="13" t="str">
        <f t="shared" si="69"/>
        <v>18</v>
      </c>
      <c r="D307" s="16" t="str">
        <f>VLOOKUP(H307,'Names for Vlookup'!$B$26:$C$94,2,FALSE)</f>
        <v>Ee Room Pharm.</v>
      </c>
      <c r="E307" s="16" t="str">
        <f>VLOOKUP(I307,'Names for Vlookup'!$B$8:$C$21,2,FALSE)</f>
        <v>Deer velvet (dried)</v>
      </c>
      <c r="G307" s="16" t="str">
        <f>VLOOKUP(L307,'Names for Vlookup'!$B$101:$C$181,2,FALSE)</f>
        <v>China</v>
      </c>
      <c r="H307" s="16" t="s">
        <v>320</v>
      </c>
      <c r="I307" s="16" t="s">
        <v>171</v>
      </c>
      <c r="J307" s="16" t="s">
        <v>70</v>
      </c>
      <c r="L307" s="16" t="s">
        <v>247</v>
      </c>
      <c r="M307" s="26" t="s">
        <v>418</v>
      </c>
    </row>
    <row r="308" spans="1:13" ht="14" x14ac:dyDescent="0.2">
      <c r="A308" s="13">
        <f t="shared" si="67"/>
        <v>2021</v>
      </c>
      <c r="B308" s="13" t="str">
        <f t="shared" si="68"/>
        <v>08</v>
      </c>
      <c r="C308" s="13" t="str">
        <f t="shared" si="69"/>
        <v>09</v>
      </c>
      <c r="D308" s="16" t="str">
        <f>VLOOKUP(H308,'Names for Vlookup'!$B$26:$C$94,2,FALSE)</f>
        <v>KGC</v>
      </c>
      <c r="E308" s="16" t="str">
        <f>VLOOKUP(I308,'Names for Vlookup'!$B$8:$C$21,2,FALSE)</f>
        <v>Deer velvet (dried)</v>
      </c>
      <c r="G308" s="16" t="str">
        <f>VLOOKUP(L308,'Names for Vlookup'!$B$101:$C$181,2,FALSE)</f>
        <v>New Zealand</v>
      </c>
      <c r="H308" s="16" t="s">
        <v>90</v>
      </c>
      <c r="I308" s="16" t="s">
        <v>171</v>
      </c>
      <c r="J308" s="16" t="s">
        <v>70</v>
      </c>
      <c r="L308" s="16" t="s">
        <v>37</v>
      </c>
      <c r="M308" s="26" t="s">
        <v>419</v>
      </c>
    </row>
    <row r="309" spans="1:13" ht="14" x14ac:dyDescent="0.2">
      <c r="A309" s="13">
        <f t="shared" si="67"/>
        <v>2021</v>
      </c>
      <c r="B309" s="13" t="str">
        <f t="shared" si="68"/>
        <v>07</v>
      </c>
      <c r="C309" s="13" t="str">
        <f t="shared" si="69"/>
        <v>20</v>
      </c>
      <c r="D309" s="16" t="str">
        <f>VLOOKUP(H309,'Names for Vlookup'!$B$26:$C$94,2,FALSE)</f>
        <v>KGC</v>
      </c>
      <c r="E309" s="16" t="str">
        <f>VLOOKUP(I309,'Names for Vlookup'!$B$8:$C$21,2,FALSE)</f>
        <v>Deer velvet (dried)</v>
      </c>
      <c r="G309" s="16" t="str">
        <f>VLOOKUP(L309,'Names for Vlookup'!$B$101:$C$181,2,FALSE)</f>
        <v>New Zealand</v>
      </c>
      <c r="H309" s="16" t="s">
        <v>90</v>
      </c>
      <c r="I309" s="16" t="s">
        <v>171</v>
      </c>
      <c r="J309" s="16" t="s">
        <v>70</v>
      </c>
      <c r="L309" s="16" t="s">
        <v>420</v>
      </c>
      <c r="M309" s="26" t="s">
        <v>421</v>
      </c>
    </row>
    <row r="310" spans="1:13" ht="14" x14ac:dyDescent="0.2">
      <c r="A310" s="13">
        <f t="shared" si="67"/>
        <v>2021</v>
      </c>
      <c r="B310" s="13" t="str">
        <f t="shared" si="68"/>
        <v>07</v>
      </c>
      <c r="C310" s="13" t="str">
        <f t="shared" si="69"/>
        <v>20</v>
      </c>
      <c r="D310" s="16" t="str">
        <f>VLOOKUP(H310,'Names for Vlookup'!$B$26:$C$94,2,FALSE)</f>
        <v>Ee Room Pharm.</v>
      </c>
      <c r="E310" s="16" t="str">
        <f>VLOOKUP(I310,'Names for Vlookup'!$B$8:$C$21,2,FALSE)</f>
        <v>Deer velvet (dried)</v>
      </c>
      <c r="G310" s="16" t="str">
        <f>VLOOKUP(L310,'Names for Vlookup'!$B$101:$C$181,2,FALSE)</f>
        <v>Russia</v>
      </c>
      <c r="H310" s="16" t="s">
        <v>320</v>
      </c>
      <c r="I310" s="16" t="s">
        <v>171</v>
      </c>
      <c r="J310" s="16" t="s">
        <v>94</v>
      </c>
      <c r="L310" s="16" t="s">
        <v>422</v>
      </c>
      <c r="M310" s="26" t="s">
        <v>421</v>
      </c>
    </row>
    <row r="311" spans="1:13" ht="14" x14ac:dyDescent="0.2">
      <c r="A311" s="13">
        <f t="shared" si="67"/>
        <v>2021</v>
      </c>
      <c r="B311" s="13" t="str">
        <f t="shared" si="68"/>
        <v>07</v>
      </c>
      <c r="C311" s="13" t="str">
        <f t="shared" si="69"/>
        <v>14</v>
      </c>
      <c r="D311" s="16" t="str">
        <f>VLOOKUP(H311,'Names for Vlookup'!$B$26:$C$94,2,FALSE)</f>
        <v>YW International</v>
      </c>
      <c r="E311" s="16" t="str">
        <f>VLOOKUP(I311,'Names for Vlookup'!$B$8:$C$21,2,FALSE)</f>
        <v>Deer velvet (frozen)</v>
      </c>
      <c r="G311" s="16" t="str">
        <f>VLOOKUP(L311,'Names for Vlookup'!$B$101:$C$181,2,FALSE)</f>
        <v>New Zealand</v>
      </c>
      <c r="H311" s="16" t="s">
        <v>88</v>
      </c>
      <c r="I311" s="16" t="s">
        <v>72</v>
      </c>
      <c r="J311" s="16" t="s">
        <v>120</v>
      </c>
      <c r="L311" s="16" t="s">
        <v>423</v>
      </c>
      <c r="M311" s="26" t="s">
        <v>424</v>
      </c>
    </row>
    <row r="312" spans="1:13" ht="14" x14ac:dyDescent="0.2">
      <c r="A312" s="13">
        <f t="shared" si="67"/>
        <v>2021</v>
      </c>
      <c r="B312" s="13" t="str">
        <f t="shared" si="68"/>
        <v>07</v>
      </c>
      <c r="C312" s="13" t="str">
        <f t="shared" si="69"/>
        <v>12</v>
      </c>
      <c r="D312" s="16" t="str">
        <f>VLOOKUP(H312,'Names for Vlookup'!$B$26:$C$94,2,FALSE)</f>
        <v>KGC</v>
      </c>
      <c r="E312" s="16" t="str">
        <f>VLOOKUP(I312,'Names for Vlookup'!$B$8:$C$21,2,FALSE)</f>
        <v>Deer velvet (dried)</v>
      </c>
      <c r="G312" s="16" t="str">
        <f>VLOOKUP(L312,'Names for Vlookup'!$B$101:$C$181,2,FALSE)</f>
        <v>New Zealand</v>
      </c>
      <c r="H312" s="16" t="s">
        <v>90</v>
      </c>
      <c r="I312" s="16" t="s">
        <v>171</v>
      </c>
      <c r="J312" s="16" t="s">
        <v>70</v>
      </c>
      <c r="L312" s="16" t="s">
        <v>37</v>
      </c>
      <c r="M312" s="26" t="s">
        <v>425</v>
      </c>
    </row>
    <row r="313" spans="1:13" ht="14" x14ac:dyDescent="0.2">
      <c r="A313" s="13">
        <f t="shared" si="67"/>
        <v>2021</v>
      </c>
      <c r="B313" s="13" t="str">
        <f t="shared" si="68"/>
        <v>06</v>
      </c>
      <c r="C313" s="13" t="str">
        <f t="shared" si="69"/>
        <v>30</v>
      </c>
      <c r="D313" s="16" t="str">
        <f>VLOOKUP(H313,'Names for Vlookup'!$B$26:$C$94,2,FALSE)</f>
        <v>Siwon Pharmaceutical</v>
      </c>
      <c r="E313" s="16" t="str">
        <f>VLOOKUP(I313,'Names for Vlookup'!$B$8:$C$21,2,FALSE)</f>
        <v>Deer velvet (frozen)</v>
      </c>
      <c r="G313" s="16" t="str">
        <f>VLOOKUP(L313,'Names for Vlookup'!$B$101:$C$181,2,FALSE)</f>
        <v>New Zealand</v>
      </c>
      <c r="H313" s="16" t="s">
        <v>303</v>
      </c>
      <c r="I313" s="16" t="s">
        <v>76</v>
      </c>
      <c r="J313" s="16" t="s">
        <v>81</v>
      </c>
      <c r="L313" s="16" t="s">
        <v>426</v>
      </c>
      <c r="M313" s="26" t="s">
        <v>427</v>
      </c>
    </row>
    <row r="314" spans="1:13" ht="14" x14ac:dyDescent="0.2">
      <c r="A314" s="13">
        <f t="shared" si="67"/>
        <v>2021</v>
      </c>
      <c r="B314" s="13" t="str">
        <f t="shared" si="68"/>
        <v>06</v>
      </c>
      <c r="C314" s="13" t="str">
        <f t="shared" si="69"/>
        <v>28</v>
      </c>
      <c r="D314" s="16" t="str">
        <f>VLOOKUP(H314,'Names for Vlookup'!$B$26:$C$94,2,FALSE)</f>
        <v>MyungGa (Mr.Lee in Daegu)</v>
      </c>
      <c r="E314" s="16" t="str">
        <f>VLOOKUP(I314,'Names for Vlookup'!$B$8:$C$21,2,FALSE)</f>
        <v>Deer velvet (frozen)</v>
      </c>
      <c r="G314" s="16" t="str">
        <f>VLOOKUP(L314,'Names for Vlookup'!$B$101:$C$181,2,FALSE)</f>
        <v>New Zealand</v>
      </c>
      <c r="H314" s="16" t="s">
        <v>208</v>
      </c>
      <c r="I314" s="16" t="s">
        <v>76</v>
      </c>
      <c r="J314" s="16" t="s">
        <v>73</v>
      </c>
      <c r="L314" s="16" t="s">
        <v>428</v>
      </c>
      <c r="M314" s="26" t="s">
        <v>429</v>
      </c>
    </row>
    <row r="315" spans="1:13" ht="14" x14ac:dyDescent="0.2">
      <c r="A315" s="13">
        <f t="shared" si="67"/>
        <v>2021</v>
      </c>
      <c r="B315" s="13" t="str">
        <f t="shared" si="68"/>
        <v>06</v>
      </c>
      <c r="C315" s="13" t="str">
        <f t="shared" si="69"/>
        <v>28</v>
      </c>
      <c r="D315" s="16" t="str">
        <f>VLOOKUP(H315,'Names for Vlookup'!$B$26:$C$94,2,FALSE)</f>
        <v>KGC</v>
      </c>
      <c r="E315" s="16" t="str">
        <f>VLOOKUP(I315,'Names for Vlookup'!$B$8:$C$21,2,FALSE)</f>
        <v>Deer velvet (dried)</v>
      </c>
      <c r="G315" s="16" t="str">
        <f>VLOOKUP(L315,'Names for Vlookup'!$B$101:$C$181,2,FALSE)</f>
        <v>New Zealand</v>
      </c>
      <c r="H315" s="16" t="s">
        <v>90</v>
      </c>
      <c r="I315" s="16" t="s">
        <v>171</v>
      </c>
      <c r="J315" s="16" t="s">
        <v>70</v>
      </c>
      <c r="L315" s="16" t="s">
        <v>420</v>
      </c>
      <c r="M315" s="26" t="s">
        <v>429</v>
      </c>
    </row>
    <row r="316" spans="1:13" ht="14" x14ac:dyDescent="0.2">
      <c r="A316" s="13">
        <f t="shared" si="67"/>
        <v>2021</v>
      </c>
      <c r="B316" s="13" t="str">
        <f t="shared" si="68"/>
        <v>06</v>
      </c>
      <c r="C316" s="13" t="str">
        <f t="shared" si="69"/>
        <v>01</v>
      </c>
      <c r="D316" s="16" t="str">
        <f>VLOOKUP(H316,'Names for Vlookup'!$B$26:$C$94,2,FALSE)</f>
        <v>KVIE (Alex, HanPure)</v>
      </c>
      <c r="E316" s="16" t="str">
        <f>VLOOKUP(I316,'Names for Vlookup'!$B$8:$C$21,2,FALSE)</f>
        <v>Deer velvet (dried)</v>
      </c>
      <c r="G316" s="16" t="str">
        <f>VLOOKUP(L316,'Names for Vlookup'!$B$101:$C$181,2,FALSE)</f>
        <v>China</v>
      </c>
      <c r="H316" s="16" t="s">
        <v>430</v>
      </c>
      <c r="I316" s="16" t="s">
        <v>64</v>
      </c>
      <c r="J316" s="16" t="s">
        <v>63</v>
      </c>
      <c r="L316" s="16" t="s">
        <v>431</v>
      </c>
      <c r="M316" s="26" t="s">
        <v>432</v>
      </c>
    </row>
    <row r="317" spans="1:13" ht="14" x14ac:dyDescent="0.2">
      <c r="A317" s="13">
        <f t="shared" si="67"/>
        <v>2021</v>
      </c>
      <c r="B317" s="13" t="str">
        <f t="shared" si="68"/>
        <v>06</v>
      </c>
      <c r="C317" s="13" t="str">
        <f t="shared" si="69"/>
        <v>01</v>
      </c>
      <c r="D317" s="16" t="str">
        <f>VLOOKUP(H317,'Names for Vlookup'!$B$26:$C$94,2,FALSE)</f>
        <v>Onnuri Bio</v>
      </c>
      <c r="E317" s="16" t="str">
        <f>VLOOKUP(I317,'Names for Vlookup'!$B$8:$C$21,2,FALSE)</f>
        <v>Deer velvet</v>
      </c>
      <c r="G317" s="16" t="str">
        <f>VLOOKUP(L317,'Names for Vlookup'!$B$101:$C$181,2,FALSE)</f>
        <v>China</v>
      </c>
      <c r="H317" s="16" t="s">
        <v>61</v>
      </c>
      <c r="I317" s="16" t="s">
        <v>62</v>
      </c>
      <c r="J317" s="16" t="s">
        <v>63</v>
      </c>
      <c r="L317" s="16" t="s">
        <v>433</v>
      </c>
      <c r="M317" s="26" t="s">
        <v>432</v>
      </c>
    </row>
    <row r="318" spans="1:13" ht="14" x14ac:dyDescent="0.2">
      <c r="A318" s="13">
        <f t="shared" si="67"/>
        <v>2021</v>
      </c>
      <c r="B318" s="13" t="str">
        <f t="shared" si="68"/>
        <v>06</v>
      </c>
      <c r="C318" s="13" t="str">
        <f t="shared" si="69"/>
        <v>01</v>
      </c>
      <c r="D318" s="16" t="str">
        <f>VLOOKUP(H318,'Names for Vlookup'!$B$26:$C$94,2,FALSE)</f>
        <v>Eryong Pharm.</v>
      </c>
      <c r="E318" s="16" t="str">
        <f>VLOOKUP(I318,'Names for Vlookup'!$B$8:$C$21,2,FALSE)</f>
        <v>Deer velvet</v>
      </c>
      <c r="G318" s="16" t="str">
        <f>VLOOKUP(L318,'Names for Vlookup'!$B$101:$C$181,2,FALSE)</f>
        <v>China</v>
      </c>
      <c r="H318" s="16" t="s">
        <v>92</v>
      </c>
      <c r="I318" s="16" t="s">
        <v>62</v>
      </c>
      <c r="J318" s="16" t="s">
        <v>63</v>
      </c>
      <c r="L318" s="16" t="s">
        <v>347</v>
      </c>
      <c r="M318" s="26" t="s">
        <v>432</v>
      </c>
    </row>
    <row r="319" spans="1:13" ht="14" x14ac:dyDescent="0.2">
      <c r="A319" s="13">
        <f t="shared" si="67"/>
        <v>2021</v>
      </c>
      <c r="B319" s="13" t="str">
        <f t="shared" si="68"/>
        <v>05</v>
      </c>
      <c r="C319" s="13" t="str">
        <f t="shared" si="69"/>
        <v>31</v>
      </c>
      <c r="D319" s="16" t="str">
        <f>VLOOKUP(H319,'Names for Vlookup'!$B$26:$C$94,2,FALSE)</f>
        <v>Yujin Trade</v>
      </c>
      <c r="E319" s="16" t="str">
        <f>VLOOKUP(I319,'Names for Vlookup'!$B$8:$C$21,2,FALSE)</f>
        <v>Deer velvet (dried)</v>
      </c>
      <c r="G319" s="16" t="str">
        <f>VLOOKUP(L319,'Names for Vlookup'!$B$101:$C$181,2,FALSE)</f>
        <v>Russia</v>
      </c>
      <c r="H319" s="16" t="s">
        <v>91</v>
      </c>
      <c r="I319" s="16" t="s">
        <v>171</v>
      </c>
      <c r="J319" s="16" t="s">
        <v>63</v>
      </c>
      <c r="L319" s="16" t="s">
        <v>434</v>
      </c>
      <c r="M319" s="26" t="s">
        <v>435</v>
      </c>
    </row>
    <row r="320" spans="1:13" ht="14" x14ac:dyDescent="0.2">
      <c r="A320" s="13">
        <f t="shared" si="67"/>
        <v>2021</v>
      </c>
      <c r="B320" s="13" t="str">
        <f t="shared" si="68"/>
        <v>05</v>
      </c>
      <c r="C320" s="13" t="str">
        <f t="shared" si="69"/>
        <v>26</v>
      </c>
      <c r="D320" s="16" t="str">
        <f>VLOOKUP(H320,'Names for Vlookup'!$B$26:$C$94,2,FALSE)</f>
        <v>KGC</v>
      </c>
      <c r="E320" s="16" t="str">
        <f>VLOOKUP(I320,'Names for Vlookup'!$B$8:$C$21,2,FALSE)</f>
        <v>Deer velvet (dried)</v>
      </c>
      <c r="G320" s="16" t="str">
        <f>VLOOKUP(L320,'Names for Vlookup'!$B$101:$C$181,2,FALSE)</f>
        <v>New Zealand</v>
      </c>
      <c r="H320" s="16" t="s">
        <v>90</v>
      </c>
      <c r="I320" s="16" t="s">
        <v>171</v>
      </c>
      <c r="J320" s="16" t="s">
        <v>70</v>
      </c>
      <c r="L320" s="16" t="s">
        <v>37</v>
      </c>
      <c r="M320" s="26" t="s">
        <v>436</v>
      </c>
    </row>
    <row r="321" spans="1:13" ht="14" x14ac:dyDescent="0.2">
      <c r="A321" s="13">
        <f t="shared" si="67"/>
        <v>2021</v>
      </c>
      <c r="B321" s="13" t="str">
        <f t="shared" si="68"/>
        <v>05</v>
      </c>
      <c r="C321" s="13" t="str">
        <f t="shared" si="69"/>
        <v>26</v>
      </c>
      <c r="D321" s="16" t="str">
        <f>VLOOKUP(H321,'Names for Vlookup'!$B$26:$C$94,2,FALSE)</f>
        <v>KGC</v>
      </c>
      <c r="E321" s="16" t="str">
        <f>VLOOKUP(I321,'Names for Vlookup'!$B$8:$C$21,2,FALSE)</f>
        <v>Deer velvet (dried)</v>
      </c>
      <c r="G321" s="16" t="str">
        <f>VLOOKUP(L321,'Names for Vlookup'!$B$101:$C$181,2,FALSE)</f>
        <v>New Zealand</v>
      </c>
      <c r="H321" s="16" t="s">
        <v>90</v>
      </c>
      <c r="I321" s="16" t="s">
        <v>64</v>
      </c>
      <c r="J321" s="16" t="s">
        <v>70</v>
      </c>
      <c r="L321" s="16" t="s">
        <v>420</v>
      </c>
      <c r="M321" s="26" t="s">
        <v>436</v>
      </c>
    </row>
    <row r="322" spans="1:13" ht="14" x14ac:dyDescent="0.2">
      <c r="A322" s="13">
        <f t="shared" si="67"/>
        <v>2021</v>
      </c>
      <c r="B322" s="13" t="str">
        <f t="shared" si="68"/>
        <v>05</v>
      </c>
      <c r="C322" s="13" t="str">
        <f t="shared" si="69"/>
        <v>18</v>
      </c>
      <c r="D322" s="16" t="str">
        <f>VLOOKUP(H322,'Names for Vlookup'!$B$26:$C$94,2,FALSE)</f>
        <v>YW International</v>
      </c>
      <c r="E322" s="16" t="str">
        <f>VLOOKUP(I322,'Names for Vlookup'!$B$8:$C$21,2,FALSE)</f>
        <v>Deer velvet (frozen)</v>
      </c>
      <c r="G322" s="16" t="str">
        <f>VLOOKUP(L322,'Names for Vlookup'!$B$101:$C$181,2,FALSE)</f>
        <v>New Zealand</v>
      </c>
      <c r="H322" s="16" t="s">
        <v>88</v>
      </c>
      <c r="I322" s="16" t="s">
        <v>72</v>
      </c>
      <c r="J322" s="16" t="s">
        <v>120</v>
      </c>
      <c r="L322" s="16" t="s">
        <v>423</v>
      </c>
      <c r="M322" s="26" t="s">
        <v>437</v>
      </c>
    </row>
    <row r="323" spans="1:13" ht="14" x14ac:dyDescent="0.2">
      <c r="A323" s="13">
        <f t="shared" si="67"/>
        <v>2021</v>
      </c>
      <c r="B323" s="13" t="str">
        <f t="shared" si="68"/>
        <v>05</v>
      </c>
      <c r="C323" s="13" t="str">
        <f t="shared" si="69"/>
        <v>14</v>
      </c>
      <c r="D323" s="16" t="str">
        <f>VLOOKUP(H323,'Names for Vlookup'!$B$26:$C$94,2,FALSE)</f>
        <v>Ee Room Pharm.</v>
      </c>
      <c r="E323" s="16" t="str">
        <f>VLOOKUP(I323,'Names for Vlookup'!$B$8:$C$21,2,FALSE)</f>
        <v>Deer velvet (dried)</v>
      </c>
      <c r="G323" s="16" t="str">
        <f>VLOOKUP(L323,'Names for Vlookup'!$B$101:$C$181,2,FALSE)</f>
        <v>New Zealand</v>
      </c>
      <c r="H323" s="16" t="s">
        <v>320</v>
      </c>
      <c r="I323" s="16" t="s">
        <v>171</v>
      </c>
      <c r="J323" s="16" t="s">
        <v>70</v>
      </c>
      <c r="L323" s="16" t="s">
        <v>242</v>
      </c>
      <c r="M323" s="26" t="s">
        <v>438</v>
      </c>
    </row>
    <row r="324" spans="1:13" ht="14" x14ac:dyDescent="0.2">
      <c r="A324" s="13">
        <f t="shared" si="67"/>
        <v>2021</v>
      </c>
      <c r="B324" s="13" t="str">
        <f t="shared" si="68"/>
        <v>04</v>
      </c>
      <c r="C324" s="13" t="str">
        <f t="shared" si="69"/>
        <v>29</v>
      </c>
      <c r="D324" s="16" t="str">
        <f>VLOOKUP(H324,'Names for Vlookup'!$B$26:$C$94,2,FALSE)</f>
        <v>Geonhyang Pharm.</v>
      </c>
      <c r="E324" s="16" t="str">
        <f>VLOOKUP(I324,'Names for Vlookup'!$B$8:$C$21,2,FALSE)</f>
        <v>Deer velvet (dried)</v>
      </c>
      <c r="G324" s="16" t="str">
        <f>VLOOKUP(L324,'Names for Vlookup'!$B$101:$C$181,2,FALSE)</f>
        <v>Russia</v>
      </c>
      <c r="H324" s="16" t="s">
        <v>93</v>
      </c>
      <c r="I324" s="16" t="s">
        <v>64</v>
      </c>
      <c r="J324" s="16" t="s">
        <v>200</v>
      </c>
      <c r="L324" s="16" t="s">
        <v>439</v>
      </c>
      <c r="M324" s="26" t="s">
        <v>440</v>
      </c>
    </row>
    <row r="325" spans="1:13" ht="14" x14ac:dyDescent="0.2">
      <c r="A325" s="13">
        <f t="shared" si="67"/>
        <v>2021</v>
      </c>
      <c r="B325" s="13" t="str">
        <f t="shared" si="68"/>
        <v>04</v>
      </c>
      <c r="C325" s="13" t="str">
        <f t="shared" si="69"/>
        <v>29</v>
      </c>
      <c r="D325" s="16" t="str">
        <f>VLOOKUP(H325,'Names for Vlookup'!$B$26:$C$94,2,FALSE)</f>
        <v>KGC</v>
      </c>
      <c r="E325" s="16" t="str">
        <f>VLOOKUP(I325,'Names for Vlookup'!$B$8:$C$21,2,FALSE)</f>
        <v>Deer velvet (dried)</v>
      </c>
      <c r="G325" s="16" t="str">
        <f>VLOOKUP(L325,'Names for Vlookup'!$B$101:$C$181,2,FALSE)</f>
        <v>New Zealand</v>
      </c>
      <c r="H325" s="16" t="s">
        <v>90</v>
      </c>
      <c r="I325" s="16" t="s">
        <v>64</v>
      </c>
      <c r="J325" s="16" t="s">
        <v>70</v>
      </c>
      <c r="L325" s="16" t="s">
        <v>420</v>
      </c>
      <c r="M325" s="26" t="s">
        <v>440</v>
      </c>
    </row>
    <row r="326" spans="1:13" ht="14" x14ac:dyDescent="0.2">
      <c r="A326" s="13">
        <f t="shared" si="67"/>
        <v>2021</v>
      </c>
      <c r="B326" s="13" t="str">
        <f t="shared" si="68"/>
        <v>04</v>
      </c>
      <c r="C326" s="13" t="str">
        <f t="shared" si="69"/>
        <v>09</v>
      </c>
      <c r="D326" s="16" t="str">
        <f>VLOOKUP(H326,'Names for Vlookup'!$B$26:$C$94,2,FALSE)</f>
        <v>KGC</v>
      </c>
      <c r="E326" s="16" t="str">
        <f>VLOOKUP(I326,'Names for Vlookup'!$B$8:$C$21,2,FALSE)</f>
        <v>Deer velvet (dried)</v>
      </c>
      <c r="G326" s="16" t="str">
        <f>VLOOKUP(L326,'Names for Vlookup'!$B$101:$C$181,2,FALSE)</f>
        <v>New Zealand</v>
      </c>
      <c r="H326" s="16" t="s">
        <v>90</v>
      </c>
      <c r="I326" s="16" t="s">
        <v>171</v>
      </c>
      <c r="J326" s="16" t="s">
        <v>70</v>
      </c>
      <c r="L326" s="16" t="s">
        <v>37</v>
      </c>
      <c r="M326" s="26" t="s">
        <v>441</v>
      </c>
    </row>
    <row r="327" spans="1:13" ht="14" x14ac:dyDescent="0.2">
      <c r="A327" s="13">
        <f t="shared" si="67"/>
        <v>2021</v>
      </c>
      <c r="B327" s="13" t="str">
        <f t="shared" si="68"/>
        <v>04</v>
      </c>
      <c r="C327" s="13" t="str">
        <f t="shared" si="69"/>
        <v>06</v>
      </c>
      <c r="D327" s="16" t="str">
        <f>VLOOKUP(H327,'Names for Vlookup'!$B$26:$C$94,2,FALSE)</f>
        <v>Bio Dot (Han Dong Herb)</v>
      </c>
      <c r="E327" s="16" t="str">
        <f>VLOOKUP(I327,'Names for Vlookup'!$B$8:$C$21,2,FALSE)</f>
        <v>Deer velvet (frozen)</v>
      </c>
      <c r="G327" s="16" t="str">
        <f>VLOOKUP(L327,'Names for Vlookup'!$B$101:$C$181,2,FALSE)</f>
        <v>New Zealand</v>
      </c>
      <c r="H327" s="16" t="s">
        <v>86</v>
      </c>
      <c r="I327" s="16" t="s">
        <v>76</v>
      </c>
      <c r="J327" s="16" t="s">
        <v>73</v>
      </c>
      <c r="L327" s="16" t="s">
        <v>442</v>
      </c>
      <c r="M327" s="26" t="s">
        <v>443</v>
      </c>
    </row>
    <row r="328" spans="1:13" ht="14" x14ac:dyDescent="0.2">
      <c r="A328" s="13">
        <f t="shared" si="67"/>
        <v>2021</v>
      </c>
      <c r="B328" s="13" t="str">
        <f t="shared" si="68"/>
        <v>03</v>
      </c>
      <c r="C328" s="13" t="str">
        <f t="shared" si="69"/>
        <v>30</v>
      </c>
      <c r="D328" s="16" t="str">
        <f>VLOOKUP(H328,'Names for Vlookup'!$B$26:$C$94,2,FALSE)</f>
        <v xml:space="preserve">WooSung (Mr Bang) </v>
      </c>
      <c r="E328" s="16" t="str">
        <f>VLOOKUP(I328,'Names for Vlookup'!$B$8:$C$21,2,FALSE)</f>
        <v>Deer velvet (dried)</v>
      </c>
      <c r="G328" s="16" t="str">
        <f>VLOOKUP(L328,'Names for Vlookup'!$B$101:$C$181,2,FALSE)</f>
        <v>China</v>
      </c>
      <c r="H328" s="16" t="s">
        <v>69</v>
      </c>
      <c r="I328" s="16" t="s">
        <v>64</v>
      </c>
      <c r="J328" s="16" t="s">
        <v>70</v>
      </c>
      <c r="L328" s="16" t="s">
        <v>431</v>
      </c>
      <c r="M328" s="26" t="s">
        <v>444</v>
      </c>
    </row>
    <row r="329" spans="1:13" ht="14" x14ac:dyDescent="0.2">
      <c r="A329" s="13">
        <f t="shared" si="67"/>
        <v>2021</v>
      </c>
      <c r="B329" s="13" t="str">
        <f t="shared" si="68"/>
        <v>03</v>
      </c>
      <c r="C329" s="13" t="str">
        <f t="shared" si="69"/>
        <v>26</v>
      </c>
      <c r="D329" s="16" t="str">
        <f>VLOOKUP(H329,'Names for Vlookup'!$B$26:$C$94,2,FALSE)</f>
        <v>KNC Deertrade</v>
      </c>
      <c r="E329" s="16" t="str">
        <f>VLOOKUP(I329,'Names for Vlookup'!$B$8:$C$21,2,FALSE)</f>
        <v>Deer velvet (dried)</v>
      </c>
      <c r="G329" s="16" t="str">
        <f>VLOOKUP(L329,'Names for Vlookup'!$B$101:$C$181,2,FALSE)</f>
        <v>Russia</v>
      </c>
      <c r="H329" s="16" t="s">
        <v>75</v>
      </c>
      <c r="I329" s="16" t="s">
        <v>64</v>
      </c>
      <c r="J329" s="16" t="s">
        <v>445</v>
      </c>
      <c r="L329" s="16" t="s">
        <v>42</v>
      </c>
      <c r="M329" s="26" t="s">
        <v>446</v>
      </c>
    </row>
    <row r="330" spans="1:13" ht="14" x14ac:dyDescent="0.2">
      <c r="A330" s="13">
        <f t="shared" si="67"/>
        <v>2021</v>
      </c>
      <c r="B330" s="13" t="str">
        <f t="shared" si="68"/>
        <v>03</v>
      </c>
      <c r="C330" s="13" t="str">
        <f t="shared" si="69"/>
        <v>24</v>
      </c>
      <c r="D330" s="16" t="str">
        <f>VLOOKUP(H330,'Names for Vlookup'!$B$26:$C$94,2,FALSE)</f>
        <v>Chunho N Care</v>
      </c>
      <c r="E330" s="16" t="str">
        <f>VLOOKUP(I330,'Names for Vlookup'!$B$8:$C$21,2,FALSE)</f>
        <v>Deer velvet (dried)</v>
      </c>
      <c r="G330" s="16" t="str">
        <f>VLOOKUP(L330,'Names for Vlookup'!$B$101:$C$181,2,FALSE)</f>
        <v>New Zealand</v>
      </c>
      <c r="H330" s="16" t="s">
        <v>128</v>
      </c>
      <c r="I330" s="16" t="s">
        <v>171</v>
      </c>
      <c r="J330" s="16" t="s">
        <v>70</v>
      </c>
      <c r="L330" s="16" t="s">
        <v>417</v>
      </c>
      <c r="M330" s="26" t="s">
        <v>447</v>
      </c>
    </row>
    <row r="331" spans="1:13" ht="14" x14ac:dyDescent="0.2">
      <c r="A331" s="13">
        <f t="shared" si="67"/>
        <v>2021</v>
      </c>
      <c r="B331" s="13" t="str">
        <f t="shared" si="68"/>
        <v>03</v>
      </c>
      <c r="C331" s="13" t="str">
        <f t="shared" si="69"/>
        <v>17</v>
      </c>
      <c r="D331" s="16" t="str">
        <f>VLOOKUP(H331,'Names for Vlookup'!$B$26:$C$94,2,FALSE)</f>
        <v>KGC</v>
      </c>
      <c r="E331" s="16" t="str">
        <f>VLOOKUP(I331,'Names for Vlookup'!$B$8:$C$21,2,FALSE)</f>
        <v>Deer velvet (dried)</v>
      </c>
      <c r="G331" s="16" t="str">
        <f>VLOOKUP(L331,'Names for Vlookup'!$B$101:$C$181,2,FALSE)</f>
        <v>New Zealand</v>
      </c>
      <c r="H331" s="16" t="s">
        <v>90</v>
      </c>
      <c r="I331" s="16" t="s">
        <v>171</v>
      </c>
      <c r="J331" s="16" t="s">
        <v>70</v>
      </c>
      <c r="L331" s="16" t="s">
        <v>37</v>
      </c>
      <c r="M331" s="26" t="s">
        <v>448</v>
      </c>
    </row>
    <row r="332" spans="1:13" ht="14" x14ac:dyDescent="0.2">
      <c r="A332" s="13">
        <f t="shared" si="67"/>
        <v>2021</v>
      </c>
      <c r="B332" s="13" t="str">
        <f t="shared" si="68"/>
        <v>02</v>
      </c>
      <c r="C332" s="13" t="str">
        <f t="shared" si="69"/>
        <v>25</v>
      </c>
      <c r="D332" s="16" t="str">
        <f>VLOOKUP(H332,'Names for Vlookup'!$B$26:$C$94,2,FALSE)</f>
        <v>HwaYong Pharm.</v>
      </c>
      <c r="E332" s="16" t="str">
        <f>VLOOKUP(I332,'Names for Vlookup'!$B$8:$C$21,2,FALSE)</f>
        <v>Deer velvet (frozen)</v>
      </c>
      <c r="G332" s="16" t="str">
        <f>VLOOKUP(L332,'Names for Vlookup'!$B$101:$C$181,2,FALSE)</f>
        <v>New Zealand</v>
      </c>
      <c r="H332" s="16" t="s">
        <v>80</v>
      </c>
      <c r="I332" s="16" t="s">
        <v>74</v>
      </c>
      <c r="J332" s="16" t="s">
        <v>81</v>
      </c>
      <c r="L332" s="16" t="s">
        <v>442</v>
      </c>
      <c r="M332" s="26" t="s">
        <v>449</v>
      </c>
    </row>
    <row r="333" spans="1:13" ht="14" x14ac:dyDescent="0.2">
      <c r="A333" s="13">
        <f t="shared" si="67"/>
        <v>2021</v>
      </c>
      <c r="B333" s="13" t="str">
        <f t="shared" si="68"/>
        <v>02</v>
      </c>
      <c r="C333" s="13" t="str">
        <f t="shared" si="69"/>
        <v>24</v>
      </c>
      <c r="D333" s="16" t="str">
        <f>VLOOKUP(H333,'Names for Vlookup'!$B$26:$C$94,2,FALSE)</f>
        <v>Hannature</v>
      </c>
      <c r="E333" s="16" t="str">
        <f>VLOOKUP(I333,'Names for Vlookup'!$B$8:$C$21,2,FALSE)</f>
        <v>Deer velvet</v>
      </c>
      <c r="G333" s="16" t="str">
        <f>VLOOKUP(L333,'Names for Vlookup'!$B$101:$C$181,2,FALSE)</f>
        <v>Russia</v>
      </c>
      <c r="H333" s="16" t="s">
        <v>450</v>
      </c>
      <c r="I333" s="16" t="s">
        <v>62</v>
      </c>
      <c r="J333" s="16" t="s">
        <v>63</v>
      </c>
      <c r="L333" s="16" t="s">
        <v>451</v>
      </c>
      <c r="M333" s="26" t="s">
        <v>452</v>
      </c>
    </row>
    <row r="334" spans="1:13" ht="14" x14ac:dyDescent="0.2">
      <c r="A334" s="13">
        <f t="shared" si="67"/>
        <v>2021</v>
      </c>
      <c r="B334" s="13" t="str">
        <f t="shared" si="68"/>
        <v>02</v>
      </c>
      <c r="C334" s="13" t="str">
        <f t="shared" si="69"/>
        <v>16</v>
      </c>
      <c r="D334" s="16" t="str">
        <f>VLOOKUP(H334,'Names for Vlookup'!$B$26:$C$94,2,FALSE)</f>
        <v>KNC Deertrade</v>
      </c>
      <c r="E334" s="16" t="str">
        <f>VLOOKUP(I334,'Names for Vlookup'!$B$8:$C$21,2,FALSE)</f>
        <v>Deer velvet (frozen)</v>
      </c>
      <c r="G334" s="16" t="str">
        <f>VLOOKUP(L334,'Names for Vlookup'!$B$101:$C$181,2,FALSE)</f>
        <v>New Zealand</v>
      </c>
      <c r="H334" s="16" t="s">
        <v>75</v>
      </c>
      <c r="I334" s="16" t="s">
        <v>76</v>
      </c>
      <c r="J334" s="16" t="s">
        <v>73</v>
      </c>
      <c r="L334" s="16" t="s">
        <v>453</v>
      </c>
      <c r="M334" s="26" t="s">
        <v>454</v>
      </c>
    </row>
    <row r="335" spans="1:13" ht="14" x14ac:dyDescent="0.2">
      <c r="A335" s="13">
        <f t="shared" si="67"/>
        <v>2021</v>
      </c>
      <c r="B335" s="13" t="str">
        <f t="shared" si="68"/>
        <v>02</v>
      </c>
      <c r="C335" s="13" t="str">
        <f t="shared" si="69"/>
        <v>02</v>
      </c>
      <c r="D335" s="16" t="str">
        <f>VLOOKUP(H335,'Names for Vlookup'!$B$26:$C$94,2,FALSE)</f>
        <v>Handong Herb</v>
      </c>
      <c r="E335" s="16" t="str">
        <f>VLOOKUP(I335,'Names for Vlookup'!$B$8:$C$21,2,FALSE)</f>
        <v>Deer velvet (frozen)</v>
      </c>
      <c r="G335" s="16" t="str">
        <f>VLOOKUP(L335,'Names for Vlookup'!$B$101:$C$181,2,FALSE)</f>
        <v>New Zealand</v>
      </c>
      <c r="H335" s="16" t="s">
        <v>455</v>
      </c>
      <c r="I335" s="16" t="s">
        <v>74</v>
      </c>
      <c r="J335" s="16" t="s">
        <v>73</v>
      </c>
      <c r="L335" s="16" t="s">
        <v>456</v>
      </c>
      <c r="M335" s="26" t="s">
        <v>457</v>
      </c>
    </row>
    <row r="336" spans="1:13" ht="14" x14ac:dyDescent="0.2">
      <c r="A336" s="13">
        <f t="shared" ref="A336:A399" si="70">YEAR(M336)</f>
        <v>2021</v>
      </c>
      <c r="B336" s="13" t="str">
        <f t="shared" ref="B336:B399" si="71">TEXT(M336,"mm")</f>
        <v>02</v>
      </c>
      <c r="C336" s="13" t="str">
        <f t="shared" ref="C336:C399" si="72">TEXT(M336,"dd")</f>
        <v>01</v>
      </c>
      <c r="D336" s="16" t="str">
        <f>VLOOKUP(H336,'Names for Vlookup'!$B$26:$C$94,2,FALSE)</f>
        <v>Heungsoo Nogyong</v>
      </c>
      <c r="E336" s="16" t="str">
        <f>VLOOKUP(I336,'Names for Vlookup'!$B$8:$C$21,2,FALSE)</f>
        <v>Deer velvet (dried)</v>
      </c>
      <c r="G336" s="16" t="str">
        <f>VLOOKUP(L336,'Names for Vlookup'!$B$101:$C$181,2,FALSE)</f>
        <v>Russia</v>
      </c>
      <c r="H336" s="16" t="s">
        <v>104</v>
      </c>
      <c r="I336" s="16" t="s">
        <v>64</v>
      </c>
      <c r="J336" s="16" t="s">
        <v>94</v>
      </c>
      <c r="L336" s="16" t="s">
        <v>179</v>
      </c>
      <c r="M336" s="26" t="s">
        <v>458</v>
      </c>
    </row>
    <row r="337" spans="1:13" ht="14" x14ac:dyDescent="0.2">
      <c r="A337" s="13">
        <f t="shared" si="70"/>
        <v>2021</v>
      </c>
      <c r="B337" s="13" t="str">
        <f t="shared" si="71"/>
        <v>01</v>
      </c>
      <c r="C337" s="13" t="str">
        <f t="shared" si="72"/>
        <v>27</v>
      </c>
      <c r="D337" s="16" t="str">
        <f>VLOOKUP(H337,'Names for Vlookup'!$B$26:$C$94,2,FALSE)</f>
        <v>Jinsoo Deer Co., Ltd.</v>
      </c>
      <c r="E337" s="16" t="str">
        <f>VLOOKUP(I337,'Names for Vlookup'!$B$8:$C$21,2,FALSE)</f>
        <v>Deer velvet (dried)</v>
      </c>
      <c r="G337" s="16" t="str">
        <f>VLOOKUP(L337,'Names for Vlookup'!$B$101:$C$181,2,FALSE)</f>
        <v>New Zealand</v>
      </c>
      <c r="H337" s="16" t="s">
        <v>163</v>
      </c>
      <c r="I337" s="16" t="s">
        <v>64</v>
      </c>
      <c r="J337" s="16" t="s">
        <v>70</v>
      </c>
      <c r="L337" s="16" t="s">
        <v>37</v>
      </c>
      <c r="M337" s="26" t="s">
        <v>459</v>
      </c>
    </row>
    <row r="338" spans="1:13" ht="14" x14ac:dyDescent="0.2">
      <c r="A338" s="13">
        <f t="shared" si="70"/>
        <v>2021</v>
      </c>
      <c r="B338" s="13" t="str">
        <f t="shared" si="71"/>
        <v>01</v>
      </c>
      <c r="C338" s="13" t="str">
        <f t="shared" si="72"/>
        <v>26</v>
      </c>
      <c r="D338" s="16" t="str">
        <f>VLOOKUP(H338,'Names for Vlookup'!$B$26:$C$94,2,FALSE)</f>
        <v>HwaYong Pharm.</v>
      </c>
      <c r="E338" s="16" t="str">
        <f>VLOOKUP(I338,'Names for Vlookup'!$B$8:$C$21,2,FALSE)</f>
        <v>Deer velvet (frozen)</v>
      </c>
      <c r="G338" s="16" t="str">
        <f>VLOOKUP(L338,'Names for Vlookup'!$B$101:$C$181,2,FALSE)</f>
        <v>New Zealand</v>
      </c>
      <c r="H338" s="16" t="s">
        <v>80</v>
      </c>
      <c r="I338" s="16" t="s">
        <v>74</v>
      </c>
      <c r="J338" s="16" t="s">
        <v>81</v>
      </c>
      <c r="L338" s="16" t="s">
        <v>442</v>
      </c>
      <c r="M338" s="26" t="s">
        <v>460</v>
      </c>
    </row>
    <row r="339" spans="1:13" ht="14" x14ac:dyDescent="0.2">
      <c r="A339" s="13">
        <f t="shared" si="70"/>
        <v>2021</v>
      </c>
      <c r="B339" s="13" t="str">
        <f t="shared" si="71"/>
        <v>01</v>
      </c>
      <c r="C339" s="13" t="str">
        <f t="shared" si="72"/>
        <v>22</v>
      </c>
      <c r="D339" s="16" t="str">
        <f>VLOOKUP(H339,'Names for Vlookup'!$B$26:$C$94,2,FALSE)</f>
        <v>SamBo (Mr. Kang in Busan)</v>
      </c>
      <c r="E339" s="16" t="str">
        <f>VLOOKUP(I339,'Names for Vlookup'!$B$8:$C$21,2,FALSE)</f>
        <v>Deer velvet (frozen)</v>
      </c>
      <c r="G339" s="16" t="str">
        <f>VLOOKUP(L339,'Names for Vlookup'!$B$101:$C$181,2,FALSE)</f>
        <v>New Zealand</v>
      </c>
      <c r="H339" s="16" t="s">
        <v>344</v>
      </c>
      <c r="I339" s="16" t="s">
        <v>76</v>
      </c>
      <c r="J339" s="16" t="s">
        <v>73</v>
      </c>
      <c r="L339" s="16" t="s">
        <v>442</v>
      </c>
      <c r="M339" s="26" t="s">
        <v>461</v>
      </c>
    </row>
    <row r="340" spans="1:13" ht="14" x14ac:dyDescent="0.2">
      <c r="A340" s="13">
        <f t="shared" si="70"/>
        <v>2021</v>
      </c>
      <c r="B340" s="13" t="str">
        <f t="shared" si="71"/>
        <v>01</v>
      </c>
      <c r="C340" s="13" t="str">
        <f t="shared" si="72"/>
        <v>22</v>
      </c>
      <c r="D340" s="16" t="str">
        <f>VLOOKUP(H340,'Names for Vlookup'!$B$26:$C$94,2,FALSE)</f>
        <v>Onnuri Bio</v>
      </c>
      <c r="E340" s="16" t="str">
        <f>VLOOKUP(I340,'Names for Vlookup'!$B$8:$C$21,2,FALSE)</f>
        <v>Deer velvet</v>
      </c>
      <c r="G340" s="16" t="str">
        <f>VLOOKUP(L340,'Names for Vlookup'!$B$101:$C$181,2,FALSE)</f>
        <v>New Zealand</v>
      </c>
      <c r="H340" s="16" t="s">
        <v>61</v>
      </c>
      <c r="I340" s="16" t="s">
        <v>62</v>
      </c>
      <c r="J340" s="16" t="s">
        <v>63</v>
      </c>
      <c r="L340" s="16" t="s">
        <v>442</v>
      </c>
      <c r="M340" s="26" t="s">
        <v>461</v>
      </c>
    </row>
    <row r="341" spans="1:13" ht="14" x14ac:dyDescent="0.2">
      <c r="A341" s="13">
        <f t="shared" si="70"/>
        <v>2021</v>
      </c>
      <c r="B341" s="13" t="str">
        <f t="shared" si="71"/>
        <v>01</v>
      </c>
      <c r="C341" s="13" t="str">
        <f t="shared" si="72"/>
        <v>05</v>
      </c>
      <c r="D341" s="16" t="str">
        <f>VLOOKUP(H341,'Names for Vlookup'!$B$26:$C$94,2,FALSE)</f>
        <v>DaeWon RTD</v>
      </c>
      <c r="E341" s="16" t="str">
        <f>VLOOKUP(I341,'Names for Vlookup'!$B$8:$C$21,2,FALSE)</f>
        <v>Deer velvet (dried)</v>
      </c>
      <c r="G341" s="16" t="str">
        <f>VLOOKUP(L341,'Names for Vlookup'!$B$101:$C$181,2,FALSE)</f>
        <v>Russia</v>
      </c>
      <c r="H341" s="16" t="s">
        <v>102</v>
      </c>
      <c r="I341" s="16" t="s">
        <v>64</v>
      </c>
      <c r="J341" s="16" t="s">
        <v>94</v>
      </c>
      <c r="L341" s="16" t="s">
        <v>462</v>
      </c>
      <c r="M341" s="26" t="s">
        <v>463</v>
      </c>
    </row>
    <row r="342" spans="1:13" ht="14" x14ac:dyDescent="0.2">
      <c r="A342" s="13">
        <f t="shared" si="70"/>
        <v>2021</v>
      </c>
      <c r="B342" s="13" t="str">
        <f t="shared" si="71"/>
        <v>01</v>
      </c>
      <c r="C342" s="13" t="str">
        <f t="shared" si="72"/>
        <v>04</v>
      </c>
      <c r="D342" s="16" t="str">
        <f>VLOOKUP(H342,'Names for Vlookup'!$B$26:$C$94,2,FALSE)</f>
        <v xml:space="preserve">JoEun Pharm </v>
      </c>
      <c r="E342" s="16" t="str">
        <f>VLOOKUP(I342,'Names for Vlookup'!$B$8:$C$21,2,FALSE)</f>
        <v>Deer velvet</v>
      </c>
      <c r="G342" s="16" t="str">
        <f>VLOOKUP(L342,'Names for Vlookup'!$B$101:$C$181,2,FALSE)</f>
        <v>Russia</v>
      </c>
      <c r="H342" s="16" t="s">
        <v>99</v>
      </c>
      <c r="I342" s="16" t="s">
        <v>62</v>
      </c>
      <c r="J342" s="16" t="s">
        <v>63</v>
      </c>
      <c r="L342" s="16" t="s">
        <v>422</v>
      </c>
      <c r="M342" s="26" t="s">
        <v>464</v>
      </c>
    </row>
    <row r="343" spans="1:13" ht="14" x14ac:dyDescent="0.2">
      <c r="A343" s="13">
        <f t="shared" si="70"/>
        <v>2020</v>
      </c>
      <c r="B343" s="13" t="str">
        <f t="shared" si="71"/>
        <v>12</v>
      </c>
      <c r="C343" s="13" t="str">
        <f t="shared" si="72"/>
        <v>17</v>
      </c>
      <c r="D343" s="16" t="str">
        <f>VLOOKUP(H343,'Names for Vlookup'!$B$26:$C$94,2,FALSE)</f>
        <v>Yujin Trade</v>
      </c>
      <c r="E343" s="16" t="str">
        <f>VLOOKUP(I343,'Names for Vlookup'!$B$8:$C$21,2,FALSE)</f>
        <v>Deer velvet (dried)</v>
      </c>
      <c r="G343" s="16" t="str">
        <f>VLOOKUP(L343,'Names for Vlookup'!$B$101:$C$181,2,FALSE)</f>
        <v>Russia</v>
      </c>
      <c r="H343" s="16" t="s">
        <v>91</v>
      </c>
      <c r="I343" s="16" t="s">
        <v>171</v>
      </c>
      <c r="J343" s="16" t="s">
        <v>63</v>
      </c>
      <c r="L343" s="16" t="s">
        <v>434</v>
      </c>
      <c r="M343" s="26" t="s">
        <v>465</v>
      </c>
    </row>
    <row r="344" spans="1:13" ht="14" x14ac:dyDescent="0.2">
      <c r="A344" s="13">
        <f t="shared" si="70"/>
        <v>2020</v>
      </c>
      <c r="B344" s="13" t="str">
        <f t="shared" si="71"/>
        <v>12</v>
      </c>
      <c r="C344" s="13" t="str">
        <f t="shared" si="72"/>
        <v>09</v>
      </c>
      <c r="D344" s="16" t="str">
        <f>VLOOKUP(H344,'Names for Vlookup'!$B$26:$C$94,2,FALSE)</f>
        <v>Jinka Food</v>
      </c>
      <c r="E344" s="16" t="str">
        <f>VLOOKUP(I344,'Names for Vlookup'!$B$8:$C$21,2,FALSE)</f>
        <v>Deer velvet (frozen)</v>
      </c>
      <c r="G344" s="16" t="str">
        <f>VLOOKUP(L344,'Names for Vlookup'!$B$101:$C$181,2,FALSE)</f>
        <v>New Zealand</v>
      </c>
      <c r="H344" s="16" t="s">
        <v>466</v>
      </c>
      <c r="I344" s="16" t="s">
        <v>74</v>
      </c>
      <c r="J344" s="16" t="s">
        <v>73</v>
      </c>
      <c r="L344" s="16" t="s">
        <v>442</v>
      </c>
      <c r="M344" s="26" t="s">
        <v>467</v>
      </c>
    </row>
    <row r="345" spans="1:13" ht="14" x14ac:dyDescent="0.2">
      <c r="A345" s="13">
        <f t="shared" si="70"/>
        <v>2020</v>
      </c>
      <c r="B345" s="13" t="str">
        <f t="shared" si="71"/>
        <v>12</v>
      </c>
      <c r="C345" s="13" t="str">
        <f t="shared" si="72"/>
        <v>09</v>
      </c>
      <c r="D345" s="16" t="str">
        <f>VLOOKUP(H345,'Names for Vlookup'!$B$26:$C$94,2,FALSE)</f>
        <v>WonYong Bonga</v>
      </c>
      <c r="E345" s="16" t="str">
        <f>VLOOKUP(I345,'Names for Vlookup'!$B$8:$C$21,2,FALSE)</f>
        <v>Dried deer velvet (whole stick)</v>
      </c>
      <c r="G345" s="16" t="str">
        <f>VLOOKUP(L345,'Names for Vlookup'!$B$101:$C$181,2,FALSE)</f>
        <v>Russia</v>
      </c>
      <c r="H345" s="16" t="s">
        <v>468</v>
      </c>
      <c r="I345" s="16" t="s">
        <v>469</v>
      </c>
      <c r="J345" s="16" t="s">
        <v>470</v>
      </c>
      <c r="L345" s="16" t="s">
        <v>42</v>
      </c>
      <c r="M345" s="26" t="s">
        <v>467</v>
      </c>
    </row>
    <row r="346" spans="1:13" ht="14" x14ac:dyDescent="0.2">
      <c r="A346" s="13">
        <f t="shared" si="70"/>
        <v>2020</v>
      </c>
      <c r="B346" s="13" t="str">
        <f t="shared" si="71"/>
        <v>11</v>
      </c>
      <c r="C346" s="13" t="str">
        <f t="shared" si="72"/>
        <v>27</v>
      </c>
      <c r="D346" s="16" t="str">
        <f>VLOOKUP(H346,'Names for Vlookup'!$B$26:$C$94,2,FALSE)</f>
        <v>Yuhan Care</v>
      </c>
      <c r="E346" s="16" t="str">
        <f>VLOOKUP(I346,'Names for Vlookup'!$B$8:$C$21,2,FALSE)</f>
        <v>Deer velvet</v>
      </c>
      <c r="G346" s="16" t="str">
        <f>VLOOKUP(L346,'Names for Vlookup'!$B$101:$C$181,2,FALSE)</f>
        <v>New Zealand</v>
      </c>
      <c r="H346" s="16" t="s">
        <v>158</v>
      </c>
      <c r="I346" s="16" t="s">
        <v>62</v>
      </c>
      <c r="J346" s="16" t="s">
        <v>159</v>
      </c>
      <c r="L346" s="16" t="s">
        <v>426</v>
      </c>
      <c r="M346" s="26" t="s">
        <v>471</v>
      </c>
    </row>
    <row r="347" spans="1:13" ht="14" x14ac:dyDescent="0.2">
      <c r="A347" s="13">
        <f t="shared" si="70"/>
        <v>2020</v>
      </c>
      <c r="B347" s="13" t="str">
        <f t="shared" si="71"/>
        <v>11</v>
      </c>
      <c r="C347" s="13" t="str">
        <f t="shared" si="72"/>
        <v>27</v>
      </c>
      <c r="D347" s="16" t="str">
        <f>VLOOKUP(H347,'Names for Vlookup'!$B$26:$C$94,2,FALSE)</f>
        <v>Daeheung Pharm</v>
      </c>
      <c r="E347" s="16" t="str">
        <f>VLOOKUP(I347,'Names for Vlookup'!$B$8:$C$21,2,FALSE)</f>
        <v>Deer velvet</v>
      </c>
      <c r="G347" s="16" t="str">
        <f>VLOOKUP(L347,'Names for Vlookup'!$B$101:$C$181,2,FALSE)</f>
        <v>Russia</v>
      </c>
      <c r="H347" s="16" t="s">
        <v>406</v>
      </c>
      <c r="I347" s="16" t="s">
        <v>62</v>
      </c>
      <c r="J347" s="16" t="s">
        <v>63</v>
      </c>
      <c r="L347" s="16" t="s">
        <v>472</v>
      </c>
      <c r="M347" s="26" t="s">
        <v>471</v>
      </c>
    </row>
    <row r="348" spans="1:13" ht="14" x14ac:dyDescent="0.2">
      <c r="A348" s="13">
        <f t="shared" si="70"/>
        <v>2020</v>
      </c>
      <c r="B348" s="13" t="str">
        <f t="shared" si="71"/>
        <v>11</v>
      </c>
      <c r="C348" s="13" t="str">
        <f t="shared" si="72"/>
        <v>27</v>
      </c>
      <c r="D348" s="16" t="str">
        <f>VLOOKUP(H348,'Names for Vlookup'!$B$26:$C$94,2,FALSE)</f>
        <v xml:space="preserve">WooSung (Mr Bang) </v>
      </c>
      <c r="E348" s="16" t="str">
        <f>VLOOKUP(I348,'Names for Vlookup'!$B$8:$C$21,2,FALSE)</f>
        <v>Deer velvet (dried)</v>
      </c>
      <c r="G348" s="16" t="str">
        <f>VLOOKUP(L348,'Names for Vlookup'!$B$101:$C$181,2,FALSE)</f>
        <v>New Zealand</v>
      </c>
      <c r="H348" s="16" t="s">
        <v>69</v>
      </c>
      <c r="I348" s="16" t="s">
        <v>64</v>
      </c>
      <c r="J348" s="16" t="s">
        <v>70</v>
      </c>
      <c r="L348" s="16" t="s">
        <v>38</v>
      </c>
      <c r="M348" s="26" t="s">
        <v>471</v>
      </c>
    </row>
    <row r="349" spans="1:13" ht="14" x14ac:dyDescent="0.2">
      <c r="A349" s="13">
        <f t="shared" si="70"/>
        <v>2020</v>
      </c>
      <c r="B349" s="13" t="str">
        <f t="shared" si="71"/>
        <v>11</v>
      </c>
      <c r="C349" s="13" t="str">
        <f t="shared" si="72"/>
        <v>23</v>
      </c>
      <c r="D349" s="16" t="str">
        <f>VLOOKUP(H349,'Names for Vlookup'!$B$26:$C$94,2,FALSE)</f>
        <v>Eryong Pharm.</v>
      </c>
      <c r="E349" s="16" t="str">
        <f>VLOOKUP(I349,'Names for Vlookup'!$B$8:$C$21,2,FALSE)</f>
        <v>Deer velvet (dried)</v>
      </c>
      <c r="G349" s="16" t="str">
        <f>VLOOKUP(L349,'Names for Vlookup'!$B$101:$C$181,2,FALSE)</f>
        <v>China</v>
      </c>
      <c r="H349" s="16" t="s">
        <v>92</v>
      </c>
      <c r="I349" s="16" t="s">
        <v>171</v>
      </c>
      <c r="J349" s="16" t="s">
        <v>473</v>
      </c>
      <c r="L349" s="16" t="s">
        <v>474</v>
      </c>
      <c r="M349" s="26" t="s">
        <v>475</v>
      </c>
    </row>
    <row r="350" spans="1:13" ht="14" x14ac:dyDescent="0.2">
      <c r="A350" s="13">
        <f t="shared" si="70"/>
        <v>2020</v>
      </c>
      <c r="B350" s="13" t="str">
        <f t="shared" si="71"/>
        <v>11</v>
      </c>
      <c r="C350" s="13" t="str">
        <f t="shared" si="72"/>
        <v>09</v>
      </c>
      <c r="D350" s="16" t="str">
        <f>VLOOKUP(H350,'Names for Vlookup'!$B$26:$C$94,2,FALSE)</f>
        <v>Yujin Trade</v>
      </c>
      <c r="E350" s="16" t="str">
        <f>VLOOKUP(I350,'Names for Vlookup'!$B$8:$C$21,2,FALSE)</f>
        <v>Deer velvet (dried)</v>
      </c>
      <c r="G350" s="16" t="str">
        <f>VLOOKUP(L350,'Names for Vlookup'!$B$101:$C$181,2,FALSE)</f>
        <v>Russia</v>
      </c>
      <c r="H350" s="16" t="s">
        <v>91</v>
      </c>
      <c r="I350" s="16" t="s">
        <v>171</v>
      </c>
      <c r="J350" s="16" t="s">
        <v>63</v>
      </c>
      <c r="L350" s="16" t="s">
        <v>434</v>
      </c>
      <c r="M350" s="26" t="s">
        <v>476</v>
      </c>
    </row>
    <row r="351" spans="1:13" ht="14" x14ac:dyDescent="0.2">
      <c r="A351" s="13">
        <f t="shared" si="70"/>
        <v>2020</v>
      </c>
      <c r="B351" s="13" t="str">
        <f t="shared" si="71"/>
        <v>11</v>
      </c>
      <c r="C351" s="13" t="str">
        <f t="shared" si="72"/>
        <v>09</v>
      </c>
      <c r="D351" s="16" t="str">
        <f>VLOOKUP(H351,'Names for Vlookup'!$B$26:$C$94,2,FALSE)</f>
        <v>Ee Room Pharm.</v>
      </c>
      <c r="E351" s="16" t="str">
        <f>VLOOKUP(I351,'Names for Vlookup'!$B$8:$C$21,2,FALSE)</f>
        <v>Deer velvet (dried)</v>
      </c>
      <c r="G351" s="16" t="str">
        <f>VLOOKUP(L351,'Names for Vlookup'!$B$101:$C$181,2,FALSE)</f>
        <v>Russia</v>
      </c>
      <c r="H351" s="16" t="s">
        <v>320</v>
      </c>
      <c r="I351" s="16" t="s">
        <v>171</v>
      </c>
      <c r="J351" s="16" t="s">
        <v>70</v>
      </c>
      <c r="L351" s="16" t="s">
        <v>422</v>
      </c>
      <c r="M351" s="26" t="s">
        <v>476</v>
      </c>
    </row>
    <row r="352" spans="1:13" ht="14" x14ac:dyDescent="0.2">
      <c r="A352" s="13">
        <f t="shared" si="70"/>
        <v>2020</v>
      </c>
      <c r="B352" s="13" t="str">
        <f t="shared" si="71"/>
        <v>11</v>
      </c>
      <c r="C352" s="13" t="str">
        <f t="shared" si="72"/>
        <v>04</v>
      </c>
      <c r="D352" s="16" t="str">
        <f>VLOOKUP(H352,'Names for Vlookup'!$B$26:$C$94,2,FALSE)</f>
        <v>DaeWon RTD</v>
      </c>
      <c r="E352" s="16" t="str">
        <f>VLOOKUP(I352,'Names for Vlookup'!$B$8:$C$21,2,FALSE)</f>
        <v>Deer velvet (dried)</v>
      </c>
      <c r="G352" s="16" t="str">
        <f>VLOOKUP(L352,'Names for Vlookup'!$B$101:$C$181,2,FALSE)</f>
        <v>Russia</v>
      </c>
      <c r="H352" s="16" t="s">
        <v>102</v>
      </c>
      <c r="I352" s="16" t="s">
        <v>64</v>
      </c>
      <c r="J352" s="16" t="s">
        <v>94</v>
      </c>
      <c r="L352" s="16" t="s">
        <v>462</v>
      </c>
      <c r="M352" s="26" t="s">
        <v>477</v>
      </c>
    </row>
    <row r="353" spans="1:13" ht="14" x14ac:dyDescent="0.2">
      <c r="A353" s="13">
        <f t="shared" si="70"/>
        <v>2020</v>
      </c>
      <c r="B353" s="13" t="str">
        <f t="shared" si="71"/>
        <v>11</v>
      </c>
      <c r="C353" s="13" t="str">
        <f t="shared" si="72"/>
        <v>04</v>
      </c>
      <c r="D353" s="16" t="str">
        <f>VLOOKUP(H353,'Names for Vlookup'!$B$26:$C$94,2,FALSE)</f>
        <v>Ilseong Food</v>
      </c>
      <c r="E353" s="16" t="str">
        <f>VLOOKUP(I353,'Names for Vlookup'!$B$8:$C$21,2,FALSE)</f>
        <v>Deer velvet</v>
      </c>
      <c r="G353" s="16" t="str">
        <f>VLOOKUP(L353,'Names for Vlookup'!$B$101:$C$181,2,FALSE)</f>
        <v>Russia</v>
      </c>
      <c r="H353" s="16" t="s">
        <v>335</v>
      </c>
      <c r="I353" s="16" t="s">
        <v>62</v>
      </c>
      <c r="J353" s="16" t="s">
        <v>63</v>
      </c>
      <c r="L353" s="16" t="s">
        <v>212</v>
      </c>
      <c r="M353" s="26" t="s">
        <v>477</v>
      </c>
    </row>
    <row r="354" spans="1:13" ht="14" x14ac:dyDescent="0.2">
      <c r="A354" s="13">
        <f t="shared" si="70"/>
        <v>2020</v>
      </c>
      <c r="B354" s="13" t="str">
        <f t="shared" si="71"/>
        <v>10</v>
      </c>
      <c r="C354" s="13" t="str">
        <f t="shared" si="72"/>
        <v>19</v>
      </c>
      <c r="D354" s="16" t="str">
        <f>VLOOKUP(H354,'Names for Vlookup'!$B$26:$C$94,2,FALSE)</f>
        <v>Ee Room Pharm.</v>
      </c>
      <c r="E354" s="16" t="str">
        <f>VLOOKUP(I354,'Names for Vlookup'!$B$8:$C$21,2,FALSE)</f>
        <v>Deer velvet (dried)</v>
      </c>
      <c r="G354" s="16" t="str">
        <f>VLOOKUP(L354,'Names for Vlookup'!$B$101:$C$181,2,FALSE)</f>
        <v>China</v>
      </c>
      <c r="H354" s="16" t="s">
        <v>320</v>
      </c>
      <c r="I354" s="16" t="s">
        <v>171</v>
      </c>
      <c r="J354" s="16" t="s">
        <v>70</v>
      </c>
      <c r="L354" s="16" t="s">
        <v>433</v>
      </c>
      <c r="M354" s="26" t="s">
        <v>478</v>
      </c>
    </row>
    <row r="355" spans="1:13" ht="14" x14ac:dyDescent="0.2">
      <c r="A355" s="13">
        <f t="shared" si="70"/>
        <v>2020</v>
      </c>
      <c r="B355" s="13" t="str">
        <f t="shared" si="71"/>
        <v>09</v>
      </c>
      <c r="C355" s="13" t="str">
        <f t="shared" si="72"/>
        <v>25</v>
      </c>
      <c r="D355" s="16" t="str">
        <f>VLOOKUP(H355,'Names for Vlookup'!$B$26:$C$94,2,FALSE)</f>
        <v>WonYong Bonga</v>
      </c>
      <c r="E355" s="16" t="str">
        <f>VLOOKUP(I355,'Names for Vlookup'!$B$8:$C$21,2,FALSE)</f>
        <v>Dried deer velvet (whole stick)</v>
      </c>
      <c r="G355" s="16" t="str">
        <f>VLOOKUP(L355,'Names for Vlookup'!$B$101:$C$181,2,FALSE)</f>
        <v>Russia</v>
      </c>
      <c r="H355" s="16" t="s">
        <v>468</v>
      </c>
      <c r="I355" s="16" t="s">
        <v>469</v>
      </c>
      <c r="J355" s="16" t="s">
        <v>470</v>
      </c>
      <c r="L355" s="16" t="s">
        <v>42</v>
      </c>
      <c r="M355" s="26" t="s">
        <v>479</v>
      </c>
    </row>
    <row r="356" spans="1:13" ht="14" x14ac:dyDescent="0.2">
      <c r="A356" s="13">
        <f t="shared" si="70"/>
        <v>2020</v>
      </c>
      <c r="B356" s="13" t="str">
        <f t="shared" si="71"/>
        <v>09</v>
      </c>
      <c r="C356" s="13" t="str">
        <f t="shared" si="72"/>
        <v>04</v>
      </c>
      <c r="D356" s="16" t="str">
        <f>VLOOKUP(H356,'Names for Vlookup'!$B$26:$C$94,2,FALSE)</f>
        <v>KGC</v>
      </c>
      <c r="E356" s="16" t="str">
        <f>VLOOKUP(I356,'Names for Vlookup'!$B$8:$C$21,2,FALSE)</f>
        <v>Deer velvet (dried)</v>
      </c>
      <c r="G356" s="16" t="str">
        <f>VLOOKUP(L356,'Names for Vlookup'!$B$101:$C$181,2,FALSE)</f>
        <v>New Zealand</v>
      </c>
      <c r="H356" s="16" t="s">
        <v>480</v>
      </c>
      <c r="I356" s="16" t="s">
        <v>64</v>
      </c>
      <c r="J356" s="16" t="s">
        <v>70</v>
      </c>
      <c r="L356" s="16" t="s">
        <v>481</v>
      </c>
      <c r="M356" s="27" t="s">
        <v>482</v>
      </c>
    </row>
    <row r="357" spans="1:13" ht="14" x14ac:dyDescent="0.2">
      <c r="A357" s="13">
        <f t="shared" si="70"/>
        <v>2020</v>
      </c>
      <c r="B357" s="13" t="str">
        <f t="shared" si="71"/>
        <v>09</v>
      </c>
      <c r="C357" s="13" t="str">
        <f t="shared" si="72"/>
        <v>02</v>
      </c>
      <c r="D357" s="16" t="str">
        <f>VLOOKUP(H357,'Names for Vlookup'!$B$26:$C$94,2,FALSE)</f>
        <v>Jinsoo Deer Co., Ltd.</v>
      </c>
      <c r="E357" s="16" t="str">
        <f>VLOOKUP(I357,'Names for Vlookup'!$B$8:$C$21,2,FALSE)</f>
        <v>Deer velvet (dried)</v>
      </c>
      <c r="G357" s="16" t="str">
        <f>VLOOKUP(L357,'Names for Vlookup'!$B$101:$C$181,2,FALSE)</f>
        <v>China</v>
      </c>
      <c r="H357" s="16" t="s">
        <v>163</v>
      </c>
      <c r="I357" s="16" t="s">
        <v>64</v>
      </c>
      <c r="J357" s="16" t="s">
        <v>483</v>
      </c>
      <c r="L357" s="16" t="s">
        <v>431</v>
      </c>
      <c r="M357" s="27" t="s">
        <v>484</v>
      </c>
    </row>
    <row r="358" spans="1:13" ht="14" x14ac:dyDescent="0.2">
      <c r="A358" s="13">
        <f t="shared" si="70"/>
        <v>2020</v>
      </c>
      <c r="B358" s="13" t="str">
        <f t="shared" si="71"/>
        <v>08</v>
      </c>
      <c r="C358" s="13" t="str">
        <f t="shared" si="72"/>
        <v>26</v>
      </c>
      <c r="D358" s="16" t="str">
        <f>VLOOKUP(H358,'Names for Vlookup'!$B$26:$C$94,2,FALSE)</f>
        <v>Handong Herb</v>
      </c>
      <c r="E358" s="16" t="str">
        <f>VLOOKUP(I358,'Names for Vlookup'!$B$8:$C$21,2,FALSE)</f>
        <v>Deer velvet (frozen)</v>
      </c>
      <c r="G358" s="16" t="str">
        <f>VLOOKUP(L358,'Names for Vlookup'!$B$101:$C$181,2,FALSE)</f>
        <v>New Zealand</v>
      </c>
      <c r="H358" s="16" t="s">
        <v>455</v>
      </c>
      <c r="I358" s="16" t="s">
        <v>76</v>
      </c>
      <c r="J358" s="16" t="s">
        <v>73</v>
      </c>
      <c r="L358" s="16" t="s">
        <v>442</v>
      </c>
      <c r="M358" s="26" t="s">
        <v>485</v>
      </c>
    </row>
    <row r="359" spans="1:13" ht="14" x14ac:dyDescent="0.2">
      <c r="A359" s="13">
        <f t="shared" si="70"/>
        <v>2020</v>
      </c>
      <c r="B359" s="13" t="str">
        <f t="shared" si="71"/>
        <v>08</v>
      </c>
      <c r="C359" s="13" t="str">
        <f t="shared" si="72"/>
        <v>13</v>
      </c>
      <c r="D359" s="16" t="str">
        <f>VLOOKUP(H359,'Names for Vlookup'!$B$26:$C$94,2,FALSE)</f>
        <v>KGC</v>
      </c>
      <c r="E359" s="16" t="str">
        <f>VLOOKUP(I359,'Names for Vlookup'!$B$8:$C$21,2,FALSE)</f>
        <v>Deer velvet (dried)</v>
      </c>
      <c r="G359" s="16" t="str">
        <f>VLOOKUP(L359,'Names for Vlookup'!$B$101:$C$181,2,FALSE)</f>
        <v>New Zealand</v>
      </c>
      <c r="H359" s="16" t="s">
        <v>480</v>
      </c>
      <c r="I359" s="16" t="s">
        <v>64</v>
      </c>
      <c r="J359" s="16" t="s">
        <v>70</v>
      </c>
      <c r="L359" s="16" t="s">
        <v>481</v>
      </c>
      <c r="M359" s="26" t="s">
        <v>486</v>
      </c>
    </row>
    <row r="360" spans="1:13" ht="14" x14ac:dyDescent="0.2">
      <c r="A360" s="13">
        <f t="shared" si="70"/>
        <v>2020</v>
      </c>
      <c r="B360" s="13" t="str">
        <f t="shared" si="71"/>
        <v>08</v>
      </c>
      <c r="C360" s="13" t="str">
        <f t="shared" si="72"/>
        <v>05</v>
      </c>
      <c r="D360" s="16" t="str">
        <f>VLOOKUP(H360,'Names for Vlookup'!$B$26:$C$94,2,FALSE)</f>
        <v>KGC</v>
      </c>
      <c r="E360" s="16" t="str">
        <f>VLOOKUP(I360,'Names for Vlookup'!$B$8:$C$21,2,FALSE)</f>
        <v>Deer velvet (dried)</v>
      </c>
      <c r="G360" s="16" t="str">
        <f>VLOOKUP(L360,'Names for Vlookup'!$B$101:$C$181,2,FALSE)</f>
        <v>New Zealand</v>
      </c>
      <c r="H360" s="16" t="s">
        <v>480</v>
      </c>
      <c r="I360" s="16" t="s">
        <v>64</v>
      </c>
      <c r="J360" s="16" t="s">
        <v>70</v>
      </c>
      <c r="L360" s="16" t="s">
        <v>37</v>
      </c>
      <c r="M360" s="27" t="s">
        <v>487</v>
      </c>
    </row>
    <row r="361" spans="1:13" ht="14" x14ac:dyDescent="0.2">
      <c r="A361" s="13">
        <f t="shared" si="70"/>
        <v>2020</v>
      </c>
      <c r="B361" s="13" t="str">
        <f t="shared" si="71"/>
        <v>07</v>
      </c>
      <c r="C361" s="13" t="str">
        <f t="shared" si="72"/>
        <v>21</v>
      </c>
      <c r="D361" s="16" t="str">
        <f>VLOOKUP(H361,'Names for Vlookup'!$B$26:$C$94,2,FALSE)</f>
        <v>YW International</v>
      </c>
      <c r="E361" s="16" t="str">
        <f>VLOOKUP(I361,'Names for Vlookup'!$B$8:$C$21,2,FALSE)</f>
        <v>Deer velvet (frozen)</v>
      </c>
      <c r="G361" s="16" t="str">
        <f>VLOOKUP(L361,'Names for Vlookup'!$B$101:$C$181,2,FALSE)</f>
        <v>New Zealand</v>
      </c>
      <c r="H361" s="16" t="s">
        <v>88</v>
      </c>
      <c r="I361" s="16" t="s">
        <v>72</v>
      </c>
      <c r="J361" s="16" t="s">
        <v>120</v>
      </c>
      <c r="L361" s="16" t="s">
        <v>423</v>
      </c>
      <c r="M361" s="26" t="s">
        <v>488</v>
      </c>
    </row>
    <row r="362" spans="1:13" ht="14" x14ac:dyDescent="0.2">
      <c r="A362" s="13">
        <f t="shared" si="70"/>
        <v>2020</v>
      </c>
      <c r="B362" s="13" t="str">
        <f t="shared" si="71"/>
        <v>07</v>
      </c>
      <c r="C362" s="13" t="str">
        <f t="shared" si="72"/>
        <v>20</v>
      </c>
      <c r="D362" s="16" t="str">
        <f>VLOOKUP(H362,'Names for Vlookup'!$B$26:$C$94,2,FALSE)</f>
        <v>KGC</v>
      </c>
      <c r="E362" s="16" t="str">
        <f>VLOOKUP(I362,'Names for Vlookup'!$B$8:$C$21,2,FALSE)</f>
        <v>Deer velvet (dried)</v>
      </c>
      <c r="G362" s="16" t="str">
        <f>VLOOKUP(L362,'Names for Vlookup'!$B$101:$C$181,2,FALSE)</f>
        <v>New Zealand</v>
      </c>
      <c r="H362" s="16" t="s">
        <v>480</v>
      </c>
      <c r="I362" s="16" t="s">
        <v>64</v>
      </c>
      <c r="J362" s="16" t="s">
        <v>70</v>
      </c>
      <c r="L362" s="16" t="s">
        <v>481</v>
      </c>
      <c r="M362" s="26" t="s">
        <v>489</v>
      </c>
    </row>
    <row r="363" spans="1:13" ht="14" x14ac:dyDescent="0.2">
      <c r="A363" s="13">
        <f t="shared" si="70"/>
        <v>2020</v>
      </c>
      <c r="B363" s="13" t="str">
        <f t="shared" si="71"/>
        <v>07</v>
      </c>
      <c r="C363" s="13" t="str">
        <f t="shared" si="72"/>
        <v>01</v>
      </c>
      <c r="D363" s="16" t="str">
        <f>VLOOKUP(H363,'Names for Vlookup'!$B$26:$C$94,2,FALSE)</f>
        <v>KGC</v>
      </c>
      <c r="E363" s="16" t="str">
        <f>VLOOKUP(I363,'Names for Vlookup'!$B$8:$C$21,2,FALSE)</f>
        <v>Deer velvet (dried)</v>
      </c>
      <c r="G363" s="16" t="str">
        <f>VLOOKUP(L363,'Names for Vlookup'!$B$101:$C$181,2,FALSE)</f>
        <v>New Zealand</v>
      </c>
      <c r="H363" s="16" t="s">
        <v>480</v>
      </c>
      <c r="I363" s="16" t="s">
        <v>64</v>
      </c>
      <c r="J363" s="16" t="s">
        <v>70</v>
      </c>
      <c r="L363" s="16" t="s">
        <v>481</v>
      </c>
      <c r="M363" s="27" t="s">
        <v>490</v>
      </c>
    </row>
    <row r="364" spans="1:13" ht="14" x14ac:dyDescent="0.2">
      <c r="A364" s="13">
        <f t="shared" si="70"/>
        <v>2020</v>
      </c>
      <c r="B364" s="13" t="str">
        <f t="shared" si="71"/>
        <v>06</v>
      </c>
      <c r="C364" s="13" t="str">
        <f t="shared" si="72"/>
        <v>22</v>
      </c>
      <c r="D364" s="16" t="str">
        <f>VLOOKUP(H364,'Names for Vlookup'!$B$26:$C$94,2,FALSE)</f>
        <v>KGC</v>
      </c>
      <c r="E364" s="16" t="str">
        <f>VLOOKUP(I364,'Names for Vlookup'!$B$8:$C$21,2,FALSE)</f>
        <v>Deer velvet (dried)</v>
      </c>
      <c r="G364" s="16" t="str">
        <f>VLOOKUP(L364,'Names for Vlookup'!$B$101:$C$181,2,FALSE)</f>
        <v>New Zealand</v>
      </c>
      <c r="H364" s="16" t="s">
        <v>480</v>
      </c>
      <c r="I364" s="16" t="s">
        <v>64</v>
      </c>
      <c r="J364" s="16" t="s">
        <v>70</v>
      </c>
      <c r="L364" s="16" t="s">
        <v>37</v>
      </c>
      <c r="M364" s="26" t="s">
        <v>491</v>
      </c>
    </row>
    <row r="365" spans="1:13" ht="14" x14ac:dyDescent="0.2">
      <c r="A365" s="13">
        <f t="shared" si="70"/>
        <v>2020</v>
      </c>
      <c r="B365" s="13" t="str">
        <f t="shared" si="71"/>
        <v>06</v>
      </c>
      <c r="C365" s="13" t="str">
        <f t="shared" si="72"/>
        <v>22</v>
      </c>
      <c r="D365" s="16" t="str">
        <f>VLOOKUP(H365,'Names for Vlookup'!$B$26:$C$94,2,FALSE)</f>
        <v>KGC</v>
      </c>
      <c r="E365" s="16" t="str">
        <f>VLOOKUP(I365,'Names for Vlookup'!$B$8:$C$21,2,FALSE)</f>
        <v>Deer velvet (dried)</v>
      </c>
      <c r="G365" s="16" t="str">
        <f>VLOOKUP(L365,'Names for Vlookup'!$B$101:$C$181,2,FALSE)</f>
        <v>New Zealand</v>
      </c>
      <c r="H365" s="16" t="s">
        <v>480</v>
      </c>
      <c r="I365" s="16" t="s">
        <v>64</v>
      </c>
      <c r="J365" s="16" t="s">
        <v>70</v>
      </c>
      <c r="L365" s="16" t="s">
        <v>37</v>
      </c>
      <c r="M365" s="26" t="s">
        <v>491</v>
      </c>
    </row>
    <row r="366" spans="1:13" ht="14" x14ac:dyDescent="0.2">
      <c r="A366" s="13">
        <f t="shared" si="70"/>
        <v>2020</v>
      </c>
      <c r="B366" s="13" t="str">
        <f t="shared" si="71"/>
        <v>06</v>
      </c>
      <c r="C366" s="13" t="str">
        <f t="shared" si="72"/>
        <v>22</v>
      </c>
      <c r="D366" s="16" t="str">
        <f>VLOOKUP(H366,'Names for Vlookup'!$B$26:$C$94,2,FALSE)</f>
        <v xml:space="preserve">WooSung (Mr Bang) </v>
      </c>
      <c r="E366" s="16" t="str">
        <f>VLOOKUP(I366,'Names for Vlookup'!$B$8:$C$21,2,FALSE)</f>
        <v>Deer velvet (dried)</v>
      </c>
      <c r="G366" s="16" t="str">
        <f>VLOOKUP(L366,'Names for Vlookup'!$B$101:$C$181,2,FALSE)</f>
        <v>New Zealand</v>
      </c>
      <c r="H366" s="16" t="s">
        <v>69</v>
      </c>
      <c r="I366" s="16" t="s">
        <v>64</v>
      </c>
      <c r="J366" s="16" t="s">
        <v>70</v>
      </c>
      <c r="L366" s="16" t="s">
        <v>38</v>
      </c>
      <c r="M366" s="26" t="s">
        <v>491</v>
      </c>
    </row>
    <row r="367" spans="1:13" ht="14" x14ac:dyDescent="0.2">
      <c r="A367" s="13">
        <f t="shared" si="70"/>
        <v>2020</v>
      </c>
      <c r="B367" s="13" t="str">
        <f t="shared" si="71"/>
        <v>06</v>
      </c>
      <c r="C367" s="13" t="str">
        <f t="shared" si="72"/>
        <v>09</v>
      </c>
      <c r="D367" s="16" t="str">
        <f>VLOOKUP(H367,'Names for Vlookup'!$B$26:$C$94,2,FALSE)</f>
        <v>KNC Deertrade</v>
      </c>
      <c r="E367" s="16" t="str">
        <f>VLOOKUP(I367,'Names for Vlookup'!$B$8:$C$21,2,FALSE)</f>
        <v>Deer velvet (frozen)</v>
      </c>
      <c r="G367" s="16" t="str">
        <f>VLOOKUP(L367,'Names for Vlookup'!$B$101:$C$181,2,FALSE)</f>
        <v>New Zealand</v>
      </c>
      <c r="H367" s="16" t="s">
        <v>75</v>
      </c>
      <c r="I367" s="16" t="s">
        <v>76</v>
      </c>
      <c r="J367" s="16" t="s">
        <v>73</v>
      </c>
      <c r="L367" s="16" t="s">
        <v>456</v>
      </c>
      <c r="M367" s="26" t="s">
        <v>492</v>
      </c>
    </row>
    <row r="368" spans="1:13" ht="14" x14ac:dyDescent="0.2">
      <c r="A368" s="13">
        <f t="shared" si="70"/>
        <v>2020</v>
      </c>
      <c r="B368" s="13" t="str">
        <f t="shared" si="71"/>
        <v>06</v>
      </c>
      <c r="C368" s="13" t="str">
        <f t="shared" si="72"/>
        <v>09</v>
      </c>
      <c r="D368" s="16" t="str">
        <f>VLOOKUP(H368,'Names for Vlookup'!$B$26:$C$94,2,FALSE)</f>
        <v>KGC</v>
      </c>
      <c r="E368" s="16" t="str">
        <f>VLOOKUP(I368,'Names for Vlookup'!$B$8:$C$21,2,FALSE)</f>
        <v>Deer velvet (dried)</v>
      </c>
      <c r="G368" s="16" t="str">
        <f>VLOOKUP(L368,'Names for Vlookup'!$B$101:$C$181,2,FALSE)</f>
        <v>New Zealand</v>
      </c>
      <c r="H368" s="16" t="s">
        <v>480</v>
      </c>
      <c r="I368" s="16" t="s">
        <v>64</v>
      </c>
      <c r="J368" s="16" t="s">
        <v>70</v>
      </c>
      <c r="L368" s="16" t="s">
        <v>250</v>
      </c>
      <c r="M368" s="26" t="s">
        <v>492</v>
      </c>
    </row>
    <row r="369" spans="1:13" ht="14" x14ac:dyDescent="0.2">
      <c r="A369" s="13">
        <f t="shared" si="70"/>
        <v>2020</v>
      </c>
      <c r="B369" s="13" t="str">
        <f t="shared" si="71"/>
        <v>06</v>
      </c>
      <c r="C369" s="13" t="str">
        <f t="shared" si="72"/>
        <v>05</v>
      </c>
      <c r="D369" s="16" t="str">
        <f>VLOOKUP(H369,'Names for Vlookup'!$B$26:$C$94,2,FALSE)</f>
        <v>YongBo (Mr. Woljin Kim)</v>
      </c>
      <c r="E369" s="16" t="str">
        <f>VLOOKUP(I369,'Names for Vlookup'!$B$8:$C$21,2,FALSE)</f>
        <v>Deer velvet</v>
      </c>
      <c r="G369" s="16" t="str">
        <f>VLOOKUP(L369,'Names for Vlookup'!$B$101:$C$181,2,FALSE)</f>
        <v>New Zealand</v>
      </c>
      <c r="H369" s="16" t="s">
        <v>98</v>
      </c>
      <c r="I369" s="16" t="s">
        <v>62</v>
      </c>
      <c r="J369" s="16" t="s">
        <v>483</v>
      </c>
      <c r="L369" s="16" t="s">
        <v>493</v>
      </c>
      <c r="M369" s="26" t="s">
        <v>494</v>
      </c>
    </row>
    <row r="370" spans="1:13" ht="14" x14ac:dyDescent="0.2">
      <c r="A370" s="13">
        <f t="shared" si="70"/>
        <v>2020</v>
      </c>
      <c r="B370" s="13" t="str">
        <f t="shared" si="71"/>
        <v>06</v>
      </c>
      <c r="C370" s="13" t="str">
        <f t="shared" si="72"/>
        <v>04</v>
      </c>
      <c r="D370" s="16" t="str">
        <f>VLOOKUP(H370,'Names for Vlookup'!$B$26:$C$94,2,FALSE)</f>
        <v>Bibong Herb</v>
      </c>
      <c r="E370" s="16" t="str">
        <f>VLOOKUP(I370,'Names for Vlookup'!$B$8:$C$21,2,FALSE)</f>
        <v>Deer velvet (dried)</v>
      </c>
      <c r="G370" s="16" t="str">
        <f>VLOOKUP(L370,'Names for Vlookup'!$B$101:$C$181,2,FALSE)</f>
        <v>New Zealand</v>
      </c>
      <c r="H370" s="16" t="s">
        <v>135</v>
      </c>
      <c r="I370" s="16" t="s">
        <v>64</v>
      </c>
      <c r="J370" s="16" t="s">
        <v>70</v>
      </c>
      <c r="L370" s="16" t="s">
        <v>442</v>
      </c>
      <c r="M370" s="26" t="s">
        <v>495</v>
      </c>
    </row>
    <row r="371" spans="1:13" ht="14" x14ac:dyDescent="0.2">
      <c r="A371" s="13">
        <f t="shared" si="70"/>
        <v>2020</v>
      </c>
      <c r="B371" s="13" t="str">
        <f t="shared" si="71"/>
        <v>05</v>
      </c>
      <c r="C371" s="13" t="str">
        <f t="shared" si="72"/>
        <v>27</v>
      </c>
      <c r="D371" s="16" t="str">
        <f>VLOOKUP(H371,'Names for Vlookup'!$B$26:$C$94,2,FALSE)</f>
        <v>KNC Deertrade</v>
      </c>
      <c r="E371" s="16" t="str">
        <f>VLOOKUP(I371,'Names for Vlookup'!$B$8:$C$21,2,FALSE)</f>
        <v>Deer velvet (frozen)</v>
      </c>
      <c r="G371" s="16" t="str">
        <f>VLOOKUP(L371,'Names for Vlookup'!$B$101:$C$181,2,FALSE)</f>
        <v>New Zealand</v>
      </c>
      <c r="H371" s="16" t="s">
        <v>75</v>
      </c>
      <c r="I371" s="16" t="s">
        <v>76</v>
      </c>
      <c r="J371" s="16" t="s">
        <v>73</v>
      </c>
      <c r="L371" s="16" t="s">
        <v>37</v>
      </c>
      <c r="M371" s="26" t="s">
        <v>496</v>
      </c>
    </row>
    <row r="372" spans="1:13" ht="14" x14ac:dyDescent="0.2">
      <c r="A372" s="13">
        <f t="shared" si="70"/>
        <v>2020</v>
      </c>
      <c r="B372" s="13" t="str">
        <f t="shared" si="71"/>
        <v>05</v>
      </c>
      <c r="C372" s="13" t="str">
        <f t="shared" si="72"/>
        <v>25</v>
      </c>
      <c r="D372" s="16" t="str">
        <f>VLOOKUP(H372,'Names for Vlookup'!$B$26:$C$94,2,FALSE)</f>
        <v>KGC</v>
      </c>
      <c r="E372" s="16" t="str">
        <f>VLOOKUP(I372,'Names for Vlookup'!$B$8:$C$21,2,FALSE)</f>
        <v>Deer velvet (dried)</v>
      </c>
      <c r="G372" s="16" t="str">
        <f>VLOOKUP(L372,'Names for Vlookup'!$B$101:$C$181,2,FALSE)</f>
        <v>New Zealand</v>
      </c>
      <c r="H372" s="16" t="s">
        <v>480</v>
      </c>
      <c r="I372" s="16" t="s">
        <v>64</v>
      </c>
      <c r="J372" s="16" t="s">
        <v>70</v>
      </c>
      <c r="L372" s="16" t="s">
        <v>37</v>
      </c>
      <c r="M372" s="26" t="s">
        <v>497</v>
      </c>
    </row>
    <row r="373" spans="1:13" ht="14" x14ac:dyDescent="0.2">
      <c r="A373" s="13">
        <f t="shared" si="70"/>
        <v>2020</v>
      </c>
      <c r="B373" s="13" t="str">
        <f t="shared" si="71"/>
        <v>04</v>
      </c>
      <c r="C373" s="13" t="str">
        <f t="shared" si="72"/>
        <v>28</v>
      </c>
      <c r="D373" s="16" t="str">
        <f>VLOOKUP(H373,'Names for Vlookup'!$B$26:$C$94,2,FALSE)</f>
        <v>Eryong Pharm.</v>
      </c>
      <c r="E373" s="16" t="str">
        <f>VLOOKUP(I373,'Names for Vlookup'!$B$8:$C$21,2,FALSE)</f>
        <v>Deer velvet (dried)</v>
      </c>
      <c r="G373" s="16" t="str">
        <f>VLOOKUP(L373,'Names for Vlookup'!$B$101:$C$181,2,FALSE)</f>
        <v>China</v>
      </c>
      <c r="H373" s="16" t="s">
        <v>92</v>
      </c>
      <c r="I373" s="16" t="s">
        <v>171</v>
      </c>
      <c r="J373" s="16" t="s">
        <v>70</v>
      </c>
      <c r="L373" s="16" t="s">
        <v>498</v>
      </c>
      <c r="M373" s="26" t="s">
        <v>499</v>
      </c>
    </row>
    <row r="374" spans="1:13" ht="14" x14ac:dyDescent="0.2">
      <c r="A374" s="13">
        <f t="shared" si="70"/>
        <v>2020</v>
      </c>
      <c r="B374" s="13" t="str">
        <f t="shared" si="71"/>
        <v>03</v>
      </c>
      <c r="C374" s="13" t="str">
        <f t="shared" si="72"/>
        <v>25</v>
      </c>
      <c r="D374" s="16" t="str">
        <f>VLOOKUP(H374,'Names for Vlookup'!$B$26:$C$94,2,FALSE)</f>
        <v>KGC</v>
      </c>
      <c r="E374" s="16" t="str">
        <f>VLOOKUP(I374,'Names for Vlookup'!$B$8:$C$21,2,FALSE)</f>
        <v>Deer velvet (dried)</v>
      </c>
      <c r="G374" s="16" t="str">
        <f>VLOOKUP(L374,'Names for Vlookup'!$B$101:$C$181,2,FALSE)</f>
        <v>New Zealand</v>
      </c>
      <c r="H374" s="16" t="s">
        <v>480</v>
      </c>
      <c r="I374" s="16" t="s">
        <v>171</v>
      </c>
      <c r="J374" s="16" t="s">
        <v>70</v>
      </c>
      <c r="L374" s="16" t="s">
        <v>37</v>
      </c>
      <c r="M374" s="26" t="s">
        <v>500</v>
      </c>
    </row>
    <row r="375" spans="1:13" ht="14" x14ac:dyDescent="0.2">
      <c r="A375" s="13">
        <f t="shared" si="70"/>
        <v>2020</v>
      </c>
      <c r="B375" s="13" t="str">
        <f t="shared" si="71"/>
        <v>03</v>
      </c>
      <c r="C375" s="13" t="str">
        <f t="shared" si="72"/>
        <v>23</v>
      </c>
      <c r="D375" s="16" t="str">
        <f>VLOOKUP(H375,'Names for Vlookup'!$B$26:$C$94,2,FALSE)</f>
        <v>Handong Herb</v>
      </c>
      <c r="E375" s="16" t="str">
        <f>VLOOKUP(I375,'Names for Vlookup'!$B$8:$C$21,2,FALSE)</f>
        <v>Deer velvet (frozen)</v>
      </c>
      <c r="G375" s="16" t="str">
        <f>VLOOKUP(L375,'Names for Vlookup'!$B$101:$C$181,2,FALSE)</f>
        <v>New Zealand</v>
      </c>
      <c r="H375" s="16" t="s">
        <v>455</v>
      </c>
      <c r="I375" s="16" t="s">
        <v>76</v>
      </c>
      <c r="J375" s="16" t="s">
        <v>73</v>
      </c>
      <c r="L375" s="16" t="s">
        <v>260</v>
      </c>
      <c r="M375" s="26" t="s">
        <v>501</v>
      </c>
    </row>
    <row r="376" spans="1:13" ht="14" x14ac:dyDescent="0.2">
      <c r="A376" s="13">
        <f t="shared" si="70"/>
        <v>2020</v>
      </c>
      <c r="B376" s="13" t="str">
        <f t="shared" si="71"/>
        <v>03</v>
      </c>
      <c r="C376" s="13" t="str">
        <f t="shared" si="72"/>
        <v>16</v>
      </c>
      <c r="D376" s="16" t="str">
        <f>VLOOKUP(H376,'Names for Vlookup'!$B$26:$C$94,2,FALSE)</f>
        <v>Yujin Trade</v>
      </c>
      <c r="E376" s="16" t="str">
        <f>VLOOKUP(I376,'Names for Vlookup'!$B$8:$C$21,2,FALSE)</f>
        <v>Deer velvet (dried)</v>
      </c>
      <c r="G376" s="16" t="str">
        <f>VLOOKUP(L376,'Names for Vlookup'!$B$101:$C$181,2,FALSE)</f>
        <v>China</v>
      </c>
      <c r="H376" s="16" t="s">
        <v>91</v>
      </c>
      <c r="I376" s="16" t="s">
        <v>171</v>
      </c>
      <c r="J376" s="16" t="s">
        <v>483</v>
      </c>
      <c r="L376" s="16" t="s">
        <v>106</v>
      </c>
      <c r="M376" s="26" t="s">
        <v>502</v>
      </c>
    </row>
    <row r="377" spans="1:13" ht="14" x14ac:dyDescent="0.2">
      <c r="A377" s="13">
        <f t="shared" si="70"/>
        <v>2020</v>
      </c>
      <c r="B377" s="13" t="str">
        <f t="shared" si="71"/>
        <v>03</v>
      </c>
      <c r="C377" s="13" t="str">
        <f t="shared" si="72"/>
        <v>03</v>
      </c>
      <c r="D377" s="16" t="str">
        <f>VLOOKUP(H377,'Names for Vlookup'!$B$26:$C$94,2,FALSE)</f>
        <v>KGC</v>
      </c>
      <c r="E377" s="16" t="str">
        <f>VLOOKUP(I377,'Names for Vlookup'!$B$8:$C$21,2,FALSE)</f>
        <v>Deer velvet (dried)</v>
      </c>
      <c r="G377" s="16" t="str">
        <f>VLOOKUP(L377,'Names for Vlookup'!$B$101:$C$181,2,FALSE)</f>
        <v>New Zealand</v>
      </c>
      <c r="H377" s="16" t="s">
        <v>480</v>
      </c>
      <c r="I377" s="16" t="s">
        <v>171</v>
      </c>
      <c r="J377" s="16" t="s">
        <v>70</v>
      </c>
      <c r="L377" s="16" t="s">
        <v>38</v>
      </c>
      <c r="M377" s="27" t="s">
        <v>503</v>
      </c>
    </row>
    <row r="378" spans="1:13" ht="14" x14ac:dyDescent="0.2">
      <c r="A378" s="13">
        <f t="shared" si="70"/>
        <v>2020</v>
      </c>
      <c r="B378" s="13" t="str">
        <f t="shared" si="71"/>
        <v>02</v>
      </c>
      <c r="C378" s="13" t="str">
        <f t="shared" si="72"/>
        <v>25</v>
      </c>
      <c r="D378" s="16" t="str">
        <f>VLOOKUP(H378,'Names for Vlookup'!$B$26:$C$94,2,FALSE)</f>
        <v>KGC</v>
      </c>
      <c r="E378" s="16" t="str">
        <f>VLOOKUP(I378,'Names for Vlookup'!$B$8:$C$21,2,FALSE)</f>
        <v>Deer velvet (dried)</v>
      </c>
      <c r="G378" s="16" t="str">
        <f>VLOOKUP(L378,'Names for Vlookup'!$B$101:$C$181,2,FALSE)</f>
        <v>New Zealand</v>
      </c>
      <c r="H378" s="16" t="s">
        <v>480</v>
      </c>
      <c r="I378" s="16" t="s">
        <v>171</v>
      </c>
      <c r="J378" s="16" t="s">
        <v>70</v>
      </c>
      <c r="L378" s="16" t="s">
        <v>37</v>
      </c>
      <c r="M378" s="26" t="s">
        <v>504</v>
      </c>
    </row>
    <row r="379" spans="1:13" ht="14" x14ac:dyDescent="0.2">
      <c r="A379" s="13">
        <f t="shared" si="70"/>
        <v>2020</v>
      </c>
      <c r="B379" s="13" t="str">
        <f t="shared" si="71"/>
        <v>02</v>
      </c>
      <c r="C379" s="13" t="str">
        <f t="shared" si="72"/>
        <v>25</v>
      </c>
      <c r="D379" s="16" t="str">
        <f>VLOOKUP(H379,'Names for Vlookup'!$B$26:$C$94,2,FALSE)</f>
        <v>YW International</v>
      </c>
      <c r="E379" s="16" t="str">
        <f>VLOOKUP(I379,'Names for Vlookup'!$B$8:$C$21,2,FALSE)</f>
        <v>Deer velvet (frozen)</v>
      </c>
      <c r="G379" s="16" t="str">
        <f>VLOOKUP(L379,'Names for Vlookup'!$B$101:$C$181,2,FALSE)</f>
        <v>New Zealand</v>
      </c>
      <c r="H379" s="16" t="s">
        <v>88</v>
      </c>
      <c r="I379" s="16" t="s">
        <v>72</v>
      </c>
      <c r="J379" s="16" t="s">
        <v>120</v>
      </c>
      <c r="L379" s="16" t="s">
        <v>121</v>
      </c>
      <c r="M379" s="26" t="s">
        <v>504</v>
      </c>
    </row>
    <row r="380" spans="1:13" ht="14" x14ac:dyDescent="0.2">
      <c r="A380" s="13">
        <f t="shared" si="70"/>
        <v>2020</v>
      </c>
      <c r="B380" s="13" t="str">
        <f t="shared" si="71"/>
        <v>02</v>
      </c>
      <c r="C380" s="13" t="str">
        <f t="shared" si="72"/>
        <v>25</v>
      </c>
      <c r="D380" s="16" t="str">
        <f>VLOOKUP(H380,'Names for Vlookup'!$B$26:$C$94,2,FALSE)</f>
        <v>Chunho N Care</v>
      </c>
      <c r="E380" s="16" t="str">
        <f>VLOOKUP(I380,'Names for Vlookup'!$B$8:$C$21,2,FALSE)</f>
        <v>Deer velvet (dried)</v>
      </c>
      <c r="G380" s="16" t="str">
        <f>VLOOKUP(L380,'Names for Vlookup'!$B$101:$C$181,2,FALSE)</f>
        <v>New Zealand</v>
      </c>
      <c r="H380" s="16" t="s">
        <v>128</v>
      </c>
      <c r="I380" s="16" t="s">
        <v>171</v>
      </c>
      <c r="J380" s="16" t="s">
        <v>70</v>
      </c>
      <c r="L380" s="16" t="s">
        <v>260</v>
      </c>
      <c r="M380" s="26" t="s">
        <v>504</v>
      </c>
    </row>
    <row r="381" spans="1:13" ht="14" x14ac:dyDescent="0.2">
      <c r="A381" s="13">
        <f t="shared" si="70"/>
        <v>2020</v>
      </c>
      <c r="B381" s="13" t="str">
        <f t="shared" si="71"/>
        <v>02</v>
      </c>
      <c r="C381" s="13" t="str">
        <f t="shared" si="72"/>
        <v>21</v>
      </c>
      <c r="D381" s="16" t="str">
        <f>VLOOKUP(H381,'Names for Vlookup'!$B$26:$C$94,2,FALSE)</f>
        <v>Daeheung Pharm</v>
      </c>
      <c r="E381" s="16" t="str">
        <f>VLOOKUP(I381,'Names for Vlookup'!$B$8:$C$21,2,FALSE)</f>
        <v>Deer velvet</v>
      </c>
      <c r="G381" s="16" t="str">
        <f>VLOOKUP(L381,'Names for Vlookup'!$B$101:$C$181,2,FALSE)</f>
        <v>Russia</v>
      </c>
      <c r="H381" s="16" t="s">
        <v>406</v>
      </c>
      <c r="I381" s="16" t="s">
        <v>62</v>
      </c>
      <c r="J381" s="16" t="s">
        <v>63</v>
      </c>
      <c r="L381" s="16" t="s">
        <v>115</v>
      </c>
      <c r="M381" s="26" t="s">
        <v>505</v>
      </c>
    </row>
    <row r="382" spans="1:13" ht="14" x14ac:dyDescent="0.2">
      <c r="A382" s="13">
        <f t="shared" si="70"/>
        <v>2020</v>
      </c>
      <c r="B382" s="13" t="str">
        <f t="shared" si="71"/>
        <v>02</v>
      </c>
      <c r="C382" s="13" t="str">
        <f t="shared" si="72"/>
        <v>14</v>
      </c>
      <c r="D382" s="16" t="str">
        <f>VLOOKUP(H382,'Names for Vlookup'!$B$26:$C$94,2,FALSE)</f>
        <v>Jinka Food</v>
      </c>
      <c r="E382" s="16" t="str">
        <f>VLOOKUP(I382,'Names for Vlookup'!$B$8:$C$21,2,FALSE)</f>
        <v>Deer velvet (frozen)</v>
      </c>
      <c r="G382" s="16" t="str">
        <f>VLOOKUP(L382,'Names for Vlookup'!$B$101:$C$181,2,FALSE)</f>
        <v>New Zealand</v>
      </c>
      <c r="H382" s="16" t="s">
        <v>466</v>
      </c>
      <c r="I382" s="16" t="s">
        <v>76</v>
      </c>
      <c r="J382" s="16" t="s">
        <v>73</v>
      </c>
      <c r="L382" s="16" t="s">
        <v>36</v>
      </c>
      <c r="M382" s="26" t="s">
        <v>506</v>
      </c>
    </row>
    <row r="383" spans="1:13" ht="14" x14ac:dyDescent="0.2">
      <c r="A383" s="13">
        <f t="shared" si="70"/>
        <v>2020</v>
      </c>
      <c r="B383" s="13" t="str">
        <f t="shared" si="71"/>
        <v>02</v>
      </c>
      <c r="C383" s="13" t="str">
        <f t="shared" si="72"/>
        <v>14</v>
      </c>
      <c r="D383" s="16" t="str">
        <f>VLOOKUP(H383,'Names for Vlookup'!$B$26:$C$94,2,FALSE)</f>
        <v>Wonkyung Yakup</v>
      </c>
      <c r="E383" s="16" t="str">
        <f>VLOOKUP(I383,'Names for Vlookup'!$B$8:$C$21,2,FALSE)</f>
        <v>Deer velvet (frozen)</v>
      </c>
      <c r="G383" s="16" t="str">
        <f>VLOOKUP(L383,'Names for Vlookup'!$B$101:$C$181,2,FALSE)</f>
        <v>New Zealand</v>
      </c>
      <c r="H383" s="16" t="s">
        <v>507</v>
      </c>
      <c r="I383" s="16" t="s">
        <v>72</v>
      </c>
      <c r="J383" s="16" t="s">
        <v>120</v>
      </c>
      <c r="L383" s="16" t="s">
        <v>121</v>
      </c>
      <c r="M383" s="26" t="s">
        <v>506</v>
      </c>
    </row>
    <row r="384" spans="1:13" ht="14" x14ac:dyDescent="0.2">
      <c r="A384" s="13">
        <f t="shared" si="70"/>
        <v>2020</v>
      </c>
      <c r="B384" s="13" t="str">
        <f t="shared" si="71"/>
        <v>02</v>
      </c>
      <c r="C384" s="13" t="str">
        <f t="shared" si="72"/>
        <v>13</v>
      </c>
      <c r="D384" s="16" t="str">
        <f>VLOOKUP(H384,'Names for Vlookup'!$B$26:$C$94,2,FALSE)</f>
        <v>Ilseong Food</v>
      </c>
      <c r="E384" s="16" t="str">
        <f>VLOOKUP(I384,'Names for Vlookup'!$B$8:$C$21,2,FALSE)</f>
        <v>Deer velvet</v>
      </c>
      <c r="G384" s="16" t="str">
        <f>VLOOKUP(L384,'Names for Vlookup'!$B$101:$C$181,2,FALSE)</f>
        <v>China</v>
      </c>
      <c r="H384" s="16" t="s">
        <v>335</v>
      </c>
      <c r="I384" s="16" t="s">
        <v>62</v>
      </c>
      <c r="J384" s="16" t="s">
        <v>63</v>
      </c>
      <c r="L384" s="16" t="s">
        <v>433</v>
      </c>
      <c r="M384" s="26" t="s">
        <v>508</v>
      </c>
    </row>
    <row r="385" spans="1:13" ht="14" x14ac:dyDescent="0.2">
      <c r="A385" s="13">
        <f t="shared" si="70"/>
        <v>2020</v>
      </c>
      <c r="B385" s="13" t="str">
        <f t="shared" si="71"/>
        <v>02</v>
      </c>
      <c r="C385" s="13" t="str">
        <f t="shared" si="72"/>
        <v>13</v>
      </c>
      <c r="D385" s="16" t="str">
        <f>VLOOKUP(H385,'Names for Vlookup'!$B$26:$C$94,2,FALSE)</f>
        <v>Bibong Herb</v>
      </c>
      <c r="E385" s="16" t="str">
        <f>VLOOKUP(I385,'Names for Vlookup'!$B$8:$C$21,2,FALSE)</f>
        <v>Deer velvet (dried)</v>
      </c>
      <c r="G385" s="16" t="str">
        <f>VLOOKUP(L385,'Names for Vlookup'!$B$101:$C$181,2,FALSE)</f>
        <v>New Zealand</v>
      </c>
      <c r="H385" s="16" t="s">
        <v>135</v>
      </c>
      <c r="I385" s="16" t="s">
        <v>171</v>
      </c>
      <c r="J385" s="16" t="s">
        <v>70</v>
      </c>
      <c r="L385" s="16" t="s">
        <v>260</v>
      </c>
      <c r="M385" s="26" t="s">
        <v>508</v>
      </c>
    </row>
    <row r="386" spans="1:13" ht="14" x14ac:dyDescent="0.2">
      <c r="A386" s="13">
        <f t="shared" si="70"/>
        <v>2020</v>
      </c>
      <c r="B386" s="13" t="str">
        <f t="shared" si="71"/>
        <v>01</v>
      </c>
      <c r="C386" s="13" t="str">
        <f t="shared" si="72"/>
        <v>21</v>
      </c>
      <c r="D386" s="16" t="str">
        <f>VLOOKUP(H386,'Names for Vlookup'!$B$26:$C$94,2,FALSE)</f>
        <v>KNC Deertrade</v>
      </c>
      <c r="E386" s="16" t="str">
        <f>VLOOKUP(I386,'Names for Vlookup'!$B$8:$C$21,2,FALSE)</f>
        <v>Deer velvet (frozen)</v>
      </c>
      <c r="G386" s="16" t="str">
        <f>VLOOKUP(L386,'Names for Vlookup'!$B$101:$C$181,2,FALSE)</f>
        <v>New Zealand</v>
      </c>
      <c r="H386" s="16" t="s">
        <v>75</v>
      </c>
      <c r="I386" s="16" t="s">
        <v>76</v>
      </c>
      <c r="J386" s="16" t="s">
        <v>73</v>
      </c>
      <c r="L386" s="16" t="s">
        <v>234</v>
      </c>
      <c r="M386" s="26" t="s">
        <v>509</v>
      </c>
    </row>
    <row r="387" spans="1:13" ht="14" x14ac:dyDescent="0.2">
      <c r="A387" s="13">
        <f t="shared" si="70"/>
        <v>2020</v>
      </c>
      <c r="B387" s="13" t="str">
        <f t="shared" si="71"/>
        <v>01</v>
      </c>
      <c r="C387" s="13" t="str">
        <f t="shared" si="72"/>
        <v>10</v>
      </c>
      <c r="D387" s="16" t="str">
        <f>VLOOKUP(H387,'Names for Vlookup'!$B$26:$C$94,2,FALSE)</f>
        <v>YW International</v>
      </c>
      <c r="E387" s="16" t="str">
        <f>VLOOKUP(I387,'Names for Vlookup'!$B$8:$C$21,2,FALSE)</f>
        <v>Deer velvet (frozen)</v>
      </c>
      <c r="G387" s="16" t="str">
        <f>VLOOKUP(L387,'Names for Vlookup'!$B$101:$C$181,2,FALSE)</f>
        <v>New Zealand</v>
      </c>
      <c r="H387" s="16" t="s">
        <v>88</v>
      </c>
      <c r="I387" s="16" t="s">
        <v>72</v>
      </c>
      <c r="J387" s="16" t="s">
        <v>120</v>
      </c>
      <c r="L387" s="16" t="s">
        <v>121</v>
      </c>
      <c r="M387" s="26" t="s">
        <v>510</v>
      </c>
    </row>
    <row r="388" spans="1:13" ht="14" x14ac:dyDescent="0.2">
      <c r="A388" s="13">
        <f t="shared" si="70"/>
        <v>2020</v>
      </c>
      <c r="B388" s="13" t="str">
        <f t="shared" si="71"/>
        <v>01</v>
      </c>
      <c r="C388" s="13" t="str">
        <f t="shared" si="72"/>
        <v>08</v>
      </c>
      <c r="D388" s="16" t="str">
        <f>VLOOKUP(H388,'Names for Vlookup'!$B$26:$C$94,2,FALSE)</f>
        <v>Daedeok Pharm.</v>
      </c>
      <c r="E388" s="16" t="str">
        <f>VLOOKUP(I388,'Names for Vlookup'!$B$8:$C$21,2,FALSE)</f>
        <v>Deer velvet</v>
      </c>
      <c r="G388" s="16" t="str">
        <f>VLOOKUP(L388,'Names for Vlookup'!$B$101:$C$181,2,FALSE)</f>
        <v>Russia</v>
      </c>
      <c r="H388" s="16" t="s">
        <v>206</v>
      </c>
      <c r="I388" s="16" t="s">
        <v>62</v>
      </c>
      <c r="J388" s="16" t="s">
        <v>105</v>
      </c>
      <c r="L388" s="16" t="s">
        <v>212</v>
      </c>
      <c r="M388" s="27" t="s">
        <v>511</v>
      </c>
    </row>
    <row r="389" spans="1:13" ht="14" x14ac:dyDescent="0.2">
      <c r="A389" s="13">
        <f t="shared" si="70"/>
        <v>2020</v>
      </c>
      <c r="B389" s="13" t="str">
        <f t="shared" si="71"/>
        <v>01</v>
      </c>
      <c r="C389" s="13" t="str">
        <f t="shared" si="72"/>
        <v>08</v>
      </c>
      <c r="D389" s="16" t="str">
        <f>VLOOKUP(H389,'Names for Vlookup'!$B$26:$C$94,2,FALSE)</f>
        <v>MyungGa (Mr.Lee in Daegu)</v>
      </c>
      <c r="E389" s="16" t="str">
        <f>VLOOKUP(I389,'Names for Vlookup'!$B$8:$C$21,2,FALSE)</f>
        <v>Deer velvet</v>
      </c>
      <c r="G389" s="16" t="str">
        <f>VLOOKUP(L389,'Names for Vlookup'!$B$101:$C$181,2,FALSE)</f>
        <v>Russia</v>
      </c>
      <c r="H389" s="16" t="s">
        <v>208</v>
      </c>
      <c r="I389" s="16" t="s">
        <v>62</v>
      </c>
      <c r="J389" s="16" t="s">
        <v>105</v>
      </c>
      <c r="L389" s="16" t="s">
        <v>212</v>
      </c>
      <c r="M389" s="27" t="s">
        <v>511</v>
      </c>
    </row>
    <row r="390" spans="1:13" ht="14" x14ac:dyDescent="0.2">
      <c r="A390" s="13">
        <f t="shared" si="70"/>
        <v>2020</v>
      </c>
      <c r="B390" s="13" t="str">
        <f t="shared" si="71"/>
        <v>01</v>
      </c>
      <c r="C390" s="13" t="str">
        <f t="shared" si="72"/>
        <v>06</v>
      </c>
      <c r="D390" s="16" t="str">
        <f>VLOOKUP(H390,'Names for Vlookup'!$B$26:$C$94,2,FALSE)</f>
        <v>DaeWon RTD</v>
      </c>
      <c r="E390" s="16" t="str">
        <f>VLOOKUP(I390,'Names for Vlookup'!$B$8:$C$21,2,FALSE)</f>
        <v>Deer velvet (dried)</v>
      </c>
      <c r="G390" s="16" t="str">
        <f>VLOOKUP(L390,'Names for Vlookup'!$B$101:$C$181,2,FALSE)</f>
        <v>Russia</v>
      </c>
      <c r="H390" s="16" t="s">
        <v>102</v>
      </c>
      <c r="I390" s="16" t="s">
        <v>512</v>
      </c>
      <c r="J390" s="16" t="s">
        <v>94</v>
      </c>
      <c r="L390" s="16" t="s">
        <v>179</v>
      </c>
      <c r="M390" s="27" t="s">
        <v>513</v>
      </c>
    </row>
    <row r="391" spans="1:13" ht="14" x14ac:dyDescent="0.2">
      <c r="A391" s="13">
        <f t="shared" si="70"/>
        <v>2020</v>
      </c>
      <c r="B391" s="13" t="str">
        <f t="shared" si="71"/>
        <v>01</v>
      </c>
      <c r="C391" s="13" t="str">
        <f t="shared" si="72"/>
        <v>06</v>
      </c>
      <c r="D391" s="16" t="str">
        <f>VLOOKUP(H391,'Names for Vlookup'!$B$26:$C$94,2,FALSE)</f>
        <v>Geonhyang Pharm.</v>
      </c>
      <c r="E391" s="16" t="str">
        <f>VLOOKUP(I391,'Names for Vlookup'!$B$8:$C$21,2,FALSE)</f>
        <v>Deer velvet (dried)</v>
      </c>
      <c r="G391" s="16" t="str">
        <f>VLOOKUP(L391,'Names for Vlookup'!$B$101:$C$181,2,FALSE)</f>
        <v>Russia</v>
      </c>
      <c r="H391" s="16" t="s">
        <v>93</v>
      </c>
      <c r="I391" s="16" t="s">
        <v>171</v>
      </c>
      <c r="J391" s="16" t="s">
        <v>445</v>
      </c>
      <c r="L391" s="16" t="s">
        <v>514</v>
      </c>
      <c r="M391" s="27" t="s">
        <v>513</v>
      </c>
    </row>
    <row r="392" spans="1:13" ht="14" x14ac:dyDescent="0.2">
      <c r="A392" s="13">
        <f t="shared" si="70"/>
        <v>2019</v>
      </c>
      <c r="B392" s="13" t="str">
        <f t="shared" si="71"/>
        <v>12</v>
      </c>
      <c r="C392" s="13" t="str">
        <f t="shared" si="72"/>
        <v>31</v>
      </c>
      <c r="D392" s="16" t="str">
        <f>VLOOKUP(H392,'Names for Vlookup'!$B$26:$C$94,2,FALSE)</f>
        <v>KNC Deertrade</v>
      </c>
      <c r="E392" s="16" t="str">
        <f>VLOOKUP(I392,'Names for Vlookup'!$B$8:$C$21,2,FALSE)</f>
        <v>Deer velvet (frozen)</v>
      </c>
      <c r="G392" s="16" t="str">
        <f>VLOOKUP(L392,'Names for Vlookup'!$B$101:$C$181,2,FALSE)</f>
        <v>New Zealand</v>
      </c>
      <c r="H392" s="16" t="s">
        <v>75</v>
      </c>
      <c r="I392" s="16" t="s">
        <v>76</v>
      </c>
      <c r="J392" s="16" t="s">
        <v>73</v>
      </c>
      <c r="L392" s="16" t="s">
        <v>37</v>
      </c>
      <c r="M392" s="26" t="s">
        <v>515</v>
      </c>
    </row>
    <row r="393" spans="1:13" ht="14" x14ac:dyDescent="0.2">
      <c r="A393" s="13">
        <f t="shared" si="70"/>
        <v>2019</v>
      </c>
      <c r="B393" s="13" t="str">
        <f t="shared" si="71"/>
        <v>12</v>
      </c>
      <c r="C393" s="13" t="str">
        <f t="shared" si="72"/>
        <v>18</v>
      </c>
      <c r="D393" s="16" t="str">
        <f>VLOOKUP(H393,'Names for Vlookup'!$B$26:$C$94,2,FALSE)</f>
        <v>Jinka Food</v>
      </c>
      <c r="E393" s="16" t="str">
        <f>VLOOKUP(I393,'Names for Vlookup'!$B$8:$C$21,2,FALSE)</f>
        <v>Deer velvet (frozen)</v>
      </c>
      <c r="G393" s="16" t="str">
        <f>VLOOKUP(L393,'Names for Vlookup'!$B$101:$C$181,2,FALSE)</f>
        <v>New Zealand</v>
      </c>
      <c r="H393" s="16" t="s">
        <v>466</v>
      </c>
      <c r="I393" s="16" t="s">
        <v>76</v>
      </c>
      <c r="J393" s="16" t="s">
        <v>73</v>
      </c>
      <c r="L393" s="16" t="s">
        <v>36</v>
      </c>
      <c r="M393" s="26" t="s">
        <v>516</v>
      </c>
    </row>
    <row r="394" spans="1:13" ht="14" x14ac:dyDescent="0.2">
      <c r="A394" s="13">
        <f t="shared" si="70"/>
        <v>2019</v>
      </c>
      <c r="B394" s="13" t="str">
        <f t="shared" si="71"/>
        <v>12</v>
      </c>
      <c r="C394" s="13" t="str">
        <f t="shared" si="72"/>
        <v>13</v>
      </c>
      <c r="D394" s="16" t="str">
        <f>VLOOKUP(H394,'Names for Vlookup'!$B$26:$C$94,2,FALSE)</f>
        <v>Onnuri Bio</v>
      </c>
      <c r="E394" s="16" t="str">
        <f>VLOOKUP(I394,'Names for Vlookup'!$B$8:$C$21,2,FALSE)</f>
        <v>Deer velvet (frozen)</v>
      </c>
      <c r="G394" s="16" t="str">
        <f>VLOOKUP(L394,'Names for Vlookup'!$B$101:$C$181,2,FALSE)</f>
        <v>New Zealand</v>
      </c>
      <c r="H394" s="16" t="s">
        <v>61</v>
      </c>
      <c r="I394" s="16" t="s">
        <v>76</v>
      </c>
      <c r="J394" s="16" t="s">
        <v>73</v>
      </c>
      <c r="L394" s="16" t="s">
        <v>38</v>
      </c>
      <c r="M394" s="26" t="s">
        <v>517</v>
      </c>
    </row>
    <row r="395" spans="1:13" ht="14" x14ac:dyDescent="0.2">
      <c r="A395" s="13">
        <f t="shared" si="70"/>
        <v>2019</v>
      </c>
      <c r="B395" s="13" t="str">
        <f t="shared" si="71"/>
        <v>12</v>
      </c>
      <c r="C395" s="13" t="str">
        <f t="shared" si="72"/>
        <v>03</v>
      </c>
      <c r="D395" s="16" t="str">
        <f>VLOOKUP(H395,'Names for Vlookup'!$B$26:$C$94,2,FALSE)</f>
        <v>YW International</v>
      </c>
      <c r="E395" s="16" t="str">
        <f>VLOOKUP(I395,'Names for Vlookup'!$B$8:$C$21,2,FALSE)</f>
        <v>Deer velvet (frozen)</v>
      </c>
      <c r="G395" s="16" t="str">
        <f>VLOOKUP(L395,'Names for Vlookup'!$B$101:$C$181,2,FALSE)</f>
        <v>New Zealand</v>
      </c>
      <c r="H395" s="16" t="s">
        <v>88</v>
      </c>
      <c r="I395" s="16" t="s">
        <v>72</v>
      </c>
      <c r="J395" s="16" t="s">
        <v>120</v>
      </c>
      <c r="L395" s="16" t="s">
        <v>121</v>
      </c>
      <c r="M395" s="27" t="s">
        <v>518</v>
      </c>
    </row>
    <row r="396" spans="1:13" ht="14" x14ac:dyDescent="0.2">
      <c r="A396" s="13">
        <f t="shared" si="70"/>
        <v>2019</v>
      </c>
      <c r="B396" s="13" t="str">
        <f t="shared" si="71"/>
        <v>12</v>
      </c>
      <c r="C396" s="13" t="str">
        <f t="shared" si="72"/>
        <v>03</v>
      </c>
      <c r="D396" s="16" t="str">
        <f>VLOOKUP(H396,'Names for Vlookup'!$B$26:$C$94,2,FALSE)</f>
        <v>KNC Deertrade</v>
      </c>
      <c r="E396" s="16" t="str">
        <f>VLOOKUP(I396,'Names for Vlookup'!$B$8:$C$21,2,FALSE)</f>
        <v>Deer velvet (frozen)</v>
      </c>
      <c r="G396" s="16" t="str">
        <f>VLOOKUP(L396,'Names for Vlookup'!$B$101:$C$181,2,FALSE)</f>
        <v>New Zealand</v>
      </c>
      <c r="H396" s="16" t="s">
        <v>75</v>
      </c>
      <c r="I396" s="16" t="s">
        <v>76</v>
      </c>
      <c r="J396" s="16" t="s">
        <v>73</v>
      </c>
      <c r="L396" s="16" t="s">
        <v>37</v>
      </c>
      <c r="M396" s="27" t="s">
        <v>518</v>
      </c>
    </row>
    <row r="397" spans="1:13" ht="14" x14ac:dyDescent="0.2">
      <c r="A397" s="13">
        <f t="shared" si="70"/>
        <v>2019</v>
      </c>
      <c r="B397" s="13" t="str">
        <f t="shared" si="71"/>
        <v>11</v>
      </c>
      <c r="C397" s="13" t="str">
        <f t="shared" si="72"/>
        <v>28</v>
      </c>
      <c r="D397" s="16" t="str">
        <f>VLOOKUP(H397,'Names for Vlookup'!$B$26:$C$94,2,FALSE)</f>
        <v>Daeho Pharm.</v>
      </c>
      <c r="E397" s="16" t="str">
        <f>VLOOKUP(I397,'Names for Vlookup'!$B$8:$C$21,2,FALSE)</f>
        <v>Deer velvet (frozen)</v>
      </c>
      <c r="G397" s="16" t="str">
        <f>VLOOKUP(L397,'Names for Vlookup'!$B$101:$C$181,2,FALSE)</f>
        <v>New Zealand</v>
      </c>
      <c r="H397" s="16" t="s">
        <v>143</v>
      </c>
      <c r="I397" s="16" t="s">
        <v>76</v>
      </c>
      <c r="J397" s="16" t="s">
        <v>73</v>
      </c>
      <c r="L397" s="16" t="s">
        <v>38</v>
      </c>
      <c r="M397" s="26" t="s">
        <v>519</v>
      </c>
    </row>
    <row r="398" spans="1:13" ht="14" x14ac:dyDescent="0.2">
      <c r="A398" s="13">
        <f t="shared" si="70"/>
        <v>2019</v>
      </c>
      <c r="B398" s="13" t="str">
        <f t="shared" si="71"/>
        <v>10</v>
      </c>
      <c r="C398" s="13" t="str">
        <f t="shared" si="72"/>
        <v>28</v>
      </c>
      <c r="D398" s="16" t="str">
        <f>VLOOKUP(H398,'Names for Vlookup'!$B$26:$C$94,2,FALSE)</f>
        <v>DaeWon RTD</v>
      </c>
      <c r="E398" s="16" t="str">
        <f>VLOOKUP(I398,'Names for Vlookup'!$B$8:$C$21,2,FALSE)</f>
        <v>Deer velvet (dried)</v>
      </c>
      <c r="G398" s="16" t="str">
        <f>VLOOKUP(L398,'Names for Vlookup'!$B$101:$C$181,2,FALSE)</f>
        <v>Russia</v>
      </c>
      <c r="H398" s="16" t="s">
        <v>102</v>
      </c>
      <c r="I398" s="16" t="s">
        <v>512</v>
      </c>
      <c r="J398" s="16" t="s">
        <v>94</v>
      </c>
      <c r="L398" s="16" t="s">
        <v>103</v>
      </c>
      <c r="M398" s="26" t="s">
        <v>520</v>
      </c>
    </row>
    <row r="399" spans="1:13" ht="14" x14ac:dyDescent="0.2">
      <c r="A399" s="13">
        <f t="shared" si="70"/>
        <v>2019</v>
      </c>
      <c r="B399" s="13" t="str">
        <f t="shared" si="71"/>
        <v>10</v>
      </c>
      <c r="C399" s="13" t="str">
        <f t="shared" si="72"/>
        <v>21</v>
      </c>
      <c r="D399" s="16" t="str">
        <f>VLOOKUP(H399,'Names for Vlookup'!$B$26:$C$94,2,FALSE)</f>
        <v>KGC</v>
      </c>
      <c r="E399" s="16" t="str">
        <f>VLOOKUP(I399,'Names for Vlookup'!$B$8:$C$21,2,FALSE)</f>
        <v>Deer velvet (dried)</v>
      </c>
      <c r="G399" s="16" t="str">
        <f>VLOOKUP(L399,'Names for Vlookup'!$B$101:$C$181,2,FALSE)</f>
        <v>New Zealand</v>
      </c>
      <c r="H399" s="16" t="s">
        <v>480</v>
      </c>
      <c r="I399" s="16" t="s">
        <v>171</v>
      </c>
      <c r="J399" s="16" t="s">
        <v>70</v>
      </c>
      <c r="L399" s="16" t="s">
        <v>250</v>
      </c>
      <c r="M399" s="26" t="s">
        <v>521</v>
      </c>
    </row>
    <row r="400" spans="1:13" ht="14" x14ac:dyDescent="0.2">
      <c r="A400" s="13">
        <f t="shared" ref="A400:A463" si="73">YEAR(M400)</f>
        <v>2019</v>
      </c>
      <c r="B400" s="13" t="str">
        <f t="shared" ref="B400:B463" si="74">TEXT(M400,"mm")</f>
        <v>10</v>
      </c>
      <c r="C400" s="13" t="str">
        <f t="shared" ref="C400:C463" si="75">TEXT(M400,"dd")</f>
        <v>21</v>
      </c>
      <c r="D400" s="16" t="str">
        <f>VLOOKUP(H400,'Names for Vlookup'!$B$26:$C$94,2,FALSE)</f>
        <v>Ilseong Food</v>
      </c>
      <c r="E400" s="16" t="str">
        <f>VLOOKUP(I400,'Names for Vlookup'!$B$8:$C$21,2,FALSE)</f>
        <v>Deer velvet</v>
      </c>
      <c r="G400" s="16" t="str">
        <f>VLOOKUP(L400,'Names for Vlookup'!$B$101:$C$181,2,FALSE)</f>
        <v>Russia</v>
      </c>
      <c r="H400" s="16" t="s">
        <v>335</v>
      </c>
      <c r="I400" s="16" t="s">
        <v>62</v>
      </c>
      <c r="J400" s="16" t="s">
        <v>63</v>
      </c>
      <c r="L400" s="16" t="s">
        <v>522</v>
      </c>
      <c r="M400" s="26" t="s">
        <v>521</v>
      </c>
    </row>
    <row r="401" spans="1:13" ht="14" x14ac:dyDescent="0.2">
      <c r="A401" s="13">
        <f t="shared" si="73"/>
        <v>2019</v>
      </c>
      <c r="B401" s="13" t="str">
        <f t="shared" si="74"/>
        <v>10</v>
      </c>
      <c r="C401" s="13" t="str">
        <f t="shared" si="75"/>
        <v>17</v>
      </c>
      <c r="D401" s="16" t="str">
        <f>VLOOKUP(H401,'Names for Vlookup'!$B$26:$C$94,2,FALSE)</f>
        <v>Daeheung Pharm</v>
      </c>
      <c r="E401" s="16" t="str">
        <f>VLOOKUP(I401,'Names for Vlookup'!$B$8:$C$21,2,FALSE)</f>
        <v>Deer velvet</v>
      </c>
      <c r="G401" s="16" t="str">
        <f>VLOOKUP(L401,'Names for Vlookup'!$B$101:$C$181,2,FALSE)</f>
        <v>Russia</v>
      </c>
      <c r="H401" s="16" t="s">
        <v>406</v>
      </c>
      <c r="I401" s="16" t="s">
        <v>62</v>
      </c>
      <c r="J401" s="16" t="s">
        <v>63</v>
      </c>
      <c r="L401" s="16" t="s">
        <v>115</v>
      </c>
      <c r="M401" s="26" t="s">
        <v>523</v>
      </c>
    </row>
    <row r="402" spans="1:13" ht="14" x14ac:dyDescent="0.2">
      <c r="A402" s="13">
        <f t="shared" si="73"/>
        <v>2019</v>
      </c>
      <c r="B402" s="13" t="str">
        <f t="shared" si="74"/>
        <v>10</v>
      </c>
      <c r="C402" s="13" t="str">
        <f t="shared" si="75"/>
        <v>17</v>
      </c>
      <c r="D402" s="16" t="str">
        <f>VLOOKUP(H402,'Names for Vlookup'!$B$26:$C$94,2,FALSE)</f>
        <v>Jinka Food</v>
      </c>
      <c r="E402" s="16" t="str">
        <f>VLOOKUP(I402,'Names for Vlookup'!$B$8:$C$21,2,FALSE)</f>
        <v>Deer velvet (frozen)</v>
      </c>
      <c r="G402" s="16" t="str">
        <f>VLOOKUP(L402,'Names for Vlookup'!$B$101:$C$181,2,FALSE)</f>
        <v>New Zealand</v>
      </c>
      <c r="H402" s="16" t="s">
        <v>466</v>
      </c>
      <c r="I402" s="16" t="s">
        <v>76</v>
      </c>
      <c r="J402" s="16" t="s">
        <v>73</v>
      </c>
      <c r="L402" s="16" t="s">
        <v>36</v>
      </c>
      <c r="M402" s="26" t="s">
        <v>523</v>
      </c>
    </row>
    <row r="403" spans="1:13" ht="14" x14ac:dyDescent="0.2">
      <c r="A403" s="13">
        <f t="shared" si="73"/>
        <v>2019</v>
      </c>
      <c r="B403" s="13" t="str">
        <f t="shared" si="74"/>
        <v>10</v>
      </c>
      <c r="C403" s="13" t="str">
        <f t="shared" si="75"/>
        <v>15</v>
      </c>
      <c r="D403" s="16" t="str">
        <f>VLOOKUP(H403,'Names for Vlookup'!$B$26:$C$94,2,FALSE)</f>
        <v>Yujin Trade</v>
      </c>
      <c r="E403" s="16" t="str">
        <f>VLOOKUP(I403,'Names for Vlookup'!$B$8:$C$21,2,FALSE)</f>
        <v>Deer velvet (dried)</v>
      </c>
      <c r="G403" s="16" t="str">
        <f>VLOOKUP(L403,'Names for Vlookup'!$B$101:$C$181,2,FALSE)</f>
        <v>Russia</v>
      </c>
      <c r="H403" s="16" t="s">
        <v>91</v>
      </c>
      <c r="I403" s="16" t="s">
        <v>171</v>
      </c>
      <c r="J403" s="16" t="s">
        <v>63</v>
      </c>
      <c r="L403" s="16" t="s">
        <v>524</v>
      </c>
      <c r="M403" s="26" t="s">
        <v>525</v>
      </c>
    </row>
    <row r="404" spans="1:13" ht="14" x14ac:dyDescent="0.2">
      <c r="A404" s="13">
        <f t="shared" si="73"/>
        <v>2019</v>
      </c>
      <c r="B404" s="13" t="str">
        <f t="shared" si="74"/>
        <v>10</v>
      </c>
      <c r="C404" s="13" t="str">
        <f t="shared" si="75"/>
        <v>02</v>
      </c>
      <c r="D404" s="16" t="str">
        <f>VLOOKUP(H404,'Names for Vlookup'!$B$26:$C$94,2,FALSE)</f>
        <v>Handong Herb</v>
      </c>
      <c r="E404" s="16" t="str">
        <f>VLOOKUP(I404,'Names for Vlookup'!$B$8:$C$21,2,FALSE)</f>
        <v>Deer velvet (frozen)</v>
      </c>
      <c r="G404" s="16" t="str">
        <f>VLOOKUP(L404,'Names for Vlookup'!$B$101:$C$181,2,FALSE)</f>
        <v>New Zealand</v>
      </c>
      <c r="H404" s="16" t="s">
        <v>526</v>
      </c>
      <c r="I404" s="16" t="s">
        <v>76</v>
      </c>
      <c r="J404" s="16" t="s">
        <v>73</v>
      </c>
      <c r="L404" s="16" t="s">
        <v>183</v>
      </c>
      <c r="M404" s="27" t="s">
        <v>527</v>
      </c>
    </row>
    <row r="405" spans="1:13" ht="14" x14ac:dyDescent="0.2">
      <c r="A405" s="13">
        <f t="shared" si="73"/>
        <v>2019</v>
      </c>
      <c r="B405" s="13" t="str">
        <f t="shared" si="74"/>
        <v>09</v>
      </c>
      <c r="C405" s="13" t="str">
        <f t="shared" si="75"/>
        <v>25</v>
      </c>
      <c r="D405" s="16" t="str">
        <f>VLOOKUP(H405,'Names for Vlookup'!$B$26:$C$94,2,FALSE)</f>
        <v>KGC</v>
      </c>
      <c r="E405" s="16" t="str">
        <f>VLOOKUP(I405,'Names for Vlookup'!$B$8:$C$21,2,FALSE)</f>
        <v>Deer velvet (dried)</v>
      </c>
      <c r="G405" s="16" t="str">
        <f>VLOOKUP(L405,'Names for Vlookup'!$B$101:$C$181,2,FALSE)</f>
        <v>New Zealand</v>
      </c>
      <c r="H405" s="16" t="s">
        <v>480</v>
      </c>
      <c r="I405" s="16" t="s">
        <v>171</v>
      </c>
      <c r="J405" s="16" t="s">
        <v>70</v>
      </c>
      <c r="L405" s="16" t="s">
        <v>250</v>
      </c>
      <c r="M405" s="26" t="s">
        <v>528</v>
      </c>
    </row>
    <row r="406" spans="1:13" ht="14" x14ac:dyDescent="0.2">
      <c r="A406" s="13">
        <f t="shared" si="73"/>
        <v>2019</v>
      </c>
      <c r="B406" s="13" t="str">
        <f t="shared" si="74"/>
        <v>08</v>
      </c>
      <c r="C406" s="13" t="str">
        <f t="shared" si="75"/>
        <v>28</v>
      </c>
      <c r="D406" s="16" t="str">
        <f>VLOOKUP(H406,'Names for Vlookup'!$B$26:$C$94,2,FALSE)</f>
        <v>KNC Deertrade</v>
      </c>
      <c r="E406" s="16" t="str">
        <f>VLOOKUP(I406,'Names for Vlookup'!$B$8:$C$21,2,FALSE)</f>
        <v>Deer velvet (frozen)</v>
      </c>
      <c r="G406" s="16" t="str">
        <f>VLOOKUP(L406,'Names for Vlookup'!$B$101:$C$181,2,FALSE)</f>
        <v>New Zealand</v>
      </c>
      <c r="H406" s="16" t="s">
        <v>75</v>
      </c>
      <c r="I406" s="16" t="s">
        <v>76</v>
      </c>
      <c r="J406" s="16" t="s">
        <v>73</v>
      </c>
      <c r="L406" s="16" t="s">
        <v>37</v>
      </c>
      <c r="M406" s="26" t="s">
        <v>529</v>
      </c>
    </row>
    <row r="407" spans="1:13" ht="14" x14ac:dyDescent="0.2">
      <c r="A407" s="13">
        <f t="shared" si="73"/>
        <v>2019</v>
      </c>
      <c r="B407" s="13" t="str">
        <f t="shared" si="74"/>
        <v>08</v>
      </c>
      <c r="C407" s="13" t="str">
        <f t="shared" si="75"/>
        <v>28</v>
      </c>
      <c r="D407" s="16" t="str">
        <f>VLOOKUP(H407,'Names for Vlookup'!$B$26:$C$94,2,FALSE)</f>
        <v>KGC</v>
      </c>
      <c r="E407" s="16" t="str">
        <f>VLOOKUP(I407,'Names for Vlookup'!$B$8:$C$21,2,FALSE)</f>
        <v>Deer velvet (dried)</v>
      </c>
      <c r="G407" s="16" t="str">
        <f>VLOOKUP(L407,'Names for Vlookup'!$B$101:$C$181,2,FALSE)</f>
        <v>New Zealand</v>
      </c>
      <c r="H407" s="16" t="s">
        <v>480</v>
      </c>
      <c r="I407" s="16" t="s">
        <v>171</v>
      </c>
      <c r="J407" s="16" t="s">
        <v>70</v>
      </c>
      <c r="L407" s="16" t="s">
        <v>250</v>
      </c>
      <c r="M407" s="26" t="s">
        <v>529</v>
      </c>
    </row>
    <row r="408" spans="1:13" ht="14" x14ac:dyDescent="0.2">
      <c r="A408" s="13">
        <f t="shared" si="73"/>
        <v>2019</v>
      </c>
      <c r="B408" s="13" t="str">
        <f t="shared" si="74"/>
        <v>08</v>
      </c>
      <c r="C408" s="13" t="str">
        <f t="shared" si="75"/>
        <v>28</v>
      </c>
      <c r="D408" s="16" t="str">
        <f>VLOOKUP(H408,'Names for Vlookup'!$B$26:$C$94,2,FALSE)</f>
        <v xml:space="preserve">WooSung (Mr Bang) </v>
      </c>
      <c r="E408" s="16" t="str">
        <f>VLOOKUP(I408,'Names for Vlookup'!$B$8:$C$21,2,FALSE)</f>
        <v>Deer velvet (dried)</v>
      </c>
      <c r="G408" s="16" t="str">
        <f>VLOOKUP(L408,'Names for Vlookup'!$B$101:$C$181,2,FALSE)</f>
        <v>New Zealand</v>
      </c>
      <c r="H408" s="16" t="s">
        <v>69</v>
      </c>
      <c r="I408" s="16" t="s">
        <v>171</v>
      </c>
      <c r="J408" s="16" t="s">
        <v>70</v>
      </c>
      <c r="L408" s="16" t="s">
        <v>38</v>
      </c>
      <c r="M408" s="26" t="s">
        <v>529</v>
      </c>
    </row>
    <row r="409" spans="1:13" ht="14" x14ac:dyDescent="0.2">
      <c r="A409" s="13">
        <f t="shared" si="73"/>
        <v>2019</v>
      </c>
      <c r="B409" s="13" t="str">
        <f t="shared" si="74"/>
        <v>08</v>
      </c>
      <c r="C409" s="13" t="str">
        <f t="shared" si="75"/>
        <v>28</v>
      </c>
      <c r="D409" s="16" t="str">
        <f>VLOOKUP(H409,'Names for Vlookup'!$B$26:$C$94,2,FALSE)</f>
        <v>Bibong Herb</v>
      </c>
      <c r="E409" s="16" t="str">
        <f>VLOOKUP(I409,'Names for Vlookup'!$B$8:$C$21,2,FALSE)</f>
        <v>Deer velvet (dried)</v>
      </c>
      <c r="G409" s="16" t="str">
        <f>VLOOKUP(L409,'Names for Vlookup'!$B$101:$C$181,2,FALSE)</f>
        <v>New Zealand</v>
      </c>
      <c r="H409" s="16" t="s">
        <v>135</v>
      </c>
      <c r="I409" s="16" t="s">
        <v>171</v>
      </c>
      <c r="J409" s="16" t="s">
        <v>70</v>
      </c>
      <c r="L409" s="16" t="s">
        <v>260</v>
      </c>
      <c r="M409" s="26" t="s">
        <v>529</v>
      </c>
    </row>
    <row r="410" spans="1:13" ht="14" x14ac:dyDescent="0.2">
      <c r="A410" s="13">
        <f t="shared" si="73"/>
        <v>2019</v>
      </c>
      <c r="B410" s="13" t="str">
        <f t="shared" si="74"/>
        <v>08</v>
      </c>
      <c r="C410" s="13" t="str">
        <f t="shared" si="75"/>
        <v>06</v>
      </c>
      <c r="D410" s="16" t="str">
        <f>VLOOKUP(H410,'Names for Vlookup'!$B$26:$C$94,2,FALSE)</f>
        <v>KGC</v>
      </c>
      <c r="E410" s="16" t="str">
        <f>VLOOKUP(I410,'Names for Vlookup'!$B$8:$C$21,2,FALSE)</f>
        <v>Deer velvet (dried)</v>
      </c>
      <c r="G410" s="16" t="str">
        <f>VLOOKUP(L410,'Names for Vlookup'!$B$101:$C$181,2,FALSE)</f>
        <v>New Zealand</v>
      </c>
      <c r="H410" s="16" t="s">
        <v>480</v>
      </c>
      <c r="I410" s="16" t="s">
        <v>171</v>
      </c>
      <c r="J410" s="16" t="s">
        <v>70</v>
      </c>
      <c r="L410" s="16" t="s">
        <v>250</v>
      </c>
      <c r="M410" s="27" t="s">
        <v>530</v>
      </c>
    </row>
    <row r="411" spans="1:13" ht="14" x14ac:dyDescent="0.2">
      <c r="A411" s="13">
        <f t="shared" si="73"/>
        <v>2019</v>
      </c>
      <c r="B411" s="13" t="str">
        <f t="shared" si="74"/>
        <v>08</v>
      </c>
      <c r="C411" s="13" t="str">
        <f t="shared" si="75"/>
        <v>06</v>
      </c>
      <c r="D411" s="16" t="str">
        <f>VLOOKUP(H411,'Names for Vlookup'!$B$26:$C$94,2,FALSE)</f>
        <v>Yujin Trade</v>
      </c>
      <c r="E411" s="16" t="str">
        <f>VLOOKUP(I411,'Names for Vlookup'!$B$8:$C$21,2,FALSE)</f>
        <v>Deer velvet (dried)</v>
      </c>
      <c r="G411" s="16" t="str">
        <f>VLOOKUP(L411,'Names for Vlookup'!$B$101:$C$181,2,FALSE)</f>
        <v>China</v>
      </c>
      <c r="H411" s="16" t="s">
        <v>91</v>
      </c>
      <c r="I411" s="16" t="s">
        <v>171</v>
      </c>
      <c r="J411" s="16" t="s">
        <v>70</v>
      </c>
      <c r="L411" s="16" t="s">
        <v>531</v>
      </c>
      <c r="M411" s="27" t="s">
        <v>530</v>
      </c>
    </row>
    <row r="412" spans="1:13" ht="14" x14ac:dyDescent="0.2">
      <c r="A412" s="13">
        <f t="shared" si="73"/>
        <v>2019</v>
      </c>
      <c r="B412" s="13" t="str">
        <f t="shared" si="74"/>
        <v>07</v>
      </c>
      <c r="C412" s="13" t="str">
        <f t="shared" si="75"/>
        <v>29</v>
      </c>
      <c r="D412" s="16" t="str">
        <f>VLOOKUP(H412,'Names for Vlookup'!$B$26:$C$94,2,FALSE)</f>
        <v>HwaYong Pharm.</v>
      </c>
      <c r="E412" s="16" t="str">
        <f>VLOOKUP(I412,'Names for Vlookup'!$B$8:$C$21,2,FALSE)</f>
        <v>Deer velvet</v>
      </c>
      <c r="G412" s="16" t="str">
        <f>VLOOKUP(L412,'Names for Vlookup'!$B$101:$C$181,2,FALSE)</f>
        <v>China</v>
      </c>
      <c r="H412" s="16" t="s">
        <v>80</v>
      </c>
      <c r="I412" s="16" t="s">
        <v>62</v>
      </c>
      <c r="J412" s="16" t="s">
        <v>63</v>
      </c>
      <c r="L412" s="16" t="s">
        <v>226</v>
      </c>
      <c r="M412" s="26" t="s">
        <v>532</v>
      </c>
    </row>
    <row r="413" spans="1:13" ht="14" x14ac:dyDescent="0.2">
      <c r="A413" s="13">
        <f t="shared" si="73"/>
        <v>2019</v>
      </c>
      <c r="B413" s="13" t="str">
        <f t="shared" si="74"/>
        <v>07</v>
      </c>
      <c r="C413" s="13" t="str">
        <f t="shared" si="75"/>
        <v>25</v>
      </c>
      <c r="D413" s="16" t="str">
        <f>VLOOKUP(H413,'Names for Vlookup'!$B$26:$C$94,2,FALSE)</f>
        <v>KNC Deertrade</v>
      </c>
      <c r="E413" s="16" t="str">
        <f>VLOOKUP(I413,'Names for Vlookup'!$B$8:$C$21,2,FALSE)</f>
        <v>Deer velvet (frozen)</v>
      </c>
      <c r="G413" s="16" t="str">
        <f>VLOOKUP(L413,'Names for Vlookup'!$B$101:$C$181,2,FALSE)</f>
        <v>New Zealand</v>
      </c>
      <c r="H413" s="16" t="s">
        <v>75</v>
      </c>
      <c r="I413" s="16" t="s">
        <v>76</v>
      </c>
      <c r="J413" s="16" t="s">
        <v>73</v>
      </c>
      <c r="L413" s="16" t="s">
        <v>36</v>
      </c>
      <c r="M413" s="26" t="s">
        <v>533</v>
      </c>
    </row>
    <row r="414" spans="1:13" ht="14" x14ac:dyDescent="0.2">
      <c r="A414" s="13">
        <f t="shared" si="73"/>
        <v>2019</v>
      </c>
      <c r="B414" s="13" t="str">
        <f t="shared" si="74"/>
        <v>07</v>
      </c>
      <c r="C414" s="13" t="str">
        <f t="shared" si="75"/>
        <v>12</v>
      </c>
      <c r="D414" s="16" t="str">
        <f>VLOOKUP(H414,'Names for Vlookup'!$B$26:$C$94,2,FALSE)</f>
        <v>Yujin Trade</v>
      </c>
      <c r="E414" s="16" t="str">
        <f>VLOOKUP(I414,'Names for Vlookup'!$B$8:$C$21,2,FALSE)</f>
        <v>Deer velvet (dried)</v>
      </c>
      <c r="G414" s="16" t="str">
        <f>VLOOKUP(L414,'Names for Vlookup'!$B$101:$C$181,2,FALSE)</f>
        <v>Russia</v>
      </c>
      <c r="H414" s="16" t="s">
        <v>91</v>
      </c>
      <c r="I414" s="16" t="s">
        <v>171</v>
      </c>
      <c r="J414" s="16" t="s">
        <v>63</v>
      </c>
      <c r="L414" s="16" t="s">
        <v>524</v>
      </c>
      <c r="M414" s="26" t="s">
        <v>534</v>
      </c>
    </row>
    <row r="415" spans="1:13" ht="14" x14ac:dyDescent="0.2">
      <c r="A415" s="13">
        <f t="shared" si="73"/>
        <v>2019</v>
      </c>
      <c r="B415" s="13" t="str">
        <f t="shared" si="74"/>
        <v>07</v>
      </c>
      <c r="C415" s="13" t="str">
        <f t="shared" si="75"/>
        <v>02</v>
      </c>
      <c r="D415" s="16" t="str">
        <f>VLOOKUP(H415,'Names for Vlookup'!$B$26:$C$94,2,FALSE)</f>
        <v>Wonkyung Yakup</v>
      </c>
      <c r="E415" s="16" t="str">
        <f>VLOOKUP(I415,'Names for Vlookup'!$B$8:$C$21,2,FALSE)</f>
        <v>Deer velvet (dried)</v>
      </c>
      <c r="G415" s="16" t="str">
        <f>VLOOKUP(L415,'Names for Vlookup'!$B$101:$C$181,2,FALSE)</f>
        <v>China</v>
      </c>
      <c r="H415" s="16" t="s">
        <v>507</v>
      </c>
      <c r="I415" s="16" t="s">
        <v>171</v>
      </c>
      <c r="J415" s="16" t="s">
        <v>70</v>
      </c>
      <c r="L415" s="16" t="s">
        <v>33</v>
      </c>
      <c r="M415" s="27" t="s">
        <v>535</v>
      </c>
    </row>
    <row r="416" spans="1:13" ht="14" x14ac:dyDescent="0.2">
      <c r="A416" s="13">
        <f t="shared" si="73"/>
        <v>2019</v>
      </c>
      <c r="B416" s="13" t="str">
        <f t="shared" si="74"/>
        <v>07</v>
      </c>
      <c r="C416" s="13" t="str">
        <f t="shared" si="75"/>
        <v>02</v>
      </c>
      <c r="D416" s="16" t="str">
        <f>VLOOKUP(H416,'Names for Vlookup'!$B$26:$C$94,2,FALSE)</f>
        <v>KNC Deertrade</v>
      </c>
      <c r="E416" s="16" t="str">
        <f>VLOOKUP(I416,'Names for Vlookup'!$B$8:$C$21,2,FALSE)</f>
        <v>Deer velvet (dried)</v>
      </c>
      <c r="G416" s="16" t="str">
        <f>VLOOKUP(L416,'Names for Vlookup'!$B$101:$C$181,2,FALSE)</f>
        <v>New Zealand</v>
      </c>
      <c r="H416" s="16" t="s">
        <v>75</v>
      </c>
      <c r="I416" s="16" t="s">
        <v>512</v>
      </c>
      <c r="J416" s="16" t="s">
        <v>94</v>
      </c>
      <c r="L416" s="16" t="s">
        <v>536</v>
      </c>
      <c r="M416" s="27" t="s">
        <v>535</v>
      </c>
    </row>
    <row r="417" spans="1:13" ht="14" x14ac:dyDescent="0.2">
      <c r="A417" s="13">
        <f t="shared" si="73"/>
        <v>2019</v>
      </c>
      <c r="B417" s="13" t="str">
        <f t="shared" si="74"/>
        <v>07</v>
      </c>
      <c r="C417" s="13" t="str">
        <f t="shared" si="75"/>
        <v>02</v>
      </c>
      <c r="D417" s="16" t="str">
        <f>VLOOKUP(H417,'Names for Vlookup'!$B$26:$C$94,2,FALSE)</f>
        <v>KNC Deertrade</v>
      </c>
      <c r="E417" s="16" t="str">
        <f>VLOOKUP(I417,'Names for Vlookup'!$B$8:$C$21,2,FALSE)</f>
        <v>Deer velvet (dried)</v>
      </c>
      <c r="G417" s="16" t="str">
        <f>VLOOKUP(L417,'Names for Vlookup'!$B$101:$C$181,2,FALSE)</f>
        <v>Russia</v>
      </c>
      <c r="H417" s="16" t="s">
        <v>75</v>
      </c>
      <c r="I417" s="16" t="s">
        <v>512</v>
      </c>
      <c r="J417" s="16" t="s">
        <v>94</v>
      </c>
      <c r="L417" s="16" t="s">
        <v>42</v>
      </c>
      <c r="M417" s="27" t="s">
        <v>535</v>
      </c>
    </row>
    <row r="418" spans="1:13" ht="14" x14ac:dyDescent="0.2">
      <c r="A418" s="13">
        <f t="shared" si="73"/>
        <v>2019</v>
      </c>
      <c r="B418" s="13" t="str">
        <f t="shared" si="74"/>
        <v>06</v>
      </c>
      <c r="C418" s="13" t="str">
        <f t="shared" si="75"/>
        <v>28</v>
      </c>
      <c r="D418" s="16" t="str">
        <f>VLOOKUP(H418,'Names for Vlookup'!$B$26:$C$94,2,FALSE)</f>
        <v>Jinka Food</v>
      </c>
      <c r="E418" s="16" t="str">
        <f>VLOOKUP(I418,'Names for Vlookup'!$B$8:$C$21,2,FALSE)</f>
        <v>Deer velvet (frozen)</v>
      </c>
      <c r="G418" s="16" t="str">
        <f>VLOOKUP(L418,'Names for Vlookup'!$B$101:$C$181,2,FALSE)</f>
        <v>New Zealand</v>
      </c>
      <c r="H418" s="16" t="s">
        <v>466</v>
      </c>
      <c r="I418" s="16" t="s">
        <v>76</v>
      </c>
      <c r="J418" s="16" t="s">
        <v>537</v>
      </c>
      <c r="L418" s="16" t="s">
        <v>260</v>
      </c>
      <c r="M418" s="26" t="s">
        <v>538</v>
      </c>
    </row>
    <row r="419" spans="1:13" ht="14" x14ac:dyDescent="0.2">
      <c r="A419" s="13">
        <f t="shared" si="73"/>
        <v>2019</v>
      </c>
      <c r="B419" s="13" t="str">
        <f t="shared" si="74"/>
        <v>06</v>
      </c>
      <c r="C419" s="13" t="str">
        <f t="shared" si="75"/>
        <v>25</v>
      </c>
      <c r="D419" s="16" t="str">
        <f>VLOOKUP(H419,'Names for Vlookup'!$B$26:$C$94,2,FALSE)</f>
        <v>KGC</v>
      </c>
      <c r="E419" s="16" t="str">
        <f>VLOOKUP(I419,'Names for Vlookup'!$B$8:$C$21,2,FALSE)</f>
        <v>Deer velvet (dried)</v>
      </c>
      <c r="G419" s="16" t="str">
        <f>VLOOKUP(L419,'Names for Vlookup'!$B$101:$C$181,2,FALSE)</f>
        <v>New Zealand</v>
      </c>
      <c r="H419" s="16" t="s">
        <v>480</v>
      </c>
      <c r="I419" s="16" t="s">
        <v>171</v>
      </c>
      <c r="J419" s="16" t="s">
        <v>70</v>
      </c>
      <c r="L419" s="16" t="s">
        <v>250</v>
      </c>
      <c r="M419" s="26" t="s">
        <v>539</v>
      </c>
    </row>
    <row r="420" spans="1:13" ht="14" x14ac:dyDescent="0.2">
      <c r="A420" s="13">
        <f t="shared" si="73"/>
        <v>2019</v>
      </c>
      <c r="B420" s="13" t="str">
        <f t="shared" si="74"/>
        <v>06</v>
      </c>
      <c r="C420" s="13" t="str">
        <f t="shared" si="75"/>
        <v>04</v>
      </c>
      <c r="D420" s="16" t="str">
        <f>VLOOKUP(H420,'Names for Vlookup'!$B$26:$C$94,2,FALSE)</f>
        <v>Yujin Trade</v>
      </c>
      <c r="E420" s="16" t="str">
        <f>VLOOKUP(I420,'Names for Vlookup'!$B$8:$C$21,2,FALSE)</f>
        <v>Deer velvet (dried)</v>
      </c>
      <c r="G420" s="16" t="str">
        <f>VLOOKUP(L420,'Names for Vlookup'!$B$101:$C$181,2,FALSE)</f>
        <v>China</v>
      </c>
      <c r="H420" s="16" t="s">
        <v>91</v>
      </c>
      <c r="I420" s="16" t="s">
        <v>171</v>
      </c>
      <c r="J420" s="16" t="s">
        <v>540</v>
      </c>
      <c r="L420" s="16" t="s">
        <v>541</v>
      </c>
      <c r="M420" s="27" t="s">
        <v>542</v>
      </c>
    </row>
    <row r="421" spans="1:13" ht="14" x14ac:dyDescent="0.2">
      <c r="A421" s="13">
        <f t="shared" si="73"/>
        <v>2019</v>
      </c>
      <c r="B421" s="13" t="str">
        <f t="shared" si="74"/>
        <v>05</v>
      </c>
      <c r="C421" s="13" t="str">
        <f t="shared" si="75"/>
        <v>21</v>
      </c>
      <c r="D421" s="16" t="str">
        <f>VLOOKUP(H421,'Names for Vlookup'!$B$26:$C$94,2,FALSE)</f>
        <v>KGC</v>
      </c>
      <c r="E421" s="16" t="str">
        <f>VLOOKUP(I421,'Names for Vlookup'!$B$8:$C$21,2,FALSE)</f>
        <v>Deer velvet (dried)</v>
      </c>
      <c r="G421" s="16" t="str">
        <f>VLOOKUP(L421,'Names for Vlookup'!$B$101:$C$181,2,FALSE)</f>
        <v>New Zealand</v>
      </c>
      <c r="H421" s="16" t="s">
        <v>480</v>
      </c>
      <c r="I421" s="16" t="s">
        <v>171</v>
      </c>
      <c r="J421" s="16" t="s">
        <v>70</v>
      </c>
      <c r="L421" s="16" t="s">
        <v>38</v>
      </c>
      <c r="M421" s="26" t="s">
        <v>543</v>
      </c>
    </row>
    <row r="422" spans="1:13" ht="14" x14ac:dyDescent="0.2">
      <c r="A422" s="13">
        <f t="shared" si="73"/>
        <v>2019</v>
      </c>
      <c r="B422" s="13" t="str">
        <f t="shared" si="74"/>
        <v>05</v>
      </c>
      <c r="C422" s="13" t="str">
        <f t="shared" si="75"/>
        <v>21</v>
      </c>
      <c r="D422" s="16" t="str">
        <f>VLOOKUP(H422,'Names for Vlookup'!$B$26:$C$94,2,FALSE)</f>
        <v>KGC</v>
      </c>
      <c r="E422" s="16" t="str">
        <f>VLOOKUP(I422,'Names for Vlookup'!$B$8:$C$21,2,FALSE)</f>
        <v>Deer velvet (dried)</v>
      </c>
      <c r="G422" s="16" t="str">
        <f>VLOOKUP(L422,'Names for Vlookup'!$B$101:$C$181,2,FALSE)</f>
        <v>New Zealand</v>
      </c>
      <c r="H422" s="16" t="s">
        <v>480</v>
      </c>
      <c r="I422" s="16" t="s">
        <v>171</v>
      </c>
      <c r="J422" s="16" t="s">
        <v>70</v>
      </c>
      <c r="L422" s="16" t="s">
        <v>38</v>
      </c>
      <c r="M422" s="26" t="s">
        <v>543</v>
      </c>
    </row>
    <row r="423" spans="1:13" ht="14" x14ac:dyDescent="0.2">
      <c r="A423" s="13">
        <f t="shared" si="73"/>
        <v>2019</v>
      </c>
      <c r="B423" s="13" t="str">
        <f t="shared" si="74"/>
        <v>05</v>
      </c>
      <c r="C423" s="13" t="str">
        <f t="shared" si="75"/>
        <v>21</v>
      </c>
      <c r="D423" s="16" t="str">
        <f>VLOOKUP(H423,'Names for Vlookup'!$B$26:$C$94,2,FALSE)</f>
        <v>Chunho N Care</v>
      </c>
      <c r="E423" s="16" t="str">
        <f>VLOOKUP(I423,'Names for Vlookup'!$B$8:$C$21,2,FALSE)</f>
        <v>Deer velvet (dried)</v>
      </c>
      <c r="G423" s="16" t="str">
        <f>VLOOKUP(L423,'Names for Vlookup'!$B$101:$C$181,2,FALSE)</f>
        <v>New Zealand</v>
      </c>
      <c r="H423" s="16" t="s">
        <v>128</v>
      </c>
      <c r="I423" s="16" t="s">
        <v>171</v>
      </c>
      <c r="J423" s="16" t="s">
        <v>70</v>
      </c>
      <c r="L423" s="16" t="s">
        <v>260</v>
      </c>
      <c r="M423" s="26" t="s">
        <v>543</v>
      </c>
    </row>
    <row r="424" spans="1:13" ht="14" x14ac:dyDescent="0.2">
      <c r="A424" s="13">
        <f t="shared" si="73"/>
        <v>2019</v>
      </c>
      <c r="B424" s="13" t="str">
        <f t="shared" si="74"/>
        <v>05</v>
      </c>
      <c r="C424" s="13" t="str">
        <f t="shared" si="75"/>
        <v>09</v>
      </c>
      <c r="D424" s="16" t="str">
        <f>VLOOKUP(H424,'Names for Vlookup'!$B$26:$C$94,2,FALSE)</f>
        <v>YW International</v>
      </c>
      <c r="E424" s="16" t="str">
        <f>VLOOKUP(I424,'Names for Vlookup'!$B$8:$C$21,2,FALSE)</f>
        <v>Deer velvet (frozen)</v>
      </c>
      <c r="G424" s="16" t="str">
        <f>VLOOKUP(L424,'Names for Vlookup'!$B$101:$C$181,2,FALSE)</f>
        <v>New Zealand</v>
      </c>
      <c r="H424" s="16" t="s">
        <v>88</v>
      </c>
      <c r="I424" s="15" t="s">
        <v>72</v>
      </c>
      <c r="J424" s="16" t="s">
        <v>120</v>
      </c>
      <c r="L424" s="16" t="s">
        <v>250</v>
      </c>
      <c r="M424" s="27" t="s">
        <v>544</v>
      </c>
    </row>
    <row r="425" spans="1:13" ht="14" x14ac:dyDescent="0.2">
      <c r="A425" s="13">
        <f t="shared" si="73"/>
        <v>2019</v>
      </c>
      <c r="B425" s="13" t="str">
        <f t="shared" si="74"/>
        <v>05</v>
      </c>
      <c r="C425" s="13" t="str">
        <f t="shared" si="75"/>
        <v>01</v>
      </c>
      <c r="D425" s="16" t="str">
        <f>VLOOKUP(H425,'Names for Vlookup'!$B$26:$C$94,2,FALSE)</f>
        <v>Harang Muyak</v>
      </c>
      <c r="E425" s="16" t="str">
        <f>VLOOKUP(I425,'Names for Vlookup'!$B$8:$C$21,2,FALSE)</f>
        <v>Deer velvet (frozen)</v>
      </c>
      <c r="G425" s="16" t="str">
        <f>VLOOKUP(L425,'Names for Vlookup'!$B$101:$C$181,2,FALSE)</f>
        <v>New Zealand</v>
      </c>
      <c r="H425" s="15" t="s">
        <v>373</v>
      </c>
      <c r="I425" s="15" t="s">
        <v>76</v>
      </c>
      <c r="J425" s="16" t="s">
        <v>73</v>
      </c>
      <c r="L425" s="16" t="s">
        <v>38</v>
      </c>
      <c r="M425" s="27" t="s">
        <v>545</v>
      </c>
    </row>
    <row r="426" spans="1:13" ht="14" x14ac:dyDescent="0.2">
      <c r="A426" s="13">
        <f t="shared" si="73"/>
        <v>2019</v>
      </c>
      <c r="B426" s="13" t="str">
        <f t="shared" si="74"/>
        <v>04</v>
      </c>
      <c r="C426" s="13" t="str">
        <f t="shared" si="75"/>
        <v>23</v>
      </c>
      <c r="D426" s="16" t="str">
        <f>VLOOKUP(H426,'Names for Vlookup'!$B$26:$C$94,2,FALSE)</f>
        <v>Jinka Food</v>
      </c>
      <c r="E426" s="16" t="str">
        <f>VLOOKUP(I426,'Names for Vlookup'!$B$8:$C$21,2,FALSE)</f>
        <v>Deer velvet (frozen)</v>
      </c>
      <c r="G426" s="16" t="str">
        <f>VLOOKUP(L426,'Names for Vlookup'!$B$101:$C$181,2,FALSE)</f>
        <v>New Zealand</v>
      </c>
      <c r="H426" s="16" t="s">
        <v>466</v>
      </c>
      <c r="I426" s="16" t="s">
        <v>76</v>
      </c>
      <c r="J426" s="16" t="s">
        <v>73</v>
      </c>
      <c r="L426" s="16" t="s">
        <v>203</v>
      </c>
      <c r="M426" s="26" t="s">
        <v>546</v>
      </c>
    </row>
    <row r="427" spans="1:13" ht="14" x14ac:dyDescent="0.2">
      <c r="A427" s="13">
        <f t="shared" si="73"/>
        <v>2019</v>
      </c>
      <c r="B427" s="13" t="str">
        <f t="shared" si="74"/>
        <v>04</v>
      </c>
      <c r="C427" s="13" t="str">
        <f t="shared" si="75"/>
        <v>23</v>
      </c>
      <c r="D427" s="16" t="str">
        <f>VLOOKUP(H427,'Names for Vlookup'!$B$26:$C$94,2,FALSE)</f>
        <v>KNC Deertrade</v>
      </c>
      <c r="E427" s="16" t="str">
        <f>VLOOKUP(I427,'Names for Vlookup'!$B$8:$C$21,2,FALSE)</f>
        <v>Deer velvet (frozen)</v>
      </c>
      <c r="G427" s="16" t="str">
        <f>VLOOKUP(L427,'Names for Vlookup'!$B$101:$C$181,2,FALSE)</f>
        <v>New Zealand</v>
      </c>
      <c r="H427" s="16" t="s">
        <v>75</v>
      </c>
      <c r="I427" s="16" t="s">
        <v>76</v>
      </c>
      <c r="J427" s="16" t="s">
        <v>73</v>
      </c>
      <c r="L427" s="16" t="s">
        <v>36</v>
      </c>
      <c r="M427" s="26" t="s">
        <v>546</v>
      </c>
    </row>
    <row r="428" spans="1:13" ht="14" x14ac:dyDescent="0.2">
      <c r="A428" s="13">
        <f t="shared" si="73"/>
        <v>2019</v>
      </c>
      <c r="B428" s="13" t="str">
        <f t="shared" si="74"/>
        <v>04</v>
      </c>
      <c r="C428" s="13" t="str">
        <f t="shared" si="75"/>
        <v>22</v>
      </c>
      <c r="D428" s="16" t="str">
        <f>VLOOKUP(H428,'Names for Vlookup'!$B$26:$C$94,2,FALSE)</f>
        <v>Bibong Herb</v>
      </c>
      <c r="E428" s="16" t="str">
        <f>VLOOKUP(I428,'Names for Vlookup'!$B$8:$C$21,2,FALSE)</f>
        <v>Deer velvet (dried)</v>
      </c>
      <c r="G428" s="16" t="str">
        <f>VLOOKUP(L428,'Names for Vlookup'!$B$101:$C$181,2,FALSE)</f>
        <v>New Zealand</v>
      </c>
      <c r="H428" s="16" t="s">
        <v>135</v>
      </c>
      <c r="I428" s="16" t="s">
        <v>171</v>
      </c>
      <c r="J428" s="16" t="s">
        <v>70</v>
      </c>
      <c r="L428" s="16" t="s">
        <v>260</v>
      </c>
      <c r="M428" s="26" t="s">
        <v>547</v>
      </c>
    </row>
    <row r="429" spans="1:13" ht="14" x14ac:dyDescent="0.2">
      <c r="A429" s="13">
        <f t="shared" si="73"/>
        <v>2019</v>
      </c>
      <c r="B429" s="13" t="str">
        <f t="shared" si="74"/>
        <v>04</v>
      </c>
      <c r="C429" s="13" t="str">
        <f t="shared" si="75"/>
        <v>17</v>
      </c>
      <c r="D429" s="16" t="str">
        <f>VLOOKUP(H429,'Names for Vlookup'!$B$26:$C$94,2,FALSE)</f>
        <v>MyungGa (Mr.Lee in Daegu)</v>
      </c>
      <c r="E429" s="16" t="str">
        <f>VLOOKUP(I429,'Names for Vlookup'!$B$8:$C$21,2,FALSE)</f>
        <v>Deer velvet</v>
      </c>
      <c r="G429" s="16" t="str">
        <f>VLOOKUP(L429,'Names for Vlookup'!$B$101:$C$181,2,FALSE)</f>
        <v>New Zealand</v>
      </c>
      <c r="H429" s="16" t="s">
        <v>208</v>
      </c>
      <c r="I429" s="16" t="s">
        <v>62</v>
      </c>
      <c r="J429" s="16" t="s">
        <v>152</v>
      </c>
      <c r="L429" s="16" t="s">
        <v>260</v>
      </c>
      <c r="M429" s="26" t="s">
        <v>548</v>
      </c>
    </row>
    <row r="430" spans="1:13" ht="14" x14ac:dyDescent="0.2">
      <c r="A430" s="13">
        <f t="shared" si="73"/>
        <v>2019</v>
      </c>
      <c r="B430" s="13" t="str">
        <f t="shared" si="74"/>
        <v>04</v>
      </c>
      <c r="C430" s="13" t="str">
        <f t="shared" si="75"/>
        <v>16</v>
      </c>
      <c r="D430" s="16" t="str">
        <f>VLOOKUP(H430,'Names for Vlookup'!$B$26:$C$94,2,FALSE)</f>
        <v>YongBo (Mr. Woljin Kim)</v>
      </c>
      <c r="E430" s="16" t="str">
        <f>VLOOKUP(I430,'Names for Vlookup'!$B$8:$C$21,2,FALSE)</f>
        <v>Deer velvet</v>
      </c>
      <c r="G430" s="16" t="str">
        <f>VLOOKUP(L430,'Names for Vlookup'!$B$101:$C$181,2,FALSE)</f>
        <v>New Zealand</v>
      </c>
      <c r="H430" s="16" t="s">
        <v>98</v>
      </c>
      <c r="I430" s="15" t="s">
        <v>62</v>
      </c>
      <c r="J430" s="16" t="s">
        <v>483</v>
      </c>
      <c r="L430" s="16" t="s">
        <v>493</v>
      </c>
      <c r="M430" s="26" t="s">
        <v>549</v>
      </c>
    </row>
    <row r="431" spans="1:13" ht="14" x14ac:dyDescent="0.2">
      <c r="A431" s="13">
        <f t="shared" si="73"/>
        <v>2019</v>
      </c>
      <c r="B431" s="13" t="str">
        <f t="shared" si="74"/>
        <v>04</v>
      </c>
      <c r="C431" s="13" t="str">
        <f t="shared" si="75"/>
        <v>04</v>
      </c>
      <c r="D431" s="16" t="str">
        <f>VLOOKUP(H431,'Names for Vlookup'!$B$26:$C$94,2,FALSE)</f>
        <v>KGC</v>
      </c>
      <c r="E431" s="16" t="str">
        <f>VLOOKUP(I431,'Names for Vlookup'!$B$8:$C$21,2,FALSE)</f>
        <v>Deer velvet (dried)</v>
      </c>
      <c r="G431" s="16" t="str">
        <f>VLOOKUP(L431,'Names for Vlookup'!$B$101:$C$181,2,FALSE)</f>
        <v>New Zealand</v>
      </c>
      <c r="H431" s="16" t="s">
        <v>480</v>
      </c>
      <c r="I431" s="16" t="s">
        <v>171</v>
      </c>
      <c r="J431" s="16" t="s">
        <v>70</v>
      </c>
      <c r="L431" s="16" t="s">
        <v>38</v>
      </c>
      <c r="M431" s="27" t="s">
        <v>550</v>
      </c>
    </row>
    <row r="432" spans="1:13" ht="14" x14ac:dyDescent="0.2">
      <c r="A432" s="13">
        <f t="shared" si="73"/>
        <v>2019</v>
      </c>
      <c r="B432" s="13" t="str">
        <f t="shared" si="74"/>
        <v>04</v>
      </c>
      <c r="C432" s="13" t="str">
        <f t="shared" si="75"/>
        <v>04</v>
      </c>
      <c r="D432" s="16" t="str">
        <f>VLOOKUP(H432,'Names for Vlookup'!$B$26:$C$94,2,FALSE)</f>
        <v>KGC</v>
      </c>
      <c r="E432" s="16" t="str">
        <f>VLOOKUP(I432,'Names for Vlookup'!$B$8:$C$21,2,FALSE)</f>
        <v>Deer velvet (dried)</v>
      </c>
      <c r="G432" s="16" t="str">
        <f>VLOOKUP(L432,'Names for Vlookup'!$B$101:$C$181,2,FALSE)</f>
        <v>New Zealand</v>
      </c>
      <c r="H432" s="16" t="s">
        <v>480</v>
      </c>
      <c r="I432" s="16" t="s">
        <v>171</v>
      </c>
      <c r="J432" s="16" t="s">
        <v>70</v>
      </c>
      <c r="L432" s="16" t="s">
        <v>250</v>
      </c>
      <c r="M432" s="27" t="s">
        <v>550</v>
      </c>
    </row>
    <row r="433" spans="1:13" ht="14" x14ac:dyDescent="0.2">
      <c r="A433" s="13">
        <f t="shared" si="73"/>
        <v>2019</v>
      </c>
      <c r="B433" s="13" t="str">
        <f t="shared" si="74"/>
        <v>03</v>
      </c>
      <c r="C433" s="13" t="str">
        <f t="shared" si="75"/>
        <v>28</v>
      </c>
      <c r="D433" s="16" t="str">
        <f>VLOOKUP(H433,'Names for Vlookup'!$B$26:$C$94,2,FALSE)</f>
        <v>Chunho N Care</v>
      </c>
      <c r="E433" s="16" t="str">
        <f>VLOOKUP(I433,'Names for Vlookup'!$B$8:$C$21,2,FALSE)</f>
        <v>Deer velvet (dried)</v>
      </c>
      <c r="G433" s="16" t="str">
        <f>VLOOKUP(L433,'Names for Vlookup'!$B$101:$C$181,2,FALSE)</f>
        <v>New Zealand</v>
      </c>
      <c r="H433" s="16" t="s">
        <v>128</v>
      </c>
      <c r="I433" s="15" t="s">
        <v>171</v>
      </c>
      <c r="J433" s="16" t="s">
        <v>70</v>
      </c>
      <c r="L433" s="16" t="s">
        <v>260</v>
      </c>
      <c r="M433" s="26" t="s">
        <v>551</v>
      </c>
    </row>
    <row r="434" spans="1:13" ht="14" x14ac:dyDescent="0.2">
      <c r="A434" s="13">
        <f t="shared" si="73"/>
        <v>2019</v>
      </c>
      <c r="B434" s="13" t="str">
        <f t="shared" si="74"/>
        <v>03</v>
      </c>
      <c r="C434" s="13" t="str">
        <f t="shared" si="75"/>
        <v>27</v>
      </c>
      <c r="D434" s="16" t="str">
        <f>VLOOKUP(H434,'Names for Vlookup'!$B$26:$C$94,2,FALSE)</f>
        <v>KNC Deertrade</v>
      </c>
      <c r="E434" s="16" t="str">
        <f>VLOOKUP(I434,'Names for Vlookup'!$B$8:$C$21,2,FALSE)</f>
        <v>Deer velvet (frozen)</v>
      </c>
      <c r="G434" s="16" t="str">
        <f>VLOOKUP(L434,'Names for Vlookup'!$B$101:$C$181,2,FALSE)</f>
        <v>New Zealand</v>
      </c>
      <c r="H434" s="16" t="s">
        <v>75</v>
      </c>
      <c r="I434" s="15" t="s">
        <v>76</v>
      </c>
      <c r="J434" s="16" t="s">
        <v>73</v>
      </c>
      <c r="L434" s="16" t="s">
        <v>37</v>
      </c>
      <c r="M434" s="26" t="s">
        <v>552</v>
      </c>
    </row>
    <row r="435" spans="1:13" ht="14" x14ac:dyDescent="0.2">
      <c r="A435" s="13">
        <f t="shared" si="73"/>
        <v>2019</v>
      </c>
      <c r="B435" s="13" t="str">
        <f t="shared" si="74"/>
        <v>03</v>
      </c>
      <c r="C435" s="13" t="str">
        <f t="shared" si="75"/>
        <v>15</v>
      </c>
      <c r="D435" s="16" t="str">
        <f>VLOOKUP(H435,'Names for Vlookup'!$B$26:$C$94,2,FALSE)</f>
        <v>Jinka Food</v>
      </c>
      <c r="E435" s="16" t="str">
        <f>VLOOKUP(I435,'Names for Vlookup'!$B$8:$C$21,2,FALSE)</f>
        <v>Deer velvet (frozen)</v>
      </c>
      <c r="G435" s="16" t="str">
        <f>VLOOKUP(L435,'Names for Vlookup'!$B$101:$C$181,2,FALSE)</f>
        <v>New Zealand</v>
      </c>
      <c r="H435" s="16" t="s">
        <v>466</v>
      </c>
      <c r="I435" s="15" t="s">
        <v>76</v>
      </c>
      <c r="J435" s="16" t="s">
        <v>73</v>
      </c>
      <c r="L435" s="16" t="s">
        <v>36</v>
      </c>
      <c r="M435" s="26" t="s">
        <v>553</v>
      </c>
    </row>
    <row r="436" spans="1:13" ht="14" x14ac:dyDescent="0.2">
      <c r="A436" s="13">
        <f t="shared" si="73"/>
        <v>2019</v>
      </c>
      <c r="B436" s="13" t="str">
        <f t="shared" si="74"/>
        <v>02</v>
      </c>
      <c r="C436" s="13" t="str">
        <f t="shared" si="75"/>
        <v>27</v>
      </c>
      <c r="D436" s="16" t="str">
        <f>VLOOKUP(H436,'Names for Vlookup'!$B$26:$C$94,2,FALSE)</f>
        <v>YW International</v>
      </c>
      <c r="E436" s="16" t="str">
        <f>VLOOKUP(I436,'Names for Vlookup'!$B$8:$C$21,2,FALSE)</f>
        <v>Deer velvet (frozen)</v>
      </c>
      <c r="G436" s="16" t="str">
        <f>VLOOKUP(L436,'Names for Vlookup'!$B$101:$C$181,2,FALSE)</f>
        <v>New Zealand</v>
      </c>
      <c r="H436" s="16" t="s">
        <v>88</v>
      </c>
      <c r="I436" s="15" t="s">
        <v>72</v>
      </c>
      <c r="J436" s="16" t="s">
        <v>554</v>
      </c>
      <c r="L436" s="16" t="s">
        <v>121</v>
      </c>
      <c r="M436" s="26" t="s">
        <v>555</v>
      </c>
    </row>
    <row r="437" spans="1:13" ht="14" x14ac:dyDescent="0.2">
      <c r="A437" s="13">
        <f t="shared" si="73"/>
        <v>2019</v>
      </c>
      <c r="B437" s="13" t="str">
        <f t="shared" si="74"/>
        <v>02</v>
      </c>
      <c r="C437" s="13" t="str">
        <f t="shared" si="75"/>
        <v>15</v>
      </c>
      <c r="D437" s="16" t="str">
        <f>VLOOKUP(H437,'Names for Vlookup'!$B$26:$C$94,2,FALSE)</f>
        <v>KGC</v>
      </c>
      <c r="E437" s="16" t="str">
        <f>VLOOKUP(I437,'Names for Vlookup'!$B$8:$C$21,2,FALSE)</f>
        <v>Deer velvet (dried)</v>
      </c>
      <c r="G437" s="16" t="str">
        <f>VLOOKUP(L437,'Names for Vlookup'!$B$101:$C$181,2,FALSE)</f>
        <v>New Zealand</v>
      </c>
      <c r="H437" s="16" t="s">
        <v>480</v>
      </c>
      <c r="I437" s="15" t="s">
        <v>171</v>
      </c>
      <c r="J437" s="16" t="s">
        <v>70</v>
      </c>
      <c r="L437" s="16" t="s">
        <v>37</v>
      </c>
      <c r="M437" s="26" t="s">
        <v>556</v>
      </c>
    </row>
    <row r="438" spans="1:13" ht="14" x14ac:dyDescent="0.2">
      <c r="A438" s="13">
        <f t="shared" si="73"/>
        <v>2019</v>
      </c>
      <c r="B438" s="13" t="str">
        <f t="shared" si="74"/>
        <v>02</v>
      </c>
      <c r="C438" s="13" t="str">
        <f t="shared" si="75"/>
        <v>15</v>
      </c>
      <c r="D438" s="16" t="str">
        <f>VLOOKUP(H438,'Names for Vlookup'!$B$26:$C$94,2,FALSE)</f>
        <v>DHG Global</v>
      </c>
      <c r="E438" s="16" t="str">
        <f>VLOOKUP(I438,'Names for Vlookup'!$B$8:$C$21,2,FALSE)</f>
        <v>Deer velvet</v>
      </c>
      <c r="G438" s="16" t="str">
        <f>VLOOKUP(L438,'Names for Vlookup'!$B$101:$C$181,2,FALSE)</f>
        <v>Russia</v>
      </c>
      <c r="H438" s="16" t="s">
        <v>196</v>
      </c>
      <c r="I438" s="15" t="s">
        <v>62</v>
      </c>
      <c r="J438" s="15" t="s">
        <v>557</v>
      </c>
      <c r="K438" s="15"/>
      <c r="L438" s="16" t="s">
        <v>558</v>
      </c>
      <c r="M438" s="26" t="s">
        <v>556</v>
      </c>
    </row>
    <row r="439" spans="1:13" ht="14" x14ac:dyDescent="0.2">
      <c r="A439" s="13">
        <f t="shared" si="73"/>
        <v>2019</v>
      </c>
      <c r="B439" s="13" t="str">
        <f t="shared" si="74"/>
        <v>02</v>
      </c>
      <c r="C439" s="13" t="str">
        <f t="shared" si="75"/>
        <v>12</v>
      </c>
      <c r="D439" s="16" t="str">
        <f>VLOOKUP(H439,'Names for Vlookup'!$B$26:$C$94,2,FALSE)</f>
        <v>KNC Deertrade</v>
      </c>
      <c r="E439" s="16" t="str">
        <f>VLOOKUP(I439,'Names for Vlookup'!$B$8:$C$21,2,FALSE)</f>
        <v>Deer velvet (frozen)</v>
      </c>
      <c r="G439" s="16" t="str">
        <f>VLOOKUP(L439,'Names for Vlookup'!$B$101:$C$181,2,FALSE)</f>
        <v>New Zealand</v>
      </c>
      <c r="H439" s="16" t="s">
        <v>75</v>
      </c>
      <c r="I439" s="15" t="s">
        <v>76</v>
      </c>
      <c r="J439" s="16" t="s">
        <v>73</v>
      </c>
      <c r="L439" s="16" t="s">
        <v>36</v>
      </c>
      <c r="M439" s="26" t="s">
        <v>559</v>
      </c>
    </row>
    <row r="440" spans="1:13" ht="14" x14ac:dyDescent="0.2">
      <c r="A440" s="13">
        <f t="shared" si="73"/>
        <v>2019</v>
      </c>
      <c r="B440" s="13" t="str">
        <f t="shared" si="74"/>
        <v>02</v>
      </c>
      <c r="C440" s="13" t="str">
        <f t="shared" si="75"/>
        <v>08</v>
      </c>
      <c r="D440" s="16" t="str">
        <f>VLOOKUP(H440,'Names for Vlookup'!$B$26:$C$94,2,FALSE)</f>
        <v>Handong Herb</v>
      </c>
      <c r="E440" s="16" t="str">
        <f>VLOOKUP(I440,'Names for Vlookup'!$B$8:$C$21,2,FALSE)</f>
        <v>Deer velvet (frozen)</v>
      </c>
      <c r="G440" s="16" t="str">
        <f>VLOOKUP(L440,'Names for Vlookup'!$B$101:$C$181,2,FALSE)</f>
        <v>New Zealand</v>
      </c>
      <c r="H440" s="15" t="s">
        <v>526</v>
      </c>
      <c r="I440" s="15" t="s">
        <v>76</v>
      </c>
      <c r="J440" s="15" t="s">
        <v>560</v>
      </c>
      <c r="K440" s="15"/>
      <c r="L440" s="15" t="s">
        <v>250</v>
      </c>
      <c r="M440" s="27" t="s">
        <v>561</v>
      </c>
    </row>
    <row r="441" spans="1:13" ht="14" x14ac:dyDescent="0.2">
      <c r="A441" s="13">
        <f t="shared" si="73"/>
        <v>2019</v>
      </c>
      <c r="B441" s="13" t="str">
        <f t="shared" si="74"/>
        <v>01</v>
      </c>
      <c r="C441" s="13" t="str">
        <f t="shared" si="75"/>
        <v>31</v>
      </c>
      <c r="D441" s="16" t="str">
        <f>VLOOKUP(H441,'Names for Vlookup'!$B$26:$C$94,2,FALSE)</f>
        <v>YW International</v>
      </c>
      <c r="E441" s="16" t="str">
        <f>VLOOKUP(I441,'Names for Vlookup'!$B$8:$C$21,2,FALSE)</f>
        <v>Deer velvet (frozen)</v>
      </c>
      <c r="G441" s="16" t="str">
        <f>VLOOKUP(L441,'Names for Vlookup'!$B$101:$C$181,2,FALSE)</f>
        <v>New Zealand</v>
      </c>
      <c r="H441" s="16" t="s">
        <v>88</v>
      </c>
      <c r="I441" s="15" t="s">
        <v>562</v>
      </c>
      <c r="J441" s="16" t="s">
        <v>554</v>
      </c>
      <c r="L441" s="16" t="s">
        <v>250</v>
      </c>
      <c r="M441" s="26" t="s">
        <v>563</v>
      </c>
    </row>
    <row r="442" spans="1:13" ht="14" x14ac:dyDescent="0.2">
      <c r="A442" s="13">
        <f t="shared" si="73"/>
        <v>2019</v>
      </c>
      <c r="B442" s="13" t="str">
        <f t="shared" si="74"/>
        <v>01</v>
      </c>
      <c r="C442" s="13" t="str">
        <f t="shared" si="75"/>
        <v>28</v>
      </c>
      <c r="D442" s="16" t="str">
        <f>VLOOKUP(H442,'Names for Vlookup'!$B$26:$C$94,2,FALSE)</f>
        <v xml:space="preserve">JoEun Pharm </v>
      </c>
      <c r="E442" s="16" t="str">
        <f>VLOOKUP(I442,'Names for Vlookup'!$B$8:$C$21,2,FALSE)</f>
        <v>Deer velvet</v>
      </c>
      <c r="G442" s="16" t="str">
        <f>VLOOKUP(L442,'Names for Vlookup'!$B$101:$C$181,2,FALSE)</f>
        <v>New Zealand</v>
      </c>
      <c r="H442" s="16" t="s">
        <v>99</v>
      </c>
      <c r="I442" s="15" t="s">
        <v>564</v>
      </c>
      <c r="J442" s="15" t="s">
        <v>557</v>
      </c>
      <c r="K442" s="15"/>
      <c r="L442" s="16" t="s">
        <v>203</v>
      </c>
      <c r="M442" s="26" t="s">
        <v>565</v>
      </c>
    </row>
    <row r="443" spans="1:13" ht="14" x14ac:dyDescent="0.2">
      <c r="A443" s="13">
        <f t="shared" si="73"/>
        <v>2019</v>
      </c>
      <c r="B443" s="13" t="str">
        <f t="shared" si="74"/>
        <v>01</v>
      </c>
      <c r="C443" s="13" t="str">
        <f t="shared" si="75"/>
        <v>24</v>
      </c>
      <c r="D443" s="16" t="str">
        <f>VLOOKUP(H443,'Names for Vlookup'!$B$26:$C$94,2,FALSE)</f>
        <v>Bibong Herb</v>
      </c>
      <c r="E443" s="16" t="str">
        <f>VLOOKUP(I443,'Names for Vlookup'!$B$8:$C$21,2,FALSE)</f>
        <v>Deer velvet (dried)</v>
      </c>
      <c r="G443" s="16" t="str">
        <f>VLOOKUP(L443,'Names for Vlookup'!$B$101:$C$181,2,FALSE)</f>
        <v>New Zealand</v>
      </c>
      <c r="H443" s="16" t="s">
        <v>135</v>
      </c>
      <c r="I443" s="15" t="s">
        <v>566</v>
      </c>
      <c r="J443" s="16" t="s">
        <v>70</v>
      </c>
      <c r="L443" s="16" t="s">
        <v>260</v>
      </c>
      <c r="M443" s="26" t="s">
        <v>567</v>
      </c>
    </row>
    <row r="444" spans="1:13" ht="14" x14ac:dyDescent="0.2">
      <c r="A444" s="13">
        <f t="shared" si="73"/>
        <v>2019</v>
      </c>
      <c r="B444" s="13" t="str">
        <f t="shared" si="74"/>
        <v>01</v>
      </c>
      <c r="C444" s="13" t="str">
        <f t="shared" si="75"/>
        <v>15</v>
      </c>
      <c r="D444" s="16" t="str">
        <f>VLOOKUP(H444,'Names for Vlookup'!$B$26:$C$94,2,FALSE)</f>
        <v>Ilseong Food</v>
      </c>
      <c r="E444" s="16" t="str">
        <f>VLOOKUP(I444,'Names for Vlookup'!$B$8:$C$21,2,FALSE)</f>
        <v>Deer velvet</v>
      </c>
      <c r="G444" s="16" t="str">
        <f>VLOOKUP(L444,'Names for Vlookup'!$B$101:$C$181,2,FALSE)</f>
        <v>China</v>
      </c>
      <c r="H444" s="15" t="s">
        <v>568</v>
      </c>
      <c r="I444" s="15" t="s">
        <v>564</v>
      </c>
      <c r="J444" s="15" t="s">
        <v>557</v>
      </c>
      <c r="K444" s="15"/>
      <c r="L444" s="16" t="s">
        <v>433</v>
      </c>
      <c r="M444" s="26" t="s">
        <v>569</v>
      </c>
    </row>
    <row r="445" spans="1:13" ht="14" x14ac:dyDescent="0.2">
      <c r="A445" s="13">
        <f t="shared" si="73"/>
        <v>2019</v>
      </c>
      <c r="B445" s="13" t="str">
        <f t="shared" si="74"/>
        <v>01</v>
      </c>
      <c r="C445" s="13" t="str">
        <f t="shared" si="75"/>
        <v>15</v>
      </c>
      <c r="D445" s="16" t="str">
        <f>VLOOKUP(H445,'Names for Vlookup'!$B$26:$C$94,2,FALSE)</f>
        <v>ShinSongGang Trade</v>
      </c>
      <c r="E445" s="16" t="str">
        <f>VLOOKUP(I445,'Names for Vlookup'!$B$8:$C$21,2,FALSE)</f>
        <v>Deer velvet</v>
      </c>
      <c r="G445" s="16" t="str">
        <f>VLOOKUP(L445,'Names for Vlookup'!$B$101:$C$181,2,FALSE)</f>
        <v>Russia</v>
      </c>
      <c r="H445" s="15" t="s">
        <v>570</v>
      </c>
      <c r="I445" s="15" t="s">
        <v>564</v>
      </c>
      <c r="J445" s="15" t="s">
        <v>557</v>
      </c>
      <c r="K445" s="15"/>
      <c r="L445" s="16" t="s">
        <v>197</v>
      </c>
      <c r="M445" s="26" t="s">
        <v>569</v>
      </c>
    </row>
    <row r="446" spans="1:13" ht="14" x14ac:dyDescent="0.2">
      <c r="A446" s="13">
        <f t="shared" si="73"/>
        <v>2018</v>
      </c>
      <c r="B446" s="13" t="str">
        <f t="shared" si="74"/>
        <v>12</v>
      </c>
      <c r="C446" s="13" t="str">
        <f t="shared" si="75"/>
        <v>26</v>
      </c>
      <c r="D446" s="16" t="str">
        <f>VLOOKUP(H446,'Names for Vlookup'!$B$26:$C$94,2,FALSE)</f>
        <v>HwaYong Pharm.</v>
      </c>
      <c r="E446" s="16" t="str">
        <f>VLOOKUP(I446,'Names for Vlookup'!$B$8:$C$21,2,FALSE)</f>
        <v>Deer velvet</v>
      </c>
      <c r="G446" s="16" t="str">
        <f>VLOOKUP(L446,'Names for Vlookup'!$B$101:$C$181,2,FALSE)</f>
        <v>China</v>
      </c>
      <c r="H446" s="16" t="s">
        <v>80</v>
      </c>
      <c r="I446" s="15" t="s">
        <v>564</v>
      </c>
      <c r="J446" s="15" t="s">
        <v>557</v>
      </c>
      <c r="K446" s="15"/>
      <c r="L446" s="16" t="s">
        <v>33</v>
      </c>
      <c r="M446" s="26" t="s">
        <v>571</v>
      </c>
    </row>
    <row r="447" spans="1:13" ht="14" x14ac:dyDescent="0.2">
      <c r="A447" s="13">
        <f t="shared" si="73"/>
        <v>2018</v>
      </c>
      <c r="B447" s="13" t="str">
        <f t="shared" si="74"/>
        <v>12</v>
      </c>
      <c r="C447" s="13" t="str">
        <f t="shared" si="75"/>
        <v>26</v>
      </c>
      <c r="D447" s="16" t="str">
        <f>VLOOKUP(H447,'Names for Vlookup'!$B$26:$C$94,2,FALSE)</f>
        <v>Handong Herb</v>
      </c>
      <c r="E447" s="16" t="str">
        <f>VLOOKUP(I447,'Names for Vlookup'!$B$8:$C$21,2,FALSE)</f>
        <v>Deer velvet (frozen)</v>
      </c>
      <c r="G447" s="16" t="str">
        <f>VLOOKUP(L447,'Names for Vlookup'!$B$101:$C$181,2,FALSE)</f>
        <v>New Zealand</v>
      </c>
      <c r="H447" s="16" t="s">
        <v>526</v>
      </c>
      <c r="I447" s="15" t="s">
        <v>572</v>
      </c>
      <c r="J447" s="16" t="s">
        <v>560</v>
      </c>
      <c r="L447" s="16" t="s">
        <v>250</v>
      </c>
      <c r="M447" s="26" t="s">
        <v>571</v>
      </c>
    </row>
    <row r="448" spans="1:13" ht="14" x14ac:dyDescent="0.2">
      <c r="A448" s="13">
        <f t="shared" si="73"/>
        <v>2018</v>
      </c>
      <c r="B448" s="13" t="str">
        <f t="shared" si="74"/>
        <v>12</v>
      </c>
      <c r="C448" s="13" t="str">
        <f t="shared" si="75"/>
        <v>21</v>
      </c>
      <c r="D448" s="16" t="str">
        <f>VLOOKUP(H448,'Names for Vlookup'!$B$26:$C$94,2,FALSE)</f>
        <v>KNC Deertrade</v>
      </c>
      <c r="E448" s="16" t="str">
        <f>VLOOKUP(I448,'Names for Vlookup'!$B$8:$C$21,2,FALSE)</f>
        <v>Deer velvet (frozen)</v>
      </c>
      <c r="G448" s="16" t="str">
        <f>VLOOKUP(L448,'Names for Vlookup'!$B$101:$C$181,2,FALSE)</f>
        <v>New Zealand</v>
      </c>
      <c r="H448" s="16" t="s">
        <v>75</v>
      </c>
      <c r="I448" s="15" t="s">
        <v>572</v>
      </c>
      <c r="J448" s="16" t="s">
        <v>73</v>
      </c>
      <c r="L448" s="16" t="s">
        <v>36</v>
      </c>
      <c r="M448" s="26" t="s">
        <v>573</v>
      </c>
    </row>
    <row r="449" spans="1:13" ht="14" x14ac:dyDescent="0.2">
      <c r="A449" s="13">
        <f t="shared" si="73"/>
        <v>2018</v>
      </c>
      <c r="B449" s="13" t="str">
        <f t="shared" si="74"/>
        <v>12</v>
      </c>
      <c r="C449" s="13" t="str">
        <f t="shared" si="75"/>
        <v>18</v>
      </c>
      <c r="D449" s="16" t="str">
        <f>VLOOKUP(H449,'Names for Vlookup'!$B$26:$C$94,2,FALSE)</f>
        <v>Jinsoo Deer Co., Ltd.</v>
      </c>
      <c r="E449" s="16" t="str">
        <f>VLOOKUP(I449,'Names for Vlookup'!$B$8:$C$21,2,FALSE)</f>
        <v>Deer velvet (dried)</v>
      </c>
      <c r="G449" s="16" t="str">
        <f>VLOOKUP(L449,'Names for Vlookup'!$B$101:$C$181,2,FALSE)</f>
        <v>China</v>
      </c>
      <c r="H449" s="16" t="s">
        <v>163</v>
      </c>
      <c r="I449" s="15" t="s">
        <v>566</v>
      </c>
      <c r="J449" s="16" t="s">
        <v>70</v>
      </c>
      <c r="L449" s="16" t="s">
        <v>433</v>
      </c>
      <c r="M449" s="26" t="s">
        <v>574</v>
      </c>
    </row>
    <row r="450" spans="1:13" ht="14" x14ac:dyDescent="0.2">
      <c r="A450" s="13">
        <f t="shared" si="73"/>
        <v>2018</v>
      </c>
      <c r="B450" s="13" t="str">
        <f t="shared" si="74"/>
        <v>12</v>
      </c>
      <c r="C450" s="13" t="str">
        <f t="shared" si="75"/>
        <v>14</v>
      </c>
      <c r="D450" s="16" t="str">
        <f>VLOOKUP(H450,'Names for Vlookup'!$B$26:$C$94,2,FALSE)</f>
        <v>Daeheung Pharm</v>
      </c>
      <c r="E450" s="16" t="str">
        <f>VLOOKUP(I450,'Names for Vlookup'!$B$8:$C$21,2,FALSE)</f>
        <v>Deer velvet</v>
      </c>
      <c r="G450" s="16" t="str">
        <f>VLOOKUP(L450,'Names for Vlookup'!$B$101:$C$181,2,FALSE)</f>
        <v>China</v>
      </c>
      <c r="H450" s="16" t="s">
        <v>406</v>
      </c>
      <c r="I450" s="15" t="s">
        <v>564</v>
      </c>
      <c r="J450" s="16" t="s">
        <v>557</v>
      </c>
      <c r="L450" s="16" t="s">
        <v>336</v>
      </c>
      <c r="M450" s="26" t="s">
        <v>575</v>
      </c>
    </row>
    <row r="451" spans="1:13" ht="14" x14ac:dyDescent="0.2">
      <c r="A451" s="13">
        <f t="shared" si="73"/>
        <v>2018</v>
      </c>
      <c r="B451" s="13" t="str">
        <f t="shared" si="74"/>
        <v>12</v>
      </c>
      <c r="C451" s="13" t="str">
        <f t="shared" si="75"/>
        <v>13</v>
      </c>
      <c r="D451" s="16" t="str">
        <f>VLOOKUP(H451,'Names for Vlookup'!$B$26:$C$94,2,FALSE)</f>
        <v>KNC Deertrade</v>
      </c>
      <c r="E451" s="16" t="str">
        <f>VLOOKUP(I451,'Names for Vlookup'!$B$8:$C$21,2,FALSE)</f>
        <v>Deer velvet (frozen)</v>
      </c>
      <c r="G451" s="16" t="str">
        <f>VLOOKUP(L451,'Names for Vlookup'!$B$101:$C$181,2,FALSE)</f>
        <v>New Zealand</v>
      </c>
      <c r="H451" s="16" t="s">
        <v>75</v>
      </c>
      <c r="I451" s="15" t="s">
        <v>572</v>
      </c>
      <c r="J451" s="16" t="s">
        <v>73</v>
      </c>
      <c r="L451" s="16" t="s">
        <v>36</v>
      </c>
      <c r="M451" s="26" t="s">
        <v>576</v>
      </c>
    </row>
    <row r="452" spans="1:13" ht="14" x14ac:dyDescent="0.2">
      <c r="A452" s="13">
        <f t="shared" si="73"/>
        <v>2018</v>
      </c>
      <c r="B452" s="13" t="str">
        <f t="shared" si="74"/>
        <v>12</v>
      </c>
      <c r="C452" s="13" t="str">
        <f t="shared" si="75"/>
        <v>06</v>
      </c>
      <c r="D452" s="16" t="str">
        <f>VLOOKUP(H452,'Names for Vlookup'!$B$26:$C$94,2,FALSE)</f>
        <v>YW International</v>
      </c>
      <c r="E452" s="16" t="str">
        <f>VLOOKUP(I452,'Names for Vlookup'!$B$8:$C$21,2,FALSE)</f>
        <v>Deer velvet</v>
      </c>
      <c r="G452" s="16" t="str">
        <f>VLOOKUP(L452,'Names for Vlookup'!$B$101:$C$181,2,FALSE)</f>
        <v>China</v>
      </c>
      <c r="H452" s="16" t="s">
        <v>88</v>
      </c>
      <c r="I452" s="15" t="s">
        <v>564</v>
      </c>
      <c r="J452" s="16" t="s">
        <v>152</v>
      </c>
      <c r="L452" s="16" t="s">
        <v>336</v>
      </c>
      <c r="M452" s="27" t="s">
        <v>577</v>
      </c>
    </row>
    <row r="453" spans="1:13" ht="14" x14ac:dyDescent="0.2">
      <c r="A453" s="13">
        <f t="shared" si="73"/>
        <v>2018</v>
      </c>
      <c r="B453" s="13" t="str">
        <f t="shared" si="74"/>
        <v>12</v>
      </c>
      <c r="C453" s="13" t="str">
        <f t="shared" si="75"/>
        <v>05</v>
      </c>
      <c r="D453" s="16" t="str">
        <f>VLOOKUP(H453,'Names for Vlookup'!$B$26:$C$94,2,FALSE)</f>
        <v>Daeheung Pharm</v>
      </c>
      <c r="E453" s="16" t="str">
        <f>VLOOKUP(I453,'Names for Vlookup'!$B$8:$C$21,2,FALSE)</f>
        <v>Deer velvet (dried)</v>
      </c>
      <c r="G453" s="16" t="str">
        <f>VLOOKUP(L453,'Names for Vlookup'!$B$101:$C$181,2,FALSE)</f>
        <v>Russia</v>
      </c>
      <c r="H453" s="15" t="s">
        <v>578</v>
      </c>
      <c r="I453" s="15" t="s">
        <v>566</v>
      </c>
      <c r="J453" s="15" t="s">
        <v>557</v>
      </c>
      <c r="K453" s="15"/>
      <c r="L453" s="15" t="s">
        <v>579</v>
      </c>
      <c r="M453" s="27" t="s">
        <v>580</v>
      </c>
    </row>
    <row r="454" spans="1:13" ht="14" x14ac:dyDescent="0.2">
      <c r="A454" s="13">
        <f t="shared" si="73"/>
        <v>2018</v>
      </c>
      <c r="B454" s="13" t="str">
        <f t="shared" si="74"/>
        <v>11</v>
      </c>
      <c r="C454" s="13" t="str">
        <f t="shared" si="75"/>
        <v>23</v>
      </c>
      <c r="D454" s="16" t="str">
        <f>VLOOKUP(H454,'Names for Vlookup'!$B$26:$C$94,2,FALSE)</f>
        <v>Hankook Onnuri Pharm</v>
      </c>
      <c r="E454" s="16" t="str">
        <f>VLOOKUP(I454,'Names for Vlookup'!$B$8:$C$21,2,FALSE)</f>
        <v>Deer velvet (frozen)</v>
      </c>
      <c r="G454" s="16" t="str">
        <f>VLOOKUP(L454,'Names for Vlookup'!$B$101:$C$181,2,FALSE)</f>
        <v>New Zealand</v>
      </c>
      <c r="H454" s="16" t="s">
        <v>581</v>
      </c>
      <c r="I454" s="15" t="s">
        <v>572</v>
      </c>
      <c r="J454" s="15" t="s">
        <v>582</v>
      </c>
      <c r="K454" s="15"/>
      <c r="L454" s="15" t="s">
        <v>583</v>
      </c>
      <c r="M454" s="26" t="s">
        <v>584</v>
      </c>
    </row>
    <row r="455" spans="1:13" ht="14" x14ac:dyDescent="0.2">
      <c r="A455" s="13">
        <f t="shared" si="73"/>
        <v>2018</v>
      </c>
      <c r="B455" s="13" t="str">
        <f t="shared" si="74"/>
        <v>11</v>
      </c>
      <c r="C455" s="13" t="str">
        <f t="shared" si="75"/>
        <v>09</v>
      </c>
      <c r="D455" s="16" t="str">
        <f>VLOOKUP(H455,'Names for Vlookup'!$B$26:$C$94,2,FALSE)</f>
        <v>Ilseong Food</v>
      </c>
      <c r="E455" s="16" t="str">
        <f>VLOOKUP(I455,'Names for Vlookup'!$B$8:$C$21,2,FALSE)</f>
        <v>Deer velvet (dried)</v>
      </c>
      <c r="G455" s="16" t="str">
        <f>VLOOKUP(L455,'Names for Vlookup'!$B$101:$C$181,2,FALSE)</f>
        <v>Russia</v>
      </c>
      <c r="H455" s="15" t="s">
        <v>568</v>
      </c>
      <c r="I455" s="15" t="s">
        <v>566</v>
      </c>
      <c r="J455" s="15" t="s">
        <v>557</v>
      </c>
      <c r="K455" s="15"/>
      <c r="L455" s="16" t="s">
        <v>585</v>
      </c>
      <c r="M455" s="27" t="s">
        <v>586</v>
      </c>
    </row>
    <row r="456" spans="1:13" ht="14" x14ac:dyDescent="0.2">
      <c r="A456" s="13">
        <f t="shared" si="73"/>
        <v>2018</v>
      </c>
      <c r="B456" s="13" t="str">
        <f t="shared" si="74"/>
        <v>10</v>
      </c>
      <c r="C456" s="13" t="str">
        <f t="shared" si="75"/>
        <v>17</v>
      </c>
      <c r="D456" s="16" t="str">
        <f>VLOOKUP(H456,'Names for Vlookup'!$B$26:$C$94,2,FALSE)</f>
        <v>KGC</v>
      </c>
      <c r="E456" s="16" t="str">
        <f>VLOOKUP(I456,'Names for Vlookup'!$B$8:$C$21,2,FALSE)</f>
        <v>Deer velvet (dried)</v>
      </c>
      <c r="G456" s="16" t="str">
        <f>VLOOKUP(L456,'Names for Vlookup'!$B$101:$C$181,2,FALSE)</f>
        <v>New Zealand</v>
      </c>
      <c r="H456" s="16" t="s">
        <v>480</v>
      </c>
      <c r="I456" s="15" t="s">
        <v>566</v>
      </c>
      <c r="J456" s="16" t="s">
        <v>70</v>
      </c>
      <c r="L456" s="16" t="s">
        <v>250</v>
      </c>
      <c r="M456" s="26" t="s">
        <v>587</v>
      </c>
    </row>
    <row r="457" spans="1:13" ht="14" x14ac:dyDescent="0.2">
      <c r="A457" s="13">
        <f t="shared" si="73"/>
        <v>2018</v>
      </c>
      <c r="B457" s="13" t="str">
        <f t="shared" si="74"/>
        <v>10</v>
      </c>
      <c r="C457" s="13" t="str">
        <f t="shared" si="75"/>
        <v>16</v>
      </c>
      <c r="D457" s="16" t="str">
        <f>VLOOKUP(H457,'Names for Vlookup'!$B$26:$C$94,2,FALSE)</f>
        <v>KNC Deertrade</v>
      </c>
      <c r="E457" s="16" t="str">
        <f>VLOOKUP(I457,'Names for Vlookup'!$B$8:$C$21,2,FALSE)</f>
        <v>Deer velvet (frozen)</v>
      </c>
      <c r="G457" s="16" t="str">
        <f>VLOOKUP(L457,'Names for Vlookup'!$B$101:$C$181,2,FALSE)</f>
        <v>New Zealand</v>
      </c>
      <c r="H457" s="16" t="s">
        <v>75</v>
      </c>
      <c r="I457" s="15" t="s">
        <v>572</v>
      </c>
      <c r="J457" s="15" t="s">
        <v>582</v>
      </c>
      <c r="K457" s="15"/>
      <c r="L457" s="16" t="s">
        <v>36</v>
      </c>
      <c r="M457" s="26" t="s">
        <v>588</v>
      </c>
    </row>
    <row r="458" spans="1:13" ht="14" x14ac:dyDescent="0.2">
      <c r="A458" s="13">
        <f t="shared" si="73"/>
        <v>2018</v>
      </c>
      <c r="B458" s="13" t="str">
        <f t="shared" si="74"/>
        <v>10</v>
      </c>
      <c r="C458" s="13" t="str">
        <f t="shared" si="75"/>
        <v>11</v>
      </c>
      <c r="D458" s="16" t="str">
        <f>VLOOKUP(H458,'Names for Vlookup'!$B$26:$C$94,2,FALSE)</f>
        <v>KGC</v>
      </c>
      <c r="E458" s="16" t="str">
        <f>VLOOKUP(I458,'Names for Vlookup'!$B$8:$C$21,2,FALSE)</f>
        <v>Deer velvet (dried)</v>
      </c>
      <c r="G458" s="16" t="str">
        <f>VLOOKUP(L458,'Names for Vlookup'!$B$101:$C$181,2,FALSE)</f>
        <v>New Zealand</v>
      </c>
      <c r="H458" s="16" t="s">
        <v>480</v>
      </c>
      <c r="I458" s="15" t="s">
        <v>566</v>
      </c>
      <c r="J458" s="15" t="s">
        <v>589</v>
      </c>
      <c r="K458" s="15"/>
      <c r="L458" s="15" t="s">
        <v>590</v>
      </c>
      <c r="M458" s="26" t="s">
        <v>591</v>
      </c>
    </row>
    <row r="459" spans="1:13" ht="14" x14ac:dyDescent="0.2">
      <c r="A459" s="13">
        <f t="shared" si="73"/>
        <v>2018</v>
      </c>
      <c r="B459" s="13" t="str">
        <f t="shared" si="74"/>
        <v>10</v>
      </c>
      <c r="C459" s="13" t="str">
        <f t="shared" si="75"/>
        <v>10</v>
      </c>
      <c r="D459" s="16" t="str">
        <f>VLOOKUP(H459,'Names for Vlookup'!$B$26:$C$94,2,FALSE)</f>
        <v>Siwon Pharmaceutical</v>
      </c>
      <c r="E459" s="16" t="str">
        <f>VLOOKUP(I459,'Names for Vlookup'!$B$8:$C$21,2,FALSE)</f>
        <v>Deer velvet (frozen)</v>
      </c>
      <c r="G459" s="16" t="str">
        <f>VLOOKUP(L459,'Names for Vlookup'!$B$101:$C$181,2,FALSE)</f>
        <v>New Zealand</v>
      </c>
      <c r="H459" s="16" t="s">
        <v>303</v>
      </c>
      <c r="I459" s="15" t="s">
        <v>572</v>
      </c>
      <c r="J459" s="15" t="s">
        <v>592</v>
      </c>
      <c r="K459" s="15"/>
      <c r="L459" s="16" t="s">
        <v>593</v>
      </c>
      <c r="M459" s="26" t="s">
        <v>594</v>
      </c>
    </row>
    <row r="460" spans="1:13" ht="14" x14ac:dyDescent="0.2">
      <c r="A460" s="13">
        <f t="shared" si="73"/>
        <v>2018</v>
      </c>
      <c r="B460" s="13" t="str">
        <f t="shared" si="74"/>
        <v>09</v>
      </c>
      <c r="C460" s="13" t="str">
        <f t="shared" si="75"/>
        <v>13</v>
      </c>
      <c r="D460" s="16" t="str">
        <f>VLOOKUP(H460,'Names for Vlookup'!$B$26:$C$94,2,FALSE)</f>
        <v>KGC</v>
      </c>
      <c r="E460" s="16" t="str">
        <f>VLOOKUP(I460,'Names for Vlookup'!$B$8:$C$21,2,FALSE)</f>
        <v>Deer velvet (dried)</v>
      </c>
      <c r="G460" s="16" t="str">
        <f>VLOOKUP(L460,'Names for Vlookup'!$B$101:$C$181,2,FALSE)</f>
        <v>New Zealand</v>
      </c>
      <c r="H460" s="15" t="s">
        <v>595</v>
      </c>
      <c r="I460" s="15" t="s">
        <v>566</v>
      </c>
      <c r="J460" s="15" t="s">
        <v>589</v>
      </c>
      <c r="K460" s="15"/>
      <c r="L460" s="15" t="s">
        <v>590</v>
      </c>
      <c r="M460" s="26" t="s">
        <v>596</v>
      </c>
    </row>
    <row r="461" spans="1:13" ht="14" x14ac:dyDescent="0.2">
      <c r="A461" s="13">
        <f t="shared" si="73"/>
        <v>2018</v>
      </c>
      <c r="B461" s="13" t="str">
        <f t="shared" si="74"/>
        <v>08</v>
      </c>
      <c r="C461" s="13" t="str">
        <f t="shared" si="75"/>
        <v>30</v>
      </c>
      <c r="D461" s="16" t="str">
        <f>VLOOKUP(H461,'Names for Vlookup'!$B$26:$C$94,2,FALSE)</f>
        <v>KGC</v>
      </c>
      <c r="E461" s="16" t="str">
        <f>VLOOKUP(I461,'Names for Vlookup'!$B$8:$C$21,2,FALSE)</f>
        <v>Deer velvet (dried)</v>
      </c>
      <c r="G461" s="16" t="str">
        <f>VLOOKUP(L461,'Names for Vlookup'!$B$101:$C$181,2,FALSE)</f>
        <v>New Zealand</v>
      </c>
      <c r="H461" s="15" t="s">
        <v>595</v>
      </c>
      <c r="I461" s="15" t="s">
        <v>566</v>
      </c>
      <c r="J461" s="15" t="s">
        <v>589</v>
      </c>
      <c r="K461" s="15"/>
      <c r="L461" s="15" t="s">
        <v>597</v>
      </c>
      <c r="M461" s="26" t="s">
        <v>598</v>
      </c>
    </row>
    <row r="462" spans="1:13" ht="14" x14ac:dyDescent="0.2">
      <c r="A462" s="13">
        <f t="shared" si="73"/>
        <v>2018</v>
      </c>
      <c r="B462" s="13" t="str">
        <f t="shared" si="74"/>
        <v>08</v>
      </c>
      <c r="C462" s="13" t="str">
        <f t="shared" si="75"/>
        <v>30</v>
      </c>
      <c r="D462" s="16" t="str">
        <f>VLOOKUP(H462,'Names for Vlookup'!$B$26:$C$94,2,FALSE)</f>
        <v>Bibong Herb</v>
      </c>
      <c r="E462" s="16" t="str">
        <f>VLOOKUP(I462,'Names for Vlookup'!$B$8:$C$21,2,FALSE)</f>
        <v>Deer velvet (dried)</v>
      </c>
      <c r="G462" s="16" t="str">
        <f>VLOOKUP(L462,'Names for Vlookup'!$B$101:$C$181,2,FALSE)</f>
        <v>New Zealand</v>
      </c>
      <c r="H462" s="15" t="s">
        <v>599</v>
      </c>
      <c r="I462" s="15" t="s">
        <v>566</v>
      </c>
      <c r="J462" s="15" t="s">
        <v>589</v>
      </c>
      <c r="K462" s="15"/>
      <c r="L462" s="15" t="s">
        <v>597</v>
      </c>
      <c r="M462" s="26" t="s">
        <v>598</v>
      </c>
    </row>
    <row r="463" spans="1:13" ht="14" x14ac:dyDescent="0.2">
      <c r="A463" s="13">
        <f t="shared" si="73"/>
        <v>2018</v>
      </c>
      <c r="B463" s="13" t="str">
        <f t="shared" si="74"/>
        <v>08</v>
      </c>
      <c r="C463" s="13" t="str">
        <f t="shared" si="75"/>
        <v>21</v>
      </c>
      <c r="D463" s="16" t="str">
        <f>VLOOKUP(H463,'Names for Vlookup'!$B$26:$C$94,2,FALSE)</f>
        <v>Yuhan Corporation.</v>
      </c>
      <c r="E463" s="16" t="str">
        <f>VLOOKUP(I463,'Names for Vlookup'!$B$8:$C$21,2,FALSE)</f>
        <v>Deer velvet (frozen)</v>
      </c>
      <c r="G463" s="16" t="str">
        <f>VLOOKUP(L463,'Names for Vlookup'!$B$101:$C$181,2,FALSE)</f>
        <v>New Zealand</v>
      </c>
      <c r="H463" s="16" t="s">
        <v>600</v>
      </c>
      <c r="I463" s="15" t="s">
        <v>572</v>
      </c>
      <c r="J463" s="16" t="s">
        <v>601</v>
      </c>
      <c r="L463" s="16" t="s">
        <v>593</v>
      </c>
      <c r="M463" s="26" t="s">
        <v>602</v>
      </c>
    </row>
    <row r="464" spans="1:13" ht="14" x14ac:dyDescent="0.2">
      <c r="A464" s="13">
        <f t="shared" ref="A464:A527" si="76">YEAR(M464)</f>
        <v>2018</v>
      </c>
      <c r="B464" s="13" t="str">
        <f t="shared" ref="B464:B527" si="77">TEXT(M464,"mm")</f>
        <v>08</v>
      </c>
      <c r="C464" s="13" t="str">
        <f t="shared" ref="C464:C527" si="78">TEXT(M464,"dd")</f>
        <v>14</v>
      </c>
      <c r="D464" s="16" t="str">
        <f>VLOOKUP(H464,'Names for Vlookup'!$B$26:$C$94,2,FALSE)</f>
        <v>KGC</v>
      </c>
      <c r="E464" s="16" t="str">
        <f>VLOOKUP(I464,'Names for Vlookup'!$B$8:$C$21,2,FALSE)</f>
        <v>Deer velvet (dried)</v>
      </c>
      <c r="G464" s="16" t="str">
        <f>VLOOKUP(L464,'Names for Vlookup'!$B$101:$C$181,2,FALSE)</f>
        <v>New Zealand</v>
      </c>
      <c r="H464" s="15" t="s">
        <v>595</v>
      </c>
      <c r="I464" s="15" t="s">
        <v>566</v>
      </c>
      <c r="J464" s="15" t="s">
        <v>589</v>
      </c>
      <c r="K464" s="15"/>
      <c r="L464" s="15" t="s">
        <v>590</v>
      </c>
      <c r="M464" s="26" t="s">
        <v>603</v>
      </c>
    </row>
    <row r="465" spans="1:13" ht="14" x14ac:dyDescent="0.2">
      <c r="A465" s="13">
        <f t="shared" si="76"/>
        <v>2018</v>
      </c>
      <c r="B465" s="13" t="str">
        <f t="shared" si="77"/>
        <v>07</v>
      </c>
      <c r="C465" s="13" t="str">
        <f t="shared" si="78"/>
        <v>31</v>
      </c>
      <c r="D465" s="16" t="str">
        <f>VLOOKUP(H465,'Names for Vlookup'!$B$26:$C$94,2,FALSE)</f>
        <v>KGC</v>
      </c>
      <c r="E465" s="16" t="str">
        <f>VLOOKUP(I465,'Names for Vlookup'!$B$8:$C$21,2,FALSE)</f>
        <v>Deer velvet (dried)</v>
      </c>
      <c r="G465" s="16" t="str">
        <f>VLOOKUP(L465,'Names for Vlookup'!$B$101:$C$181,2,FALSE)</f>
        <v>New Zealand</v>
      </c>
      <c r="H465" s="16" t="s">
        <v>480</v>
      </c>
      <c r="I465" s="16" t="s">
        <v>171</v>
      </c>
      <c r="J465" s="16" t="s">
        <v>70</v>
      </c>
      <c r="L465" s="16" t="s">
        <v>536</v>
      </c>
      <c r="M465" s="26" t="s">
        <v>604</v>
      </c>
    </row>
    <row r="466" spans="1:13" ht="14" x14ac:dyDescent="0.2">
      <c r="A466" s="13">
        <f t="shared" si="76"/>
        <v>2018</v>
      </c>
      <c r="B466" s="13" t="str">
        <f t="shared" si="77"/>
        <v>07</v>
      </c>
      <c r="C466" s="13" t="str">
        <f t="shared" si="78"/>
        <v>24</v>
      </c>
      <c r="D466" s="16" t="str">
        <f>VLOOKUP(H466,'Names for Vlookup'!$B$26:$C$94,2,FALSE)</f>
        <v>YongBo (Mr. Woljin Kim)</v>
      </c>
      <c r="E466" s="16" t="str">
        <f>VLOOKUP(I466,'Names for Vlookup'!$B$8:$C$21,2,FALSE)</f>
        <v>Deer velvet (dried)</v>
      </c>
      <c r="G466" s="16" t="str">
        <f>VLOOKUP(L466,'Names for Vlookup'!$B$101:$C$181,2,FALSE)</f>
        <v>New Zealand</v>
      </c>
      <c r="H466" s="16" t="s">
        <v>98</v>
      </c>
      <c r="I466" s="16" t="s">
        <v>171</v>
      </c>
      <c r="J466" s="16" t="s">
        <v>483</v>
      </c>
      <c r="L466" s="16" t="s">
        <v>493</v>
      </c>
      <c r="M466" s="26" t="s">
        <v>605</v>
      </c>
    </row>
    <row r="467" spans="1:13" ht="14" x14ac:dyDescent="0.2">
      <c r="A467" s="13">
        <f t="shared" si="76"/>
        <v>2018</v>
      </c>
      <c r="B467" s="13" t="str">
        <f t="shared" si="77"/>
        <v>07</v>
      </c>
      <c r="C467" s="13" t="str">
        <f t="shared" si="78"/>
        <v>18</v>
      </c>
      <c r="D467" s="16" t="str">
        <f>VLOOKUP(H467,'Names for Vlookup'!$B$26:$C$94,2,FALSE)</f>
        <v>Yujin Trade</v>
      </c>
      <c r="E467" s="16" t="str">
        <f>VLOOKUP(I467,'Names for Vlookup'!$B$8:$C$21,2,FALSE)</f>
        <v>Deer velvet (frozen)</v>
      </c>
      <c r="G467" s="16" t="str">
        <f>VLOOKUP(L467,'Names for Vlookup'!$B$101:$C$181,2,FALSE)</f>
        <v>New Zealand</v>
      </c>
      <c r="H467" s="16" t="s">
        <v>91</v>
      </c>
      <c r="I467" s="16" t="s">
        <v>76</v>
      </c>
      <c r="J467" s="16" t="s">
        <v>73</v>
      </c>
      <c r="L467" s="16" t="s">
        <v>36</v>
      </c>
      <c r="M467" s="26" t="s">
        <v>606</v>
      </c>
    </row>
    <row r="468" spans="1:13" ht="14" x14ac:dyDescent="0.2">
      <c r="A468" s="13">
        <f t="shared" si="76"/>
        <v>2018</v>
      </c>
      <c r="B468" s="13" t="str">
        <f t="shared" si="77"/>
        <v>07</v>
      </c>
      <c r="C468" s="13" t="str">
        <f t="shared" si="78"/>
        <v>18</v>
      </c>
      <c r="D468" s="16" t="str">
        <f>VLOOKUP(H468,'Names for Vlookup'!$B$26:$C$94,2,FALSE)</f>
        <v>MyungGa (Mr.Lee in Daegu)</v>
      </c>
      <c r="E468" s="16" t="str">
        <f>VLOOKUP(I468,'Names for Vlookup'!$B$8:$C$21,2,FALSE)</f>
        <v>Deer velvet (dried)</v>
      </c>
      <c r="G468" s="16" t="str">
        <f>VLOOKUP(L468,'Names for Vlookup'!$B$101:$C$181,2,FALSE)</f>
        <v>New Zealand</v>
      </c>
      <c r="H468" s="16" t="s">
        <v>208</v>
      </c>
      <c r="I468" s="16" t="s">
        <v>171</v>
      </c>
      <c r="J468" s="16" t="s">
        <v>152</v>
      </c>
      <c r="L468" s="16" t="s">
        <v>203</v>
      </c>
      <c r="M468" s="26" t="s">
        <v>606</v>
      </c>
    </row>
    <row r="469" spans="1:13" ht="14" x14ac:dyDescent="0.2">
      <c r="A469" s="13">
        <f t="shared" si="76"/>
        <v>2018</v>
      </c>
      <c r="B469" s="13" t="str">
        <f t="shared" si="77"/>
        <v>07</v>
      </c>
      <c r="C469" s="13" t="str">
        <f t="shared" si="78"/>
        <v>16</v>
      </c>
      <c r="D469" s="16" t="str">
        <f>VLOOKUP(H469,'Names for Vlookup'!$B$26:$C$94,2,FALSE)</f>
        <v>KGC</v>
      </c>
      <c r="E469" s="16" t="str">
        <f>VLOOKUP(I469,'Names for Vlookup'!$B$8:$C$21,2,FALSE)</f>
        <v>Deer velvet (dried)</v>
      </c>
      <c r="G469" s="16" t="str">
        <f>VLOOKUP(L469,'Names for Vlookup'!$B$101:$C$181,2,FALSE)</f>
        <v>New Zealand</v>
      </c>
      <c r="H469" s="16" t="s">
        <v>480</v>
      </c>
      <c r="I469" s="16" t="s">
        <v>171</v>
      </c>
      <c r="J469" s="16" t="s">
        <v>70</v>
      </c>
      <c r="L469" s="16" t="s">
        <v>250</v>
      </c>
      <c r="M469" s="26" t="s">
        <v>607</v>
      </c>
    </row>
    <row r="470" spans="1:13" ht="14" x14ac:dyDescent="0.2">
      <c r="A470" s="13">
        <f t="shared" si="76"/>
        <v>2018</v>
      </c>
      <c r="B470" s="13" t="str">
        <f t="shared" si="77"/>
        <v>07</v>
      </c>
      <c r="C470" s="13" t="str">
        <f t="shared" si="78"/>
        <v>10</v>
      </c>
      <c r="D470" s="16" t="str">
        <f>VLOOKUP(H470,'Names for Vlookup'!$B$26:$C$94,2,FALSE)</f>
        <v>HwaYong Pharm.</v>
      </c>
      <c r="E470" s="16" t="str">
        <f>VLOOKUP(I470,'Names for Vlookup'!$B$8:$C$21,2,FALSE)</f>
        <v>Deer velvet (dried)</v>
      </c>
      <c r="G470" s="16" t="str">
        <f>VLOOKUP(L470,'Names for Vlookup'!$B$101:$C$181,2,FALSE)</f>
        <v>China</v>
      </c>
      <c r="H470" s="16" t="s">
        <v>80</v>
      </c>
      <c r="I470" s="15" t="s">
        <v>566</v>
      </c>
      <c r="J470" s="15" t="s">
        <v>557</v>
      </c>
      <c r="K470" s="15"/>
      <c r="L470" s="16" t="s">
        <v>541</v>
      </c>
      <c r="M470" s="26" t="s">
        <v>608</v>
      </c>
    </row>
    <row r="471" spans="1:13" ht="14" x14ac:dyDescent="0.2">
      <c r="A471" s="13">
        <f t="shared" si="76"/>
        <v>2018</v>
      </c>
      <c r="B471" s="13" t="str">
        <f t="shared" si="77"/>
        <v>06</v>
      </c>
      <c r="C471" s="13" t="str">
        <f t="shared" si="78"/>
        <v>29</v>
      </c>
      <c r="D471" s="16" t="str">
        <f>VLOOKUP(H471,'Names for Vlookup'!$B$26:$C$94,2,FALSE)</f>
        <v>KGC</v>
      </c>
      <c r="E471" s="16" t="str">
        <f>VLOOKUP(I471,'Names for Vlookup'!$B$8:$C$21,2,FALSE)</f>
        <v>Deer velvet (dried)</v>
      </c>
      <c r="G471" s="16" t="str">
        <f>VLOOKUP(L471,'Names for Vlookup'!$B$101:$C$181,2,FALSE)</f>
        <v>New Zealand</v>
      </c>
      <c r="H471" s="16" t="s">
        <v>480</v>
      </c>
      <c r="I471" s="15" t="s">
        <v>566</v>
      </c>
      <c r="J471" s="15" t="s">
        <v>70</v>
      </c>
      <c r="K471" s="15"/>
      <c r="L471" s="16" t="s">
        <v>38</v>
      </c>
      <c r="M471" s="26" t="s">
        <v>609</v>
      </c>
    </row>
    <row r="472" spans="1:13" ht="14" x14ac:dyDescent="0.2">
      <c r="A472" s="13">
        <f t="shared" si="76"/>
        <v>2018</v>
      </c>
      <c r="B472" s="13" t="str">
        <f t="shared" si="77"/>
        <v>06</v>
      </c>
      <c r="C472" s="13" t="str">
        <f t="shared" si="78"/>
        <v>21</v>
      </c>
      <c r="D472" s="16" t="str">
        <f>VLOOKUP(H472,'Names for Vlookup'!$B$26:$C$94,2,FALSE)</f>
        <v>KGC</v>
      </c>
      <c r="E472" s="16" t="str">
        <f>VLOOKUP(I472,'Names for Vlookup'!$B$8:$C$21,2,FALSE)</f>
        <v>Deer velvet (dried)</v>
      </c>
      <c r="G472" s="16" t="str">
        <f>VLOOKUP(L472,'Names for Vlookup'!$B$101:$C$181,2,FALSE)</f>
        <v>New Zealand</v>
      </c>
      <c r="H472" s="16" t="s">
        <v>480</v>
      </c>
      <c r="I472" s="16" t="s">
        <v>171</v>
      </c>
      <c r="J472" s="16" t="s">
        <v>70</v>
      </c>
      <c r="L472" s="16" t="s">
        <v>250</v>
      </c>
      <c r="M472" s="26" t="s">
        <v>610</v>
      </c>
    </row>
    <row r="473" spans="1:13" ht="14" x14ac:dyDescent="0.2">
      <c r="A473" s="13">
        <f t="shared" si="76"/>
        <v>2018</v>
      </c>
      <c r="B473" s="13" t="str">
        <f t="shared" si="77"/>
        <v>06</v>
      </c>
      <c r="C473" s="13" t="str">
        <f t="shared" si="78"/>
        <v>21</v>
      </c>
      <c r="D473" s="16" t="str">
        <f>VLOOKUP(H473,'Names for Vlookup'!$B$26:$C$94,2,FALSE)</f>
        <v>KGC</v>
      </c>
      <c r="E473" s="16" t="str">
        <f>VLOOKUP(I473,'Names for Vlookup'!$B$8:$C$21,2,FALSE)</f>
        <v>Deer velvet (dried)</v>
      </c>
      <c r="G473" s="16" t="str">
        <f>VLOOKUP(L473,'Names for Vlookup'!$B$101:$C$181,2,FALSE)</f>
        <v>New Zealand</v>
      </c>
      <c r="H473" s="16" t="s">
        <v>480</v>
      </c>
      <c r="I473" s="16" t="s">
        <v>171</v>
      </c>
      <c r="J473" s="16" t="s">
        <v>70</v>
      </c>
      <c r="L473" s="16" t="s">
        <v>536</v>
      </c>
      <c r="M473" s="26" t="s">
        <v>610</v>
      </c>
    </row>
    <row r="474" spans="1:13" ht="14" x14ac:dyDescent="0.2">
      <c r="A474" s="13">
        <f t="shared" si="76"/>
        <v>2018</v>
      </c>
      <c r="B474" s="13" t="str">
        <f t="shared" si="77"/>
        <v>06</v>
      </c>
      <c r="C474" s="13" t="str">
        <f t="shared" si="78"/>
        <v>05</v>
      </c>
      <c r="D474" s="16" t="str">
        <f>VLOOKUP(H474,'Names for Vlookup'!$B$26:$C$94,2,FALSE)</f>
        <v>Handong Herb</v>
      </c>
      <c r="E474" s="16" t="str">
        <f>VLOOKUP(I474,'Names for Vlookup'!$B$8:$C$21,2,FALSE)</f>
        <v>Deer velvet (frozen)</v>
      </c>
      <c r="G474" s="16" t="str">
        <f>VLOOKUP(L474,'Names for Vlookup'!$B$101:$C$181,2,FALSE)</f>
        <v>New Zealand</v>
      </c>
      <c r="H474" s="16" t="s">
        <v>526</v>
      </c>
      <c r="I474" s="16" t="s">
        <v>76</v>
      </c>
      <c r="J474" s="16" t="s">
        <v>560</v>
      </c>
      <c r="L474" s="16" t="s">
        <v>250</v>
      </c>
      <c r="M474" s="27" t="s">
        <v>611</v>
      </c>
    </row>
    <row r="475" spans="1:13" ht="14" x14ac:dyDescent="0.2">
      <c r="A475" s="13">
        <f t="shared" si="76"/>
        <v>2018</v>
      </c>
      <c r="B475" s="13" t="str">
        <f t="shared" si="77"/>
        <v>05</v>
      </c>
      <c r="C475" s="13" t="str">
        <f t="shared" si="78"/>
        <v>29</v>
      </c>
      <c r="D475" s="16" t="str">
        <f>VLOOKUP(H475,'Names for Vlookup'!$B$26:$C$94,2,FALSE)</f>
        <v>Chunho N Care</v>
      </c>
      <c r="E475" s="16" t="str">
        <f>VLOOKUP(I475,'Names for Vlookup'!$B$8:$C$21,2,FALSE)</f>
        <v>Deer velvet (dried)</v>
      </c>
      <c r="G475" s="16" t="str">
        <f>VLOOKUP(L475,'Names for Vlookup'!$B$101:$C$181,2,FALSE)</f>
        <v>New Zealand</v>
      </c>
      <c r="H475" s="16" t="s">
        <v>128</v>
      </c>
      <c r="I475" s="16" t="s">
        <v>171</v>
      </c>
      <c r="J475" s="16" t="s">
        <v>70</v>
      </c>
      <c r="L475" s="16" t="s">
        <v>260</v>
      </c>
      <c r="M475" s="26" t="s">
        <v>612</v>
      </c>
    </row>
    <row r="476" spans="1:13" ht="14" x14ac:dyDescent="0.2">
      <c r="A476" s="13">
        <f t="shared" si="76"/>
        <v>2018</v>
      </c>
      <c r="B476" s="13" t="str">
        <f t="shared" si="77"/>
        <v>05</v>
      </c>
      <c r="C476" s="13" t="str">
        <f t="shared" si="78"/>
        <v>29</v>
      </c>
      <c r="D476" s="16" t="str">
        <f>VLOOKUP(H476,'Names for Vlookup'!$B$26:$C$94,2,FALSE)</f>
        <v>Ee Room Pharm.</v>
      </c>
      <c r="E476" s="16" t="str">
        <f>VLOOKUP(I476,'Names for Vlookup'!$B$8:$C$21,2,FALSE)</f>
        <v>Deer velvet (dried)</v>
      </c>
      <c r="G476" s="16" t="str">
        <f>VLOOKUP(L476,'Names for Vlookup'!$B$101:$C$181,2,FALSE)</f>
        <v>Hong Kong</v>
      </c>
      <c r="H476" s="16" t="s">
        <v>320</v>
      </c>
      <c r="I476" s="16" t="s">
        <v>171</v>
      </c>
      <c r="J476" s="16" t="s">
        <v>70</v>
      </c>
      <c r="L476" s="16" t="s">
        <v>613</v>
      </c>
      <c r="M476" s="26" t="s">
        <v>612</v>
      </c>
    </row>
    <row r="477" spans="1:13" ht="14" x14ac:dyDescent="0.2">
      <c r="A477" s="13">
        <f t="shared" si="76"/>
        <v>2018</v>
      </c>
      <c r="B477" s="13" t="str">
        <f t="shared" si="77"/>
        <v>05</v>
      </c>
      <c r="C477" s="13" t="str">
        <f t="shared" si="78"/>
        <v>23</v>
      </c>
      <c r="D477" s="16" t="str">
        <f>VLOOKUP(H477,'Names for Vlookup'!$B$26:$C$94,2,FALSE)</f>
        <v>Yujin Trade</v>
      </c>
      <c r="E477" s="16" t="str">
        <f>VLOOKUP(I477,'Names for Vlookup'!$B$8:$C$21,2,FALSE)</f>
        <v>Deer velvet (frozen)</v>
      </c>
      <c r="G477" s="16" t="str">
        <f>VLOOKUP(L477,'Names for Vlookup'!$B$101:$C$181,2,FALSE)</f>
        <v>New Zealand</v>
      </c>
      <c r="H477" s="16" t="s">
        <v>91</v>
      </c>
      <c r="I477" s="16" t="s">
        <v>76</v>
      </c>
      <c r="J477" s="16" t="s">
        <v>73</v>
      </c>
      <c r="L477" s="16" t="s">
        <v>38</v>
      </c>
      <c r="M477" s="26" t="s">
        <v>614</v>
      </c>
    </row>
    <row r="478" spans="1:13" ht="14" x14ac:dyDescent="0.2">
      <c r="A478" s="13">
        <f t="shared" si="76"/>
        <v>2018</v>
      </c>
      <c r="B478" s="13" t="str">
        <f t="shared" si="77"/>
        <v>05</v>
      </c>
      <c r="C478" s="13" t="str">
        <f t="shared" si="78"/>
        <v>15</v>
      </c>
      <c r="D478" s="16" t="str">
        <f>VLOOKUP(H478,'Names for Vlookup'!$B$26:$C$94,2,FALSE)</f>
        <v>Jinka Food</v>
      </c>
      <c r="E478" s="16" t="str">
        <f>VLOOKUP(I478,'Names for Vlookup'!$B$8:$C$21,2,FALSE)</f>
        <v>Deer velvet (frozen)</v>
      </c>
      <c r="G478" s="16" t="str">
        <f>VLOOKUP(L478,'Names for Vlookup'!$B$101:$C$181,2,FALSE)</f>
        <v>New Zealand</v>
      </c>
      <c r="H478" s="16" t="s">
        <v>466</v>
      </c>
      <c r="I478" s="16" t="s">
        <v>76</v>
      </c>
      <c r="J478" s="16" t="s">
        <v>73</v>
      </c>
      <c r="L478" s="16" t="s">
        <v>260</v>
      </c>
      <c r="M478" s="26" t="s">
        <v>615</v>
      </c>
    </row>
    <row r="479" spans="1:13" ht="14" x14ac:dyDescent="0.2">
      <c r="A479" s="13">
        <f t="shared" si="76"/>
        <v>2018</v>
      </c>
      <c r="B479" s="13" t="str">
        <f t="shared" si="77"/>
        <v>05</v>
      </c>
      <c r="C479" s="13" t="str">
        <f t="shared" si="78"/>
        <v>11</v>
      </c>
      <c r="D479" s="16" t="str">
        <f>VLOOKUP(H479,'Names for Vlookup'!$B$26:$C$94,2,FALSE)</f>
        <v>YongBo (Mr. Woljin Kim)</v>
      </c>
      <c r="E479" s="16" t="str">
        <f>VLOOKUP(I479,'Names for Vlookup'!$B$8:$C$21,2,FALSE)</f>
        <v>Deer velvet (dried)</v>
      </c>
      <c r="G479" s="16" t="str">
        <f>VLOOKUP(L479,'Names for Vlookup'!$B$101:$C$181,2,FALSE)</f>
        <v>Russia</v>
      </c>
      <c r="H479" s="16" t="s">
        <v>98</v>
      </c>
      <c r="I479" s="16" t="s">
        <v>171</v>
      </c>
      <c r="J479" s="16" t="s">
        <v>105</v>
      </c>
      <c r="L479" s="16" t="s">
        <v>212</v>
      </c>
      <c r="M479" s="26" t="s">
        <v>616</v>
      </c>
    </row>
    <row r="480" spans="1:13" ht="14" x14ac:dyDescent="0.2">
      <c r="A480" s="13">
        <f t="shared" si="76"/>
        <v>2018</v>
      </c>
      <c r="B480" s="13" t="str">
        <f t="shared" si="77"/>
        <v>05</v>
      </c>
      <c r="C480" s="13" t="str">
        <f t="shared" si="78"/>
        <v>11</v>
      </c>
      <c r="D480" s="16" t="str">
        <f>VLOOKUP(H480,'Names for Vlookup'!$B$26:$C$94,2,FALSE)</f>
        <v>MyungGa (Mr.Lee in Daegu)</v>
      </c>
      <c r="E480" s="16" t="str">
        <f>VLOOKUP(I480,'Names for Vlookup'!$B$8:$C$21,2,FALSE)</f>
        <v>Deer velvet (dried)</v>
      </c>
      <c r="G480" s="16" t="str">
        <f>VLOOKUP(L480,'Names for Vlookup'!$B$101:$C$181,2,FALSE)</f>
        <v>Russia</v>
      </c>
      <c r="H480" s="28" t="s">
        <v>208</v>
      </c>
      <c r="I480" s="16" t="s">
        <v>171</v>
      </c>
      <c r="J480" s="16" t="s">
        <v>105</v>
      </c>
      <c r="L480" s="16" t="s">
        <v>212</v>
      </c>
      <c r="M480" s="26" t="s">
        <v>616</v>
      </c>
    </row>
    <row r="481" spans="1:13" ht="14" x14ac:dyDescent="0.2">
      <c r="A481" s="13">
        <f t="shared" si="76"/>
        <v>2018</v>
      </c>
      <c r="B481" s="13" t="str">
        <f t="shared" si="77"/>
        <v>05</v>
      </c>
      <c r="C481" s="13" t="str">
        <f t="shared" si="78"/>
        <v>08</v>
      </c>
      <c r="D481" s="16" t="str">
        <f>VLOOKUP(H481,'Names for Vlookup'!$B$26:$C$94,2,FALSE)</f>
        <v xml:space="preserve">WooSung (Mr Bang) </v>
      </c>
      <c r="E481" s="16" t="str">
        <f>VLOOKUP(I481,'Names for Vlookup'!$B$8:$C$21,2,FALSE)</f>
        <v>Deer velvet (dried)</v>
      </c>
      <c r="G481" s="16" t="str">
        <f>VLOOKUP(L481,'Names for Vlookup'!$B$101:$C$181,2,FALSE)</f>
        <v>China</v>
      </c>
      <c r="H481" s="16" t="s">
        <v>69</v>
      </c>
      <c r="I481" s="16" t="s">
        <v>171</v>
      </c>
      <c r="J481" s="16" t="s">
        <v>70</v>
      </c>
      <c r="L481" s="16" t="s">
        <v>617</v>
      </c>
      <c r="M481" s="27" t="s">
        <v>618</v>
      </c>
    </row>
    <row r="482" spans="1:13" ht="14" x14ac:dyDescent="0.2">
      <c r="A482" s="13">
        <f t="shared" si="76"/>
        <v>2018</v>
      </c>
      <c r="B482" s="13" t="str">
        <f t="shared" si="77"/>
        <v>05</v>
      </c>
      <c r="C482" s="13" t="str">
        <f t="shared" si="78"/>
        <v>08</v>
      </c>
      <c r="D482" s="16" t="str">
        <f>VLOOKUP(H482,'Names for Vlookup'!$B$26:$C$94,2,FALSE)</f>
        <v>KGC</v>
      </c>
      <c r="E482" s="16" t="str">
        <f>VLOOKUP(I482,'Names for Vlookup'!$B$8:$C$21,2,FALSE)</f>
        <v>Deer velvet (dried)</v>
      </c>
      <c r="G482" s="16" t="str">
        <f>VLOOKUP(L482,'Names for Vlookup'!$B$101:$C$181,2,FALSE)</f>
        <v>New Zealand</v>
      </c>
      <c r="H482" s="16" t="s">
        <v>480</v>
      </c>
      <c r="I482" s="16" t="s">
        <v>171</v>
      </c>
      <c r="J482" s="16" t="s">
        <v>70</v>
      </c>
      <c r="L482" s="16" t="s">
        <v>250</v>
      </c>
      <c r="M482" s="27" t="s">
        <v>618</v>
      </c>
    </row>
    <row r="483" spans="1:13" ht="14" x14ac:dyDescent="0.2">
      <c r="A483" s="13">
        <f t="shared" si="76"/>
        <v>2018</v>
      </c>
      <c r="B483" s="13" t="str">
        <f t="shared" si="77"/>
        <v>05</v>
      </c>
      <c r="C483" s="13" t="str">
        <f t="shared" si="78"/>
        <v>01</v>
      </c>
      <c r="D483" s="16" t="str">
        <f>VLOOKUP(H483,'Names for Vlookup'!$B$26:$C$94,2,FALSE)</f>
        <v>Chunho N Care</v>
      </c>
      <c r="E483" s="16" t="str">
        <f>VLOOKUP(I483,'Names for Vlookup'!$B$8:$C$21,2,FALSE)</f>
        <v>Deer velvet (dried)</v>
      </c>
      <c r="G483" s="16" t="str">
        <f>VLOOKUP(L483,'Names for Vlookup'!$B$101:$C$181,2,FALSE)</f>
        <v>New Zealand</v>
      </c>
      <c r="H483" s="16" t="s">
        <v>128</v>
      </c>
      <c r="I483" s="16" t="s">
        <v>171</v>
      </c>
      <c r="J483" s="16" t="s">
        <v>70</v>
      </c>
      <c r="L483" s="16" t="s">
        <v>260</v>
      </c>
      <c r="M483" s="27" t="s">
        <v>619</v>
      </c>
    </row>
    <row r="484" spans="1:13" ht="14" x14ac:dyDescent="0.2">
      <c r="A484" s="13">
        <f t="shared" si="76"/>
        <v>2018</v>
      </c>
      <c r="B484" s="13" t="str">
        <f t="shared" si="77"/>
        <v>04</v>
      </c>
      <c r="C484" s="13" t="str">
        <f t="shared" si="78"/>
        <v>20</v>
      </c>
      <c r="D484" s="16" t="str">
        <f>VLOOKUP(H484,'Names for Vlookup'!$B$26:$C$94,2,FALSE)</f>
        <v>KGC</v>
      </c>
      <c r="E484" s="16" t="str">
        <f>VLOOKUP(I484,'Names for Vlookup'!$B$8:$C$21,2,FALSE)</f>
        <v>Deer velvet (dried)</v>
      </c>
      <c r="G484" s="16" t="str">
        <f>VLOOKUP(L484,'Names for Vlookup'!$B$101:$C$181,2,FALSE)</f>
        <v>New Zealand</v>
      </c>
      <c r="H484" s="16" t="s">
        <v>480</v>
      </c>
      <c r="I484" s="16" t="s">
        <v>171</v>
      </c>
      <c r="J484" s="16" t="s">
        <v>70</v>
      </c>
      <c r="L484" s="16" t="s">
        <v>250</v>
      </c>
      <c r="M484" s="26" t="s">
        <v>620</v>
      </c>
    </row>
    <row r="485" spans="1:13" ht="14" x14ac:dyDescent="0.2">
      <c r="A485" s="13">
        <f t="shared" si="76"/>
        <v>2018</v>
      </c>
      <c r="B485" s="13" t="str">
        <f t="shared" si="77"/>
        <v>04</v>
      </c>
      <c r="C485" s="13" t="str">
        <f t="shared" si="78"/>
        <v>16</v>
      </c>
      <c r="D485" s="16" t="str">
        <f>VLOOKUP(H485,'Names for Vlookup'!$B$26:$C$94,2,FALSE)</f>
        <v>YongBo (Mr. Woljin Kim)</v>
      </c>
      <c r="E485" s="16" t="str">
        <f>VLOOKUP(I485,'Names for Vlookup'!$B$8:$C$21,2,FALSE)</f>
        <v>Deer velvet (dried)</v>
      </c>
      <c r="G485" s="16" t="str">
        <f>VLOOKUP(L485,'Names for Vlookup'!$B$101:$C$181,2,FALSE)</f>
        <v>New Zealand</v>
      </c>
      <c r="H485" s="16" t="s">
        <v>98</v>
      </c>
      <c r="I485" s="16" t="s">
        <v>171</v>
      </c>
      <c r="J485" s="16" t="s">
        <v>483</v>
      </c>
      <c r="L485" s="16" t="s">
        <v>493</v>
      </c>
      <c r="M485" s="27" t="s">
        <v>621</v>
      </c>
    </row>
    <row r="486" spans="1:13" ht="14" x14ac:dyDescent="0.2">
      <c r="A486" s="13">
        <f t="shared" si="76"/>
        <v>2018</v>
      </c>
      <c r="B486" s="13" t="str">
        <f t="shared" si="77"/>
        <v>03</v>
      </c>
      <c r="C486" s="13" t="str">
        <f t="shared" si="78"/>
        <v>30</v>
      </c>
      <c r="D486" s="16" t="str">
        <f>VLOOKUP(H486,'Names for Vlookup'!$B$26:$C$94,2,FALSE)</f>
        <v>Chunho Food</v>
      </c>
      <c r="E486" s="16" t="str">
        <f>VLOOKUP(I486,'Names for Vlookup'!$B$8:$C$21,2,FALSE)</f>
        <v>Deer velvet (dried)</v>
      </c>
      <c r="G486" s="16" t="str">
        <f>VLOOKUP(L486,'Names for Vlookup'!$B$101:$C$181,2,FALSE)</f>
        <v>New Zealand</v>
      </c>
      <c r="H486" s="16" t="s">
        <v>622</v>
      </c>
      <c r="I486" s="16" t="s">
        <v>171</v>
      </c>
      <c r="J486" s="16" t="s">
        <v>70</v>
      </c>
      <c r="L486" s="16" t="s">
        <v>260</v>
      </c>
      <c r="M486" s="26" t="s">
        <v>623</v>
      </c>
    </row>
    <row r="487" spans="1:13" ht="14" x14ac:dyDescent="0.2">
      <c r="A487" s="13">
        <f t="shared" si="76"/>
        <v>2018</v>
      </c>
      <c r="B487" s="13" t="str">
        <f t="shared" si="77"/>
        <v>03</v>
      </c>
      <c r="C487" s="13" t="str">
        <f t="shared" si="78"/>
        <v>27</v>
      </c>
      <c r="D487" s="16" t="str">
        <f>VLOOKUP(H487,'Names for Vlookup'!$B$26:$C$94,2,FALSE)</f>
        <v>Handong Herb</v>
      </c>
      <c r="E487" s="16" t="str">
        <f>VLOOKUP(I487,'Names for Vlookup'!$B$8:$C$21,2,FALSE)</f>
        <v>Deer velvet (frozen)</v>
      </c>
      <c r="G487" s="16" t="str">
        <f>VLOOKUP(L487,'Names for Vlookup'!$B$101:$C$181,2,FALSE)</f>
        <v>New Zealand</v>
      </c>
      <c r="H487" s="16" t="s">
        <v>526</v>
      </c>
      <c r="I487" s="16" t="s">
        <v>76</v>
      </c>
      <c r="J487" s="16" t="s">
        <v>560</v>
      </c>
      <c r="L487" s="16" t="s">
        <v>250</v>
      </c>
      <c r="M487" s="26" t="s">
        <v>624</v>
      </c>
    </row>
    <row r="488" spans="1:13" ht="14" x14ac:dyDescent="0.2">
      <c r="A488" s="13">
        <f t="shared" si="76"/>
        <v>2018</v>
      </c>
      <c r="B488" s="13" t="str">
        <f t="shared" si="77"/>
        <v>03</v>
      </c>
      <c r="C488" s="13" t="str">
        <f t="shared" si="78"/>
        <v>22</v>
      </c>
      <c r="D488" s="16" t="str">
        <f>VLOOKUP(H488,'Names for Vlookup'!$B$26:$C$94,2,FALSE)</f>
        <v>Yujin Trade</v>
      </c>
      <c r="E488" s="16" t="str">
        <f>VLOOKUP(I488,'Names for Vlookup'!$B$8:$C$21,2,FALSE)</f>
        <v>Deer velvet (frozen)</v>
      </c>
      <c r="G488" s="16" t="str">
        <f>VLOOKUP(L488,'Names for Vlookup'!$B$101:$C$181,2,FALSE)</f>
        <v>New Zealand</v>
      </c>
      <c r="H488" s="16" t="s">
        <v>91</v>
      </c>
      <c r="I488" s="16" t="s">
        <v>76</v>
      </c>
      <c r="J488" s="16" t="s">
        <v>73</v>
      </c>
      <c r="L488" s="16" t="s">
        <v>36</v>
      </c>
      <c r="M488" s="26" t="s">
        <v>625</v>
      </c>
    </row>
    <row r="489" spans="1:13" ht="14" x14ac:dyDescent="0.2">
      <c r="A489" s="13">
        <f t="shared" si="76"/>
        <v>2018</v>
      </c>
      <c r="B489" s="13" t="str">
        <f t="shared" si="77"/>
        <v>03</v>
      </c>
      <c r="C489" s="13" t="str">
        <f t="shared" si="78"/>
        <v>21</v>
      </c>
      <c r="D489" s="16" t="str">
        <f>VLOOKUP(H489,'Names for Vlookup'!$B$26:$C$94,2,FALSE)</f>
        <v>YongBo (Mr. Woljin Kim)</v>
      </c>
      <c r="E489" s="16" t="str">
        <f>VLOOKUP(I489,'Names for Vlookup'!$B$8:$C$21,2,FALSE)</f>
        <v>Deer velvet</v>
      </c>
      <c r="G489" s="16" t="str">
        <f>VLOOKUP(L489,'Names for Vlookup'!$B$101:$C$181,2,FALSE)</f>
        <v>New Zealand</v>
      </c>
      <c r="H489" s="16" t="s">
        <v>98</v>
      </c>
      <c r="I489" s="16" t="s">
        <v>62</v>
      </c>
      <c r="J489" s="16" t="s">
        <v>483</v>
      </c>
      <c r="L489" s="16" t="s">
        <v>493</v>
      </c>
      <c r="M489" s="26" t="s">
        <v>626</v>
      </c>
    </row>
    <row r="490" spans="1:13" ht="14" x14ac:dyDescent="0.2">
      <c r="A490" s="13">
        <f t="shared" si="76"/>
        <v>2018</v>
      </c>
      <c r="B490" s="13" t="str">
        <f t="shared" si="77"/>
        <v>03</v>
      </c>
      <c r="C490" s="13" t="str">
        <f t="shared" si="78"/>
        <v>14</v>
      </c>
      <c r="D490" s="16" t="str">
        <f>VLOOKUP(H490,'Names for Vlookup'!$B$26:$C$94,2,FALSE)</f>
        <v>Handong Herb</v>
      </c>
      <c r="E490" s="16" t="str">
        <f>VLOOKUP(I490,'Names for Vlookup'!$B$8:$C$21,2,FALSE)</f>
        <v>Deer velvet (frozen)</v>
      </c>
      <c r="G490" s="16" t="str">
        <f>VLOOKUP(L490,'Names for Vlookup'!$B$101:$C$181,2,FALSE)</f>
        <v>New Zealand</v>
      </c>
      <c r="H490" s="16" t="s">
        <v>526</v>
      </c>
      <c r="I490" s="16" t="s">
        <v>76</v>
      </c>
      <c r="J490" s="16" t="s">
        <v>560</v>
      </c>
      <c r="L490" s="16" t="s">
        <v>260</v>
      </c>
      <c r="M490" s="26" t="s">
        <v>627</v>
      </c>
    </row>
    <row r="491" spans="1:13" ht="14" x14ac:dyDescent="0.2">
      <c r="A491" s="13">
        <f t="shared" si="76"/>
        <v>2018</v>
      </c>
      <c r="B491" s="13" t="str">
        <f t="shared" si="77"/>
        <v>03</v>
      </c>
      <c r="C491" s="13" t="str">
        <f t="shared" si="78"/>
        <v>13</v>
      </c>
      <c r="D491" s="16" t="str">
        <f>VLOOKUP(H491,'Names for Vlookup'!$B$26:$C$94,2,FALSE)</f>
        <v>KGC</v>
      </c>
      <c r="E491" s="16" t="str">
        <f>VLOOKUP(I491,'Names for Vlookup'!$B$8:$C$21,2,FALSE)</f>
        <v>Deer velvet (dried)</v>
      </c>
      <c r="G491" s="16" t="str">
        <f>VLOOKUP(L491,'Names for Vlookup'!$B$101:$C$181,2,FALSE)</f>
        <v>New Zealand</v>
      </c>
      <c r="H491" s="16" t="s">
        <v>480</v>
      </c>
      <c r="I491" s="16" t="s">
        <v>171</v>
      </c>
      <c r="J491" s="16" t="s">
        <v>70</v>
      </c>
      <c r="L491" s="16" t="s">
        <v>250</v>
      </c>
      <c r="M491" s="26" t="s">
        <v>628</v>
      </c>
    </row>
    <row r="492" spans="1:13" ht="14" x14ac:dyDescent="0.2">
      <c r="A492" s="13">
        <f t="shared" si="76"/>
        <v>2018</v>
      </c>
      <c r="B492" s="13" t="str">
        <f t="shared" si="77"/>
        <v>03</v>
      </c>
      <c r="C492" s="13" t="str">
        <f t="shared" si="78"/>
        <v>05</v>
      </c>
      <c r="D492" s="16" t="str">
        <f>VLOOKUP(H492,'Names for Vlookup'!$B$26:$C$94,2,FALSE)</f>
        <v>KVIE (Alex, HanPure)</v>
      </c>
      <c r="E492" s="16" t="str">
        <f>VLOOKUP(I492,'Names for Vlookup'!$B$8:$C$21,2,FALSE)</f>
        <v>Deer velvet</v>
      </c>
      <c r="G492" s="16" t="str">
        <f>VLOOKUP(L492,'Names for Vlookup'!$B$101:$C$181,2,FALSE)</f>
        <v>China</v>
      </c>
      <c r="H492" s="16" t="s">
        <v>430</v>
      </c>
      <c r="I492" s="16" t="s">
        <v>62</v>
      </c>
      <c r="J492" s="16" t="s">
        <v>152</v>
      </c>
      <c r="L492" s="16" t="s">
        <v>33</v>
      </c>
      <c r="M492" s="26" t="s">
        <v>629</v>
      </c>
    </row>
    <row r="493" spans="1:13" ht="14" x14ac:dyDescent="0.2">
      <c r="A493" s="13">
        <f t="shared" si="76"/>
        <v>2018</v>
      </c>
      <c r="B493" s="13" t="str">
        <f t="shared" si="77"/>
        <v>03</v>
      </c>
      <c r="C493" s="13" t="str">
        <f t="shared" si="78"/>
        <v>05</v>
      </c>
      <c r="D493" s="16" t="str">
        <f>VLOOKUP(H493,'Names for Vlookup'!$B$26:$C$94,2,FALSE)</f>
        <v>MyungGa (Mr.Lee in Daegu)</v>
      </c>
      <c r="E493" s="16" t="str">
        <f>VLOOKUP(I493,'Names for Vlookup'!$B$8:$C$21,2,FALSE)</f>
        <v>Deer velvet</v>
      </c>
      <c r="G493" s="16" t="str">
        <f>VLOOKUP(L493,'Names for Vlookup'!$B$101:$C$181,2,FALSE)</f>
        <v>New Zealand</v>
      </c>
      <c r="H493" s="16" t="s">
        <v>208</v>
      </c>
      <c r="I493" s="16" t="s">
        <v>62</v>
      </c>
      <c r="J493" s="16" t="s">
        <v>152</v>
      </c>
      <c r="L493" s="16" t="s">
        <v>37</v>
      </c>
      <c r="M493" s="26" t="s">
        <v>629</v>
      </c>
    </row>
    <row r="494" spans="1:13" ht="14" x14ac:dyDescent="0.2">
      <c r="A494" s="13">
        <f t="shared" si="76"/>
        <v>2018</v>
      </c>
      <c r="B494" s="13" t="str">
        <f t="shared" si="77"/>
        <v>03</v>
      </c>
      <c r="C494" s="13" t="str">
        <f t="shared" si="78"/>
        <v>02</v>
      </c>
      <c r="D494" s="16" t="str">
        <f>VLOOKUP(H494,'Names for Vlookup'!$B$26:$C$94,2,FALSE)</f>
        <v>Taeahn (Mr. Ahn)</v>
      </c>
      <c r="E494" s="16" t="str">
        <f>VLOOKUP(I494,'Names for Vlookup'!$B$8:$C$21,2,FALSE)</f>
        <v>Deer velvet</v>
      </c>
      <c r="G494" s="16" t="str">
        <f>VLOOKUP(L494,'Names for Vlookup'!$B$101:$C$181,2,FALSE)</f>
        <v>China</v>
      </c>
      <c r="H494" s="16" t="s">
        <v>151</v>
      </c>
      <c r="I494" s="16" t="s">
        <v>62</v>
      </c>
      <c r="J494" s="16" t="s">
        <v>483</v>
      </c>
      <c r="L494" s="16" t="s">
        <v>247</v>
      </c>
      <c r="M494" s="26" t="s">
        <v>630</v>
      </c>
    </row>
    <row r="495" spans="1:13" ht="14" x14ac:dyDescent="0.2">
      <c r="A495" s="13">
        <f t="shared" si="76"/>
        <v>2018</v>
      </c>
      <c r="B495" s="13" t="str">
        <f t="shared" si="77"/>
        <v>02</v>
      </c>
      <c r="C495" s="13" t="str">
        <f t="shared" si="78"/>
        <v>28</v>
      </c>
      <c r="D495" s="16" t="str">
        <f>VLOOKUP(H495,'Names for Vlookup'!$B$26:$C$94,2,FALSE)</f>
        <v>KGC</v>
      </c>
      <c r="E495" s="16" t="str">
        <f>VLOOKUP(I495,'Names for Vlookup'!$B$8:$C$21,2,FALSE)</f>
        <v>Deer velvet (dried)</v>
      </c>
      <c r="G495" s="16" t="str">
        <f>VLOOKUP(L495,'Names for Vlookup'!$B$101:$C$181,2,FALSE)</f>
        <v>New Zealand</v>
      </c>
      <c r="H495" s="16" t="s">
        <v>480</v>
      </c>
      <c r="I495" s="16" t="s">
        <v>171</v>
      </c>
      <c r="J495" s="16" t="s">
        <v>70</v>
      </c>
      <c r="L495" s="16" t="s">
        <v>250</v>
      </c>
      <c r="M495" s="26" t="s">
        <v>631</v>
      </c>
    </row>
    <row r="496" spans="1:13" ht="14" x14ac:dyDescent="0.2">
      <c r="A496" s="13">
        <f t="shared" si="76"/>
        <v>2018</v>
      </c>
      <c r="B496" s="13" t="str">
        <f t="shared" si="77"/>
        <v>02</v>
      </c>
      <c r="C496" s="13" t="str">
        <f t="shared" si="78"/>
        <v>26</v>
      </c>
      <c r="D496" s="16" t="str">
        <f>VLOOKUP(H496,'Names for Vlookup'!$B$26:$C$94,2,FALSE)</f>
        <v>Yuhan Corporation.</v>
      </c>
      <c r="E496" s="16" t="str">
        <f>VLOOKUP(I496,'Names for Vlookup'!$B$8:$C$21,2,FALSE)</f>
        <v>Deer velvet</v>
      </c>
      <c r="G496" s="16" t="str">
        <f>VLOOKUP(L496,'Names for Vlookup'!$B$101:$C$181,2,FALSE)</f>
        <v>New Zealand</v>
      </c>
      <c r="H496" s="16" t="s">
        <v>600</v>
      </c>
      <c r="I496" s="16" t="s">
        <v>62</v>
      </c>
      <c r="J496" s="16" t="s">
        <v>159</v>
      </c>
      <c r="L496" s="16" t="s">
        <v>160</v>
      </c>
      <c r="M496" s="26" t="s">
        <v>632</v>
      </c>
    </row>
    <row r="497" spans="1:13" ht="14" x14ac:dyDescent="0.2">
      <c r="A497" s="13">
        <f t="shared" si="76"/>
        <v>2018</v>
      </c>
      <c r="B497" s="13" t="str">
        <f t="shared" si="77"/>
        <v>02</v>
      </c>
      <c r="C497" s="13" t="str">
        <f t="shared" si="78"/>
        <v>14</v>
      </c>
      <c r="D497" s="16" t="str">
        <f>VLOOKUP(H497,'Names for Vlookup'!$B$26:$C$94,2,FALSE)</f>
        <v>SamBo (Mr. Kang in Busan)</v>
      </c>
      <c r="E497" s="16" t="str">
        <f>VLOOKUP(I497,'Names for Vlookup'!$B$8:$C$21,2,FALSE)</f>
        <v>Deer velvet</v>
      </c>
      <c r="G497" s="16" t="str">
        <f>VLOOKUP(L497,'Names for Vlookup'!$B$101:$C$181,2,FALSE)</f>
        <v>New Zealand</v>
      </c>
      <c r="H497" s="16" t="s">
        <v>344</v>
      </c>
      <c r="I497" s="16" t="s">
        <v>62</v>
      </c>
      <c r="J497" s="16" t="s">
        <v>345</v>
      </c>
      <c r="L497" s="16" t="s">
        <v>493</v>
      </c>
      <c r="M497" s="26" t="s">
        <v>633</v>
      </c>
    </row>
    <row r="498" spans="1:13" ht="14" x14ac:dyDescent="0.2">
      <c r="A498" s="13">
        <f t="shared" si="76"/>
        <v>2018</v>
      </c>
      <c r="B498" s="13" t="str">
        <f t="shared" si="77"/>
        <v>02</v>
      </c>
      <c r="C498" s="13" t="str">
        <f t="shared" si="78"/>
        <v>09</v>
      </c>
      <c r="D498" s="16" t="str">
        <f>VLOOKUP(H498,'Names for Vlookup'!$B$26:$C$94,2,FALSE)</f>
        <v>Herb&amp;Solution</v>
      </c>
      <c r="E498" s="16" t="str">
        <f>VLOOKUP(I498,'Names for Vlookup'!$B$8:$C$21,2,FALSE)</f>
        <v>Deer velvet (dried)</v>
      </c>
      <c r="G498" s="16" t="str">
        <f>VLOOKUP(L498,'Names for Vlookup'!$B$101:$C$181,2,FALSE)</f>
        <v>New Zealand</v>
      </c>
      <c r="H498" s="16" t="s">
        <v>634</v>
      </c>
      <c r="I498" s="16" t="s">
        <v>171</v>
      </c>
      <c r="J498" s="16" t="s">
        <v>70</v>
      </c>
      <c r="L498" s="16" t="s">
        <v>260</v>
      </c>
      <c r="M498" s="26" t="s">
        <v>635</v>
      </c>
    </row>
    <row r="499" spans="1:13" ht="14" x14ac:dyDescent="0.2">
      <c r="A499" s="13">
        <f t="shared" si="76"/>
        <v>2018</v>
      </c>
      <c r="B499" s="13" t="str">
        <f t="shared" si="77"/>
        <v>02</v>
      </c>
      <c r="C499" s="13" t="str">
        <f t="shared" si="78"/>
        <v>09</v>
      </c>
      <c r="D499" s="16" t="str">
        <f>VLOOKUP(H499,'Names for Vlookup'!$B$26:$C$94,2,FALSE)</f>
        <v>KNC Deertrade</v>
      </c>
      <c r="E499" s="16" t="str">
        <f>VLOOKUP(I499,'Names for Vlookup'!$B$8:$C$21,2,FALSE)</f>
        <v>Deer velvet (frozen)</v>
      </c>
      <c r="G499" s="16" t="str">
        <f>VLOOKUP(L499,'Names for Vlookup'!$B$101:$C$181,2,FALSE)</f>
        <v>New Zealand</v>
      </c>
      <c r="H499" s="16" t="s">
        <v>75</v>
      </c>
      <c r="I499" s="16" t="s">
        <v>76</v>
      </c>
      <c r="J499" s="16" t="s">
        <v>73</v>
      </c>
      <c r="L499" s="16" t="s">
        <v>260</v>
      </c>
      <c r="M499" s="26" t="s">
        <v>635</v>
      </c>
    </row>
    <row r="500" spans="1:13" ht="14" x14ac:dyDescent="0.2">
      <c r="A500" s="13">
        <f t="shared" si="76"/>
        <v>2018</v>
      </c>
      <c r="B500" s="13" t="str">
        <f t="shared" si="77"/>
        <v>02</v>
      </c>
      <c r="C500" s="13" t="str">
        <f t="shared" si="78"/>
        <v>06</v>
      </c>
      <c r="D500" s="16" t="str">
        <f>VLOOKUP(H500,'Names for Vlookup'!$B$26:$C$94,2,FALSE)</f>
        <v>Yujin Trade</v>
      </c>
      <c r="E500" s="16" t="str">
        <f>VLOOKUP(I500,'Names for Vlookup'!$B$8:$C$21,2,FALSE)</f>
        <v>Deer velvet (frozen)</v>
      </c>
      <c r="G500" s="16" t="str">
        <f>VLOOKUP(L500,'Names for Vlookup'!$B$101:$C$181,2,FALSE)</f>
        <v>New Zealand</v>
      </c>
      <c r="H500" s="16" t="s">
        <v>91</v>
      </c>
      <c r="I500" s="16" t="s">
        <v>76</v>
      </c>
      <c r="J500" s="16" t="s">
        <v>73</v>
      </c>
      <c r="L500" s="16" t="s">
        <v>38</v>
      </c>
      <c r="M500" s="26" t="s">
        <v>636</v>
      </c>
    </row>
    <row r="501" spans="1:13" ht="14" x14ac:dyDescent="0.2">
      <c r="A501" s="13">
        <f t="shared" si="76"/>
        <v>2018</v>
      </c>
      <c r="B501" s="13" t="str">
        <f t="shared" si="77"/>
        <v>02</v>
      </c>
      <c r="C501" s="13" t="str">
        <f t="shared" si="78"/>
        <v>06</v>
      </c>
      <c r="D501" s="16" t="str">
        <f>VLOOKUP(H501,'Names for Vlookup'!$B$26:$C$94,2,FALSE)</f>
        <v>YongBo (Mr. Woljin Kim)</v>
      </c>
      <c r="E501" s="16" t="str">
        <f>VLOOKUP(I501,'Names for Vlookup'!$B$8:$C$21,2,FALSE)</f>
        <v>Deer velvet</v>
      </c>
      <c r="G501" s="16" t="str">
        <f>VLOOKUP(L501,'Names for Vlookup'!$B$101:$C$181,2,FALSE)</f>
        <v>New Zealand</v>
      </c>
      <c r="H501" s="16" t="s">
        <v>98</v>
      </c>
      <c r="I501" s="16" t="s">
        <v>62</v>
      </c>
      <c r="J501" s="16" t="s">
        <v>483</v>
      </c>
      <c r="L501" s="16" t="s">
        <v>493</v>
      </c>
      <c r="M501" s="26" t="s">
        <v>636</v>
      </c>
    </row>
    <row r="502" spans="1:13" ht="14" x14ac:dyDescent="0.2">
      <c r="A502" s="13">
        <f t="shared" si="76"/>
        <v>2018</v>
      </c>
      <c r="B502" s="13" t="str">
        <f t="shared" si="77"/>
        <v>01</v>
      </c>
      <c r="C502" s="13" t="str">
        <f t="shared" si="78"/>
        <v>25</v>
      </c>
      <c r="D502" s="16" t="str">
        <f>VLOOKUP(H502,'Names for Vlookup'!$B$26:$C$94,2,FALSE)</f>
        <v>Daeho Pharm.</v>
      </c>
      <c r="E502" s="16" t="str">
        <f>VLOOKUP(I502,'Names for Vlookup'!$B$8:$C$21,2,FALSE)</f>
        <v>Deer velvet (frozen)</v>
      </c>
      <c r="G502" s="16" t="str">
        <f>VLOOKUP(L502,'Names for Vlookup'!$B$101:$C$181,2,FALSE)</f>
        <v>New Zealand</v>
      </c>
      <c r="H502" s="16" t="s">
        <v>143</v>
      </c>
      <c r="I502" s="16" t="s">
        <v>76</v>
      </c>
      <c r="J502" s="16" t="s">
        <v>73</v>
      </c>
      <c r="L502" s="16" t="s">
        <v>234</v>
      </c>
      <c r="M502" s="26" t="s">
        <v>637</v>
      </c>
    </row>
    <row r="503" spans="1:13" ht="14" x14ac:dyDescent="0.2">
      <c r="A503" s="13">
        <f t="shared" si="76"/>
        <v>2018</v>
      </c>
      <c r="B503" s="13" t="str">
        <f t="shared" si="77"/>
        <v>01</v>
      </c>
      <c r="C503" s="13" t="str">
        <f t="shared" si="78"/>
        <v>25</v>
      </c>
      <c r="D503" s="16" t="str">
        <f>VLOOKUP(H503,'Names for Vlookup'!$B$26:$C$94,2,FALSE)</f>
        <v>KGC</v>
      </c>
      <c r="E503" s="16" t="str">
        <f>VLOOKUP(I503,'Names for Vlookup'!$B$8:$C$21,2,FALSE)</f>
        <v>Deer velvet (dried)</v>
      </c>
      <c r="G503" s="16" t="str">
        <f>VLOOKUP(L503,'Names for Vlookup'!$B$101:$C$181,2,FALSE)</f>
        <v>New Zealand</v>
      </c>
      <c r="H503" s="16" t="s">
        <v>480</v>
      </c>
      <c r="I503" s="16" t="s">
        <v>171</v>
      </c>
      <c r="J503" s="16" t="s">
        <v>70</v>
      </c>
      <c r="L503" s="16" t="s">
        <v>250</v>
      </c>
      <c r="M503" s="26" t="s">
        <v>637</v>
      </c>
    </row>
    <row r="504" spans="1:13" ht="14" x14ac:dyDescent="0.2">
      <c r="A504" s="13">
        <f t="shared" si="76"/>
        <v>2018</v>
      </c>
      <c r="B504" s="13" t="str">
        <f t="shared" si="77"/>
        <v>01</v>
      </c>
      <c r="C504" s="13" t="str">
        <f t="shared" si="78"/>
        <v>17</v>
      </c>
      <c r="D504" s="16" t="str">
        <f>VLOOKUP(H504,'Names for Vlookup'!$B$26:$C$94,2,FALSE)</f>
        <v>Ee Room Pharm.</v>
      </c>
      <c r="E504" s="16" t="str">
        <f>VLOOKUP(I504,'Names for Vlookup'!$B$8:$C$21,2,FALSE)</f>
        <v>Deer velvet (dried)</v>
      </c>
      <c r="G504" s="16" t="str">
        <f>VLOOKUP(L504,'Names for Vlookup'!$B$101:$C$181,2,FALSE)</f>
        <v>China</v>
      </c>
      <c r="H504" s="16" t="s">
        <v>320</v>
      </c>
      <c r="I504" s="16" t="s">
        <v>171</v>
      </c>
      <c r="J504" s="16" t="s">
        <v>70</v>
      </c>
      <c r="L504" s="16" t="s">
        <v>433</v>
      </c>
      <c r="M504" s="26" t="s">
        <v>638</v>
      </c>
    </row>
    <row r="505" spans="1:13" ht="14" x14ac:dyDescent="0.2">
      <c r="A505" s="13">
        <f t="shared" si="76"/>
        <v>2018</v>
      </c>
      <c r="B505" s="13" t="str">
        <f t="shared" si="77"/>
        <v>01</v>
      </c>
      <c r="C505" s="13" t="str">
        <f t="shared" si="78"/>
        <v>10</v>
      </c>
      <c r="D505" s="16" t="str">
        <f>VLOOKUP(H505,'Names for Vlookup'!$B$26:$C$94,2,FALSE)</f>
        <v>Yujin Trade</v>
      </c>
      <c r="E505" s="16" t="str">
        <f>VLOOKUP(I505,'Names for Vlookup'!$B$8:$C$21,2,FALSE)</f>
        <v>Deer velvet (frozen)</v>
      </c>
      <c r="G505" s="16" t="str">
        <f>VLOOKUP(L505,'Names for Vlookup'!$B$101:$C$181,2,FALSE)</f>
        <v>New Zealand</v>
      </c>
      <c r="H505" s="16" t="s">
        <v>91</v>
      </c>
      <c r="I505" s="16" t="s">
        <v>76</v>
      </c>
      <c r="J505" s="16" t="s">
        <v>73</v>
      </c>
      <c r="L505" s="16" t="s">
        <v>38</v>
      </c>
      <c r="M505" s="26" t="s">
        <v>639</v>
      </c>
    </row>
    <row r="506" spans="1:13" ht="14" x14ac:dyDescent="0.2">
      <c r="A506" s="13">
        <f t="shared" si="76"/>
        <v>2018</v>
      </c>
      <c r="B506" s="13" t="str">
        <f t="shared" si="77"/>
        <v>01</v>
      </c>
      <c r="C506" s="13" t="str">
        <f t="shared" si="78"/>
        <v>05</v>
      </c>
      <c r="D506" s="16" t="str">
        <f>VLOOKUP(H506,'Names for Vlookup'!$B$26:$C$94,2,FALSE)</f>
        <v>Jinsoo Deer Co., Ltd.</v>
      </c>
      <c r="E506" s="16" t="str">
        <f>VLOOKUP(I506,'Names for Vlookup'!$B$8:$C$21,2,FALSE)</f>
        <v>Deer velvet (dried)</v>
      </c>
      <c r="G506" s="16" t="str">
        <f>VLOOKUP(L506,'Names for Vlookup'!$B$101:$C$181,2,FALSE)</f>
        <v>China</v>
      </c>
      <c r="H506" s="16" t="s">
        <v>163</v>
      </c>
      <c r="I506" s="16" t="s">
        <v>171</v>
      </c>
      <c r="J506" s="16" t="s">
        <v>70</v>
      </c>
      <c r="L506" s="16" t="s">
        <v>247</v>
      </c>
      <c r="M506" s="26" t="s">
        <v>640</v>
      </c>
    </row>
    <row r="507" spans="1:13" ht="14" x14ac:dyDescent="0.2">
      <c r="A507" s="13">
        <f t="shared" si="76"/>
        <v>2018</v>
      </c>
      <c r="B507" s="13" t="str">
        <f t="shared" si="77"/>
        <v>01</v>
      </c>
      <c r="C507" s="13" t="str">
        <f t="shared" si="78"/>
        <v>02</v>
      </c>
      <c r="D507" s="16" t="str">
        <f>VLOOKUP(H507,'Names for Vlookup'!$B$26:$C$94,2,FALSE)</f>
        <v>Handong Herb</v>
      </c>
      <c r="E507" s="16" t="str">
        <f>VLOOKUP(I507,'Names for Vlookup'!$B$8:$C$21,2,FALSE)</f>
        <v>Deer velvet (frozen)</v>
      </c>
      <c r="G507" s="16" t="str">
        <f>VLOOKUP(L507,'Names for Vlookup'!$B$101:$C$181,2,FALSE)</f>
        <v>New Zealand</v>
      </c>
      <c r="H507" s="16" t="s">
        <v>526</v>
      </c>
      <c r="I507" s="16" t="s">
        <v>76</v>
      </c>
      <c r="J507" s="16" t="s">
        <v>560</v>
      </c>
      <c r="L507" s="16" t="s">
        <v>250</v>
      </c>
      <c r="M507" s="26" t="s">
        <v>641</v>
      </c>
    </row>
    <row r="508" spans="1:13" ht="14" x14ac:dyDescent="0.2">
      <c r="A508" s="13">
        <f t="shared" si="76"/>
        <v>2017</v>
      </c>
      <c r="B508" s="13" t="str">
        <f t="shared" si="77"/>
        <v>12</v>
      </c>
      <c r="C508" s="13" t="str">
        <f t="shared" si="78"/>
        <v>28</v>
      </c>
      <c r="D508" s="16" t="str">
        <f>VLOOKUP(H508,'Names for Vlookup'!$B$26:$C$94,2,FALSE)</f>
        <v>Yuhan Corporation.</v>
      </c>
      <c r="E508" s="16" t="str">
        <f>VLOOKUP(I508,'Names for Vlookup'!$B$8:$C$21,2,FALSE)</f>
        <v>Dried deer velvet - for research</v>
      </c>
      <c r="G508" s="16" t="str">
        <f>VLOOKUP(L508,'Names for Vlookup'!$B$101:$C$181,2,FALSE)</f>
        <v>New Zealand</v>
      </c>
      <c r="H508" s="16" t="s">
        <v>600</v>
      </c>
      <c r="I508" s="16" t="s">
        <v>642</v>
      </c>
      <c r="J508" s="16" t="s">
        <v>643</v>
      </c>
      <c r="L508" s="16" t="s">
        <v>183</v>
      </c>
      <c r="M508" s="26" t="s">
        <v>644</v>
      </c>
    </row>
    <row r="509" spans="1:13" ht="14" x14ac:dyDescent="0.2">
      <c r="A509" s="13">
        <f t="shared" si="76"/>
        <v>2017</v>
      </c>
      <c r="B509" s="13" t="str">
        <f t="shared" si="77"/>
        <v>12</v>
      </c>
      <c r="C509" s="13" t="str">
        <f t="shared" si="78"/>
        <v>28</v>
      </c>
      <c r="D509" s="16" t="str">
        <f>VLOOKUP(H509,'Names for Vlookup'!$B$26:$C$94,2,FALSE)</f>
        <v>SamBo (Mr. Kang in Busan)</v>
      </c>
      <c r="E509" s="16" t="str">
        <f>VLOOKUP(I509,'Names for Vlookup'!$B$8:$C$21,2,FALSE)</f>
        <v>Deer velvet</v>
      </c>
      <c r="G509" s="16" t="str">
        <f>VLOOKUP(L509,'Names for Vlookup'!$B$101:$C$181,2,FALSE)</f>
        <v>New Zealand</v>
      </c>
      <c r="H509" s="16" t="s">
        <v>344</v>
      </c>
      <c r="I509" s="16" t="s">
        <v>62</v>
      </c>
      <c r="J509" s="16" t="s">
        <v>345</v>
      </c>
      <c r="L509" s="16" t="s">
        <v>203</v>
      </c>
      <c r="M509" s="26" t="s">
        <v>644</v>
      </c>
    </row>
    <row r="510" spans="1:13" ht="14" x14ac:dyDescent="0.2">
      <c r="A510" s="13">
        <f t="shared" si="76"/>
        <v>2017</v>
      </c>
      <c r="B510" s="13" t="str">
        <f t="shared" si="77"/>
        <v>12</v>
      </c>
      <c r="C510" s="13" t="str">
        <f t="shared" si="78"/>
        <v>27</v>
      </c>
      <c r="D510" s="16" t="str">
        <f>VLOOKUP(H510,'Names for Vlookup'!$B$26:$C$94,2,FALSE)</f>
        <v>KNC Deertrade</v>
      </c>
      <c r="E510" s="16" t="str">
        <f>VLOOKUP(I510,'Names for Vlookup'!$B$8:$C$21,2,FALSE)</f>
        <v>Deer velvet (frozen)</v>
      </c>
      <c r="G510" s="16" t="str">
        <f>VLOOKUP(L510,'Names for Vlookup'!$B$101:$C$181,2,FALSE)</f>
        <v>New Zealand</v>
      </c>
      <c r="H510" s="16" t="s">
        <v>75</v>
      </c>
      <c r="I510" s="16" t="s">
        <v>76</v>
      </c>
      <c r="J510" s="16" t="s">
        <v>73</v>
      </c>
      <c r="L510" s="16" t="s">
        <v>260</v>
      </c>
      <c r="M510" s="26" t="s">
        <v>645</v>
      </c>
    </row>
    <row r="511" spans="1:13" ht="14" x14ac:dyDescent="0.2">
      <c r="A511" s="13">
        <f t="shared" si="76"/>
        <v>2017</v>
      </c>
      <c r="B511" s="13" t="str">
        <f t="shared" si="77"/>
        <v>11</v>
      </c>
      <c r="C511" s="13" t="str">
        <f t="shared" si="78"/>
        <v>15</v>
      </c>
      <c r="D511" s="16" t="str">
        <f>VLOOKUP(H511,'Names for Vlookup'!$B$26:$C$94,2,FALSE)</f>
        <v>DaeWon RTD</v>
      </c>
      <c r="E511" s="16" t="str">
        <f>VLOOKUP(I511,'Names for Vlookup'!$B$8:$C$21,2,FALSE)</f>
        <v>Deer velvet (dried)</v>
      </c>
      <c r="G511" s="16" t="str">
        <f>VLOOKUP(L511,'Names for Vlookup'!$B$101:$C$181,2,FALSE)</f>
        <v>Russia</v>
      </c>
      <c r="H511" s="16" t="s">
        <v>102</v>
      </c>
      <c r="I511" s="16" t="s">
        <v>171</v>
      </c>
      <c r="J511" s="16" t="s">
        <v>646</v>
      </c>
      <c r="L511" s="16" t="s">
        <v>179</v>
      </c>
      <c r="M511" s="26" t="s">
        <v>647</v>
      </c>
    </row>
    <row r="512" spans="1:13" ht="14" x14ac:dyDescent="0.2">
      <c r="A512" s="13">
        <f t="shared" si="76"/>
        <v>2017</v>
      </c>
      <c r="B512" s="13" t="str">
        <f t="shared" si="77"/>
        <v>11</v>
      </c>
      <c r="C512" s="13" t="str">
        <f t="shared" si="78"/>
        <v>14</v>
      </c>
      <c r="D512" s="16" t="str">
        <f>VLOOKUP(H512,'Names for Vlookup'!$B$26:$C$94,2,FALSE)</f>
        <v>KNC Deertrade</v>
      </c>
      <c r="E512" s="16" t="str">
        <f>VLOOKUP(I512,'Names for Vlookup'!$B$8:$C$21,2,FALSE)</f>
        <v>Deer velvet (frozen)</v>
      </c>
      <c r="G512" s="16" t="str">
        <f>VLOOKUP(L512,'Names for Vlookup'!$B$101:$C$181,2,FALSE)</f>
        <v>New Zealand</v>
      </c>
      <c r="H512" s="16" t="s">
        <v>75</v>
      </c>
      <c r="I512" s="16" t="s">
        <v>76</v>
      </c>
      <c r="J512" s="16" t="s">
        <v>73</v>
      </c>
      <c r="L512" s="16" t="s">
        <v>260</v>
      </c>
      <c r="M512" s="26" t="s">
        <v>648</v>
      </c>
    </row>
    <row r="513" spans="1:13" ht="14" x14ac:dyDescent="0.2">
      <c r="A513" s="13">
        <f t="shared" si="76"/>
        <v>2017</v>
      </c>
      <c r="B513" s="13" t="str">
        <f t="shared" si="77"/>
        <v>11</v>
      </c>
      <c r="C513" s="13" t="str">
        <f t="shared" si="78"/>
        <v>08</v>
      </c>
      <c r="D513" s="16" t="str">
        <f>VLOOKUP(H513,'Names for Vlookup'!$B$26:$C$94,2,FALSE)</f>
        <v>DaeWon RTD</v>
      </c>
      <c r="E513" s="16" t="str">
        <f>VLOOKUP(I513,'Names for Vlookup'!$B$8:$C$21,2,FALSE)</f>
        <v>Deer velvet</v>
      </c>
      <c r="G513" s="16" t="str">
        <f>VLOOKUP(L513,'Names for Vlookup'!$B$101:$C$181,2,FALSE)</f>
        <v>Russia</v>
      </c>
      <c r="H513" s="16" t="s">
        <v>102</v>
      </c>
      <c r="I513" s="16" t="s">
        <v>62</v>
      </c>
      <c r="J513" s="16" t="s">
        <v>646</v>
      </c>
      <c r="L513" s="16" t="s">
        <v>649</v>
      </c>
      <c r="M513" s="26" t="s">
        <v>650</v>
      </c>
    </row>
    <row r="514" spans="1:13" ht="14" x14ac:dyDescent="0.2">
      <c r="A514" s="13">
        <f t="shared" si="76"/>
        <v>2017</v>
      </c>
      <c r="B514" s="13" t="str">
        <f t="shared" si="77"/>
        <v>10</v>
      </c>
      <c r="C514" s="13" t="str">
        <f t="shared" si="78"/>
        <v>26</v>
      </c>
      <c r="D514" s="16" t="str">
        <f>VLOOKUP(H514,'Names for Vlookup'!$B$26:$C$94,2,FALSE)</f>
        <v>YongBo (Mr. Woljin Kim)</v>
      </c>
      <c r="E514" s="16" t="str">
        <f>VLOOKUP(I514,'Names for Vlookup'!$B$8:$C$21,2,FALSE)</f>
        <v>Deer velvet</v>
      </c>
      <c r="G514" s="16" t="str">
        <f>VLOOKUP(L514,'Names for Vlookup'!$B$101:$C$181,2,FALSE)</f>
        <v>New Zealand</v>
      </c>
      <c r="H514" s="16" t="s">
        <v>98</v>
      </c>
      <c r="I514" s="16" t="s">
        <v>62</v>
      </c>
      <c r="J514" s="16" t="s">
        <v>483</v>
      </c>
      <c r="L514" s="16" t="s">
        <v>493</v>
      </c>
      <c r="M514" s="26" t="s">
        <v>651</v>
      </c>
    </row>
    <row r="515" spans="1:13" ht="14" x14ac:dyDescent="0.2">
      <c r="A515" s="13">
        <f t="shared" si="76"/>
        <v>2017</v>
      </c>
      <c r="B515" s="13" t="str">
        <f t="shared" si="77"/>
        <v>10</v>
      </c>
      <c r="C515" s="13" t="str">
        <f t="shared" si="78"/>
        <v>24</v>
      </c>
      <c r="D515" s="16" t="str">
        <f>VLOOKUP(H515,'Names for Vlookup'!$B$26:$C$94,2,FALSE)</f>
        <v>SamBo (Mr. Kang in Busan)</v>
      </c>
      <c r="E515" s="16" t="str">
        <f>VLOOKUP(I515,'Names for Vlookup'!$B$8:$C$21,2,FALSE)</f>
        <v>Deer velvet</v>
      </c>
      <c r="G515" s="16" t="str">
        <f>VLOOKUP(L515,'Names for Vlookup'!$B$101:$C$181,2,FALSE)</f>
        <v>New Zealand</v>
      </c>
      <c r="H515" s="16" t="s">
        <v>344</v>
      </c>
      <c r="I515" s="16" t="s">
        <v>62</v>
      </c>
      <c r="J515" s="16" t="s">
        <v>345</v>
      </c>
      <c r="L515" s="16" t="s">
        <v>203</v>
      </c>
      <c r="M515" s="26" t="s">
        <v>652</v>
      </c>
    </row>
    <row r="516" spans="1:13" ht="14" x14ac:dyDescent="0.2">
      <c r="A516" s="13">
        <f t="shared" si="76"/>
        <v>2017</v>
      </c>
      <c r="B516" s="13" t="str">
        <f t="shared" si="77"/>
        <v>10</v>
      </c>
      <c r="C516" s="13" t="str">
        <f t="shared" si="78"/>
        <v>19</v>
      </c>
      <c r="D516" s="16" t="str">
        <f>VLOOKUP(H516,'Names for Vlookup'!$B$26:$C$94,2,FALSE)</f>
        <v>Yuhan Corporation.</v>
      </c>
      <c r="E516" s="16" t="str">
        <f>VLOOKUP(I516,'Names for Vlookup'!$B$8:$C$21,2,FALSE)</f>
        <v>Dried deer velvet - for research</v>
      </c>
      <c r="G516" s="16" t="str">
        <f>VLOOKUP(L516,'Names for Vlookup'!$B$101:$C$181,2,FALSE)</f>
        <v>New Zealand</v>
      </c>
      <c r="H516" s="16" t="s">
        <v>600</v>
      </c>
      <c r="I516" s="16" t="s">
        <v>642</v>
      </c>
      <c r="J516" s="16" t="s">
        <v>653</v>
      </c>
      <c r="L516" s="16" t="s">
        <v>654</v>
      </c>
      <c r="M516" s="26" t="s">
        <v>655</v>
      </c>
    </row>
    <row r="517" spans="1:13" ht="14" x14ac:dyDescent="0.2">
      <c r="A517" s="13">
        <f t="shared" si="76"/>
        <v>2017</v>
      </c>
      <c r="B517" s="13" t="str">
        <f t="shared" si="77"/>
        <v>09</v>
      </c>
      <c r="C517" s="13" t="str">
        <f t="shared" si="78"/>
        <v>18</v>
      </c>
      <c r="D517" s="16" t="str">
        <f>VLOOKUP(H517,'Names for Vlookup'!$B$26:$C$94,2,FALSE)</f>
        <v>SeoHwa Pharm.</v>
      </c>
      <c r="E517" s="16" t="str">
        <f>VLOOKUP(I517,'Names for Vlookup'!$B$8:$C$21,2,FALSE)</f>
        <v>Hard antlers</v>
      </c>
      <c r="G517" s="16" t="str">
        <f>VLOOKUP(L517,'Names for Vlookup'!$B$101:$C$181,2,FALSE)</f>
        <v>Russia</v>
      </c>
      <c r="H517" s="16" t="s">
        <v>656</v>
      </c>
      <c r="I517" s="16" t="s">
        <v>657</v>
      </c>
      <c r="J517" s="16" t="s">
        <v>658</v>
      </c>
      <c r="L517" s="16" t="s">
        <v>659</v>
      </c>
      <c r="M517" s="26" t="s">
        <v>660</v>
      </c>
    </row>
    <row r="518" spans="1:13" ht="14" x14ac:dyDescent="0.2">
      <c r="A518" s="13">
        <f t="shared" si="76"/>
        <v>2017</v>
      </c>
      <c r="B518" s="13" t="str">
        <f t="shared" si="77"/>
        <v>09</v>
      </c>
      <c r="C518" s="13" t="str">
        <f t="shared" si="78"/>
        <v>11</v>
      </c>
      <c r="D518" s="16" t="str">
        <f>VLOOKUP(H518,'Names for Vlookup'!$B$26:$C$94,2,FALSE)</f>
        <v>Taeahn (Mr. Ahn)</v>
      </c>
      <c r="E518" s="16" t="str">
        <f>VLOOKUP(I518,'Names for Vlookup'!$B$8:$C$21,2,FALSE)</f>
        <v>Deer velvet</v>
      </c>
      <c r="G518" s="16" t="str">
        <f>VLOOKUP(L518,'Names for Vlookup'!$B$101:$C$181,2,FALSE)</f>
        <v>Russia</v>
      </c>
      <c r="H518" s="16" t="s">
        <v>151</v>
      </c>
      <c r="I518" s="16" t="s">
        <v>62</v>
      </c>
      <c r="J518" s="16" t="s">
        <v>540</v>
      </c>
      <c r="L518" s="16" t="s">
        <v>661</v>
      </c>
      <c r="M518" s="26" t="s">
        <v>662</v>
      </c>
    </row>
    <row r="519" spans="1:13" ht="14" x14ac:dyDescent="0.2">
      <c r="A519" s="13">
        <f t="shared" si="76"/>
        <v>2017</v>
      </c>
      <c r="B519" s="13" t="str">
        <f t="shared" si="77"/>
        <v>09</v>
      </c>
      <c r="C519" s="13" t="str">
        <f t="shared" si="78"/>
        <v>06</v>
      </c>
      <c r="D519" s="16" t="str">
        <f>VLOOKUP(H519,'Names for Vlookup'!$B$26:$C$94,2,FALSE)</f>
        <v>Handong Herb</v>
      </c>
      <c r="E519" s="16" t="str">
        <f>VLOOKUP(I519,'Names for Vlookup'!$B$8:$C$21,2,FALSE)</f>
        <v>Hard antlers</v>
      </c>
      <c r="G519" s="16" t="str">
        <f>VLOOKUP(L519,'Names for Vlookup'!$B$101:$C$181,2,FALSE)</f>
        <v>Russia</v>
      </c>
      <c r="H519" s="16" t="s">
        <v>526</v>
      </c>
      <c r="I519" s="16" t="s">
        <v>657</v>
      </c>
      <c r="J519" s="16" t="s">
        <v>663</v>
      </c>
      <c r="L519" s="16" t="s">
        <v>664</v>
      </c>
      <c r="M519" s="26" t="s">
        <v>665</v>
      </c>
    </row>
    <row r="520" spans="1:13" ht="14" x14ac:dyDescent="0.2">
      <c r="A520" s="13">
        <f t="shared" si="76"/>
        <v>2017</v>
      </c>
      <c r="B520" s="13" t="str">
        <f t="shared" si="77"/>
        <v>08</v>
      </c>
      <c r="C520" s="13" t="str">
        <f t="shared" si="78"/>
        <v>22</v>
      </c>
      <c r="D520" s="16" t="str">
        <f>VLOOKUP(H520,'Names for Vlookup'!$B$26:$C$94,2,FALSE)</f>
        <v>YongBo (Mr. Woljin Kim)</v>
      </c>
      <c r="E520" s="16" t="str">
        <f>VLOOKUP(I520,'Names for Vlookup'!$B$8:$C$21,2,FALSE)</f>
        <v>Deer velvet (dried)</v>
      </c>
      <c r="G520" s="16" t="str">
        <f>VLOOKUP(L520,'Names for Vlookup'!$B$101:$C$181,2,FALSE)</f>
        <v>New Zealand</v>
      </c>
      <c r="H520" s="16" t="s">
        <v>98</v>
      </c>
      <c r="I520" s="16" t="s">
        <v>512</v>
      </c>
      <c r="J520" s="16" t="s">
        <v>483</v>
      </c>
      <c r="L520" s="16" t="s">
        <v>493</v>
      </c>
      <c r="M520" s="26" t="s">
        <v>666</v>
      </c>
    </row>
    <row r="521" spans="1:13" ht="14" x14ac:dyDescent="0.2">
      <c r="A521" s="13">
        <f t="shared" si="76"/>
        <v>2017</v>
      </c>
      <c r="B521" s="13" t="str">
        <f t="shared" si="77"/>
        <v>08</v>
      </c>
      <c r="C521" s="13" t="str">
        <f t="shared" si="78"/>
        <v>08</v>
      </c>
      <c r="D521" s="16" t="str">
        <f>VLOOKUP(H521,'Names for Vlookup'!$B$26:$C$94,2,FALSE)</f>
        <v>JooShin Pharm</v>
      </c>
      <c r="E521" s="16" t="str">
        <f>VLOOKUP(I521,'Names for Vlookup'!$B$8:$C$21,2,FALSE)</f>
        <v>Hard antlers</v>
      </c>
      <c r="G521" s="16" t="str">
        <f>VLOOKUP(L521,'Names for Vlookup'!$B$101:$C$181,2,FALSE)</f>
        <v>Russia</v>
      </c>
      <c r="H521" s="16" t="s">
        <v>667</v>
      </c>
      <c r="I521" s="16" t="s">
        <v>657</v>
      </c>
      <c r="J521" s="16" t="s">
        <v>668</v>
      </c>
      <c r="L521" s="16" t="s">
        <v>558</v>
      </c>
      <c r="M521" s="26" t="s">
        <v>669</v>
      </c>
    </row>
    <row r="522" spans="1:13" ht="14" x14ac:dyDescent="0.2">
      <c r="A522" s="13">
        <f t="shared" si="76"/>
        <v>2017</v>
      </c>
      <c r="B522" s="13" t="str">
        <f t="shared" si="77"/>
        <v>07</v>
      </c>
      <c r="C522" s="13" t="str">
        <f t="shared" si="78"/>
        <v>20</v>
      </c>
      <c r="D522" s="16" t="str">
        <f>VLOOKUP(H522,'Names for Vlookup'!$B$26:$C$94,2,FALSE)</f>
        <v>SamBo (Mr. Kang in Busan)</v>
      </c>
      <c r="E522" s="16" t="str">
        <f>VLOOKUP(I522,'Names for Vlookup'!$B$8:$C$21,2,FALSE)</f>
        <v>Deer velvet (dried)</v>
      </c>
      <c r="G522" s="16" t="str">
        <f>VLOOKUP(L522,'Names for Vlookup'!$B$101:$C$181,2,FALSE)</f>
        <v>New Zealand</v>
      </c>
      <c r="H522" s="16" t="s">
        <v>344</v>
      </c>
      <c r="I522" s="16" t="s">
        <v>512</v>
      </c>
      <c r="J522" s="16" t="s">
        <v>345</v>
      </c>
      <c r="L522" s="16" t="s">
        <v>203</v>
      </c>
      <c r="M522" s="26" t="s">
        <v>670</v>
      </c>
    </row>
    <row r="523" spans="1:13" ht="14" x14ac:dyDescent="0.2">
      <c r="A523" s="13">
        <f t="shared" si="76"/>
        <v>2017</v>
      </c>
      <c r="B523" s="13" t="str">
        <f t="shared" si="77"/>
        <v>07</v>
      </c>
      <c r="C523" s="13" t="str">
        <f t="shared" si="78"/>
        <v>19</v>
      </c>
      <c r="D523" s="16" t="str">
        <f>VLOOKUP(H523,'Names for Vlookup'!$B$26:$C$94,2,FALSE)</f>
        <v>KGC</v>
      </c>
      <c r="E523" s="16" t="str">
        <f>VLOOKUP(I523,'Names for Vlookup'!$B$8:$C$21,2,FALSE)</f>
        <v>Deer velvet (dried)</v>
      </c>
      <c r="G523" s="16" t="str">
        <f>VLOOKUP(L523,'Names for Vlookup'!$B$101:$C$181,2,FALSE)</f>
        <v>New Zealand</v>
      </c>
      <c r="H523" s="16" t="s">
        <v>480</v>
      </c>
      <c r="I523" s="16" t="s">
        <v>512</v>
      </c>
      <c r="J523" s="16" t="s">
        <v>70</v>
      </c>
      <c r="L523" s="16" t="s">
        <v>250</v>
      </c>
      <c r="M523" s="26" t="s">
        <v>671</v>
      </c>
    </row>
    <row r="524" spans="1:13" ht="14" x14ac:dyDescent="0.2">
      <c r="A524" s="13">
        <f t="shared" si="76"/>
        <v>2017</v>
      </c>
      <c r="B524" s="13" t="str">
        <f t="shared" si="77"/>
        <v>07</v>
      </c>
      <c r="C524" s="13" t="str">
        <f t="shared" si="78"/>
        <v>19</v>
      </c>
      <c r="D524" s="16" t="str">
        <f>VLOOKUP(H524,'Names for Vlookup'!$B$26:$C$94,2,FALSE)</f>
        <v>KNC Deertrade</v>
      </c>
      <c r="E524" s="16" t="str">
        <f>VLOOKUP(I524,'Names for Vlookup'!$B$8:$C$21,2,FALSE)</f>
        <v>Deer velvet (dried)</v>
      </c>
      <c r="G524" s="16" t="str">
        <f>VLOOKUP(L524,'Names for Vlookup'!$B$101:$C$181,2,FALSE)</f>
        <v>Russia</v>
      </c>
      <c r="H524" s="16" t="s">
        <v>75</v>
      </c>
      <c r="I524" s="16" t="s">
        <v>512</v>
      </c>
      <c r="J524" s="16" t="s">
        <v>200</v>
      </c>
      <c r="L524" s="16" t="s">
        <v>212</v>
      </c>
      <c r="M524" s="26" t="s">
        <v>671</v>
      </c>
    </row>
    <row r="525" spans="1:13" ht="14" x14ac:dyDescent="0.2">
      <c r="A525" s="13">
        <f t="shared" si="76"/>
        <v>2017</v>
      </c>
      <c r="B525" s="13" t="str">
        <f t="shared" si="77"/>
        <v>07</v>
      </c>
      <c r="C525" s="13" t="str">
        <f t="shared" si="78"/>
        <v>18</v>
      </c>
      <c r="D525" s="16" t="str">
        <f>VLOOKUP(H525,'Names for Vlookup'!$B$26:$C$94,2,FALSE)</f>
        <v>Handong Herb</v>
      </c>
      <c r="E525" s="16" t="str">
        <f>VLOOKUP(I525,'Names for Vlookup'!$B$8:$C$21,2,FALSE)</f>
        <v>Deer velvet (dried)</v>
      </c>
      <c r="G525" s="16" t="str">
        <f>VLOOKUP(L525,'Names for Vlookup'!$B$101:$C$181,2,FALSE)</f>
        <v>Russia</v>
      </c>
      <c r="H525" s="16" t="s">
        <v>526</v>
      </c>
      <c r="I525" s="16" t="s">
        <v>512</v>
      </c>
      <c r="J525" s="16" t="s">
        <v>200</v>
      </c>
      <c r="L525" s="16" t="s">
        <v>212</v>
      </c>
      <c r="M525" s="26" t="s">
        <v>672</v>
      </c>
    </row>
    <row r="526" spans="1:13" ht="14" x14ac:dyDescent="0.2">
      <c r="A526" s="13">
        <f t="shared" si="76"/>
        <v>2017</v>
      </c>
      <c r="B526" s="13" t="str">
        <f t="shared" si="77"/>
        <v>07</v>
      </c>
      <c r="C526" s="13" t="str">
        <f t="shared" si="78"/>
        <v>11</v>
      </c>
      <c r="D526" s="16" t="str">
        <f>VLOOKUP(H526,'Names for Vlookup'!$B$26:$C$94,2,FALSE)</f>
        <v>KGC</v>
      </c>
      <c r="E526" s="16" t="str">
        <f>VLOOKUP(I526,'Names for Vlookup'!$B$8:$C$21,2,FALSE)</f>
        <v>Deer velvet (dried)</v>
      </c>
      <c r="G526" s="16" t="str">
        <f>VLOOKUP(L526,'Names for Vlookup'!$B$101:$C$181,2,FALSE)</f>
        <v>New Zealand</v>
      </c>
      <c r="H526" s="16" t="s">
        <v>480</v>
      </c>
      <c r="I526" s="16" t="s">
        <v>512</v>
      </c>
      <c r="J526" s="16" t="s">
        <v>70</v>
      </c>
      <c r="L526" s="16" t="s">
        <v>250</v>
      </c>
      <c r="M526" s="26" t="s">
        <v>673</v>
      </c>
    </row>
    <row r="527" spans="1:13" ht="14" x14ac:dyDescent="0.2">
      <c r="A527" s="13">
        <f t="shared" si="76"/>
        <v>2017</v>
      </c>
      <c r="B527" s="13" t="str">
        <f t="shared" si="77"/>
        <v>07</v>
      </c>
      <c r="C527" s="13" t="str">
        <f t="shared" si="78"/>
        <v>11</v>
      </c>
      <c r="D527" s="16" t="str">
        <f>VLOOKUP(H527,'Names for Vlookup'!$B$26:$C$94,2,FALSE)</f>
        <v>KGC</v>
      </c>
      <c r="E527" s="16" t="str">
        <f>VLOOKUP(I527,'Names for Vlookup'!$B$8:$C$21,2,FALSE)</f>
        <v>Deer velvet (dried)</v>
      </c>
      <c r="G527" s="16" t="str">
        <f>VLOOKUP(L527,'Names for Vlookup'!$B$101:$C$181,2,FALSE)</f>
        <v>New Zealand</v>
      </c>
      <c r="H527" s="16" t="s">
        <v>480</v>
      </c>
      <c r="I527" s="16" t="s">
        <v>512</v>
      </c>
      <c r="J527" s="16" t="s">
        <v>70</v>
      </c>
      <c r="L527" s="16" t="s">
        <v>36</v>
      </c>
      <c r="M527" s="26" t="s">
        <v>673</v>
      </c>
    </row>
    <row r="528" spans="1:13" ht="14" x14ac:dyDescent="0.2">
      <c r="A528" s="13">
        <f t="shared" ref="A528:A591" si="79">YEAR(M528)</f>
        <v>2017</v>
      </c>
      <c r="B528" s="13" t="str">
        <f t="shared" ref="B528:B591" si="80">TEXT(M528,"mm")</f>
        <v>07</v>
      </c>
      <c r="C528" s="13" t="str">
        <f t="shared" ref="C528:C591" si="81">TEXT(M528,"dd")</f>
        <v>04</v>
      </c>
      <c r="D528" s="16" t="str">
        <f>VLOOKUP(H528,'Names for Vlookup'!$B$26:$C$94,2,FALSE)</f>
        <v>KGC</v>
      </c>
      <c r="E528" s="16" t="str">
        <f>VLOOKUP(I528,'Names for Vlookup'!$B$8:$C$21,2,FALSE)</f>
        <v>Deer velvet (dried)</v>
      </c>
      <c r="G528" s="16" t="str">
        <f>VLOOKUP(L528,'Names for Vlookup'!$B$101:$C$181,2,FALSE)</f>
        <v>New Zealand</v>
      </c>
      <c r="H528" s="16" t="s">
        <v>480</v>
      </c>
      <c r="I528" s="16" t="s">
        <v>512</v>
      </c>
      <c r="J528" s="16" t="s">
        <v>70</v>
      </c>
      <c r="L528" s="16" t="s">
        <v>260</v>
      </c>
      <c r="M528" s="26" t="s">
        <v>674</v>
      </c>
    </row>
    <row r="529" spans="1:13" ht="14" x14ac:dyDescent="0.2">
      <c r="A529" s="13">
        <f t="shared" si="79"/>
        <v>2017</v>
      </c>
      <c r="B529" s="13" t="str">
        <f t="shared" si="80"/>
        <v>06</v>
      </c>
      <c r="C529" s="13" t="str">
        <f t="shared" si="81"/>
        <v>21</v>
      </c>
      <c r="D529" s="16" t="str">
        <f>VLOOKUP(H529,'Names for Vlookup'!$B$26:$C$94,2,FALSE)</f>
        <v>MyungGa (Mr.Lee in Daegu)</v>
      </c>
      <c r="E529" s="16" t="str">
        <f>VLOOKUP(I529,'Names for Vlookup'!$B$8:$C$21,2,FALSE)</f>
        <v>Deer velvet (dried)</v>
      </c>
      <c r="G529" s="16" t="str">
        <f>VLOOKUP(L529,'Names for Vlookup'!$B$101:$C$181,2,FALSE)</f>
        <v>New Zealand</v>
      </c>
      <c r="H529" s="16" t="s">
        <v>208</v>
      </c>
      <c r="I529" s="16" t="s">
        <v>512</v>
      </c>
      <c r="J529" s="16" t="s">
        <v>345</v>
      </c>
      <c r="L529" s="16" t="s">
        <v>203</v>
      </c>
      <c r="M529" s="26" t="s">
        <v>675</v>
      </c>
    </row>
    <row r="530" spans="1:13" ht="14" x14ac:dyDescent="0.2">
      <c r="A530" s="13">
        <f t="shared" si="79"/>
        <v>2017</v>
      </c>
      <c r="B530" s="13" t="str">
        <f t="shared" si="80"/>
        <v>06</v>
      </c>
      <c r="C530" s="13" t="str">
        <f t="shared" si="81"/>
        <v>20</v>
      </c>
      <c r="D530" s="16" t="str">
        <f>VLOOKUP(H530,'Names for Vlookup'!$B$26:$C$94,2,FALSE)</f>
        <v>Handong Herb</v>
      </c>
      <c r="E530" s="16" t="str">
        <f>VLOOKUP(I530,'Names for Vlookup'!$B$8:$C$21,2,FALSE)</f>
        <v>Deer velvet (frozen)</v>
      </c>
      <c r="G530" s="16" t="str">
        <f>VLOOKUP(L530,'Names for Vlookup'!$B$101:$C$181,2,FALSE)</f>
        <v>New Zealand</v>
      </c>
      <c r="H530" s="16" t="s">
        <v>526</v>
      </c>
      <c r="I530" s="16" t="s">
        <v>76</v>
      </c>
      <c r="J530" s="16" t="s">
        <v>560</v>
      </c>
      <c r="L530" s="16" t="s">
        <v>250</v>
      </c>
      <c r="M530" s="26" t="s">
        <v>676</v>
      </c>
    </row>
    <row r="531" spans="1:13" ht="14" x14ac:dyDescent="0.2">
      <c r="A531" s="13">
        <f t="shared" si="79"/>
        <v>2017</v>
      </c>
      <c r="B531" s="13" t="str">
        <f t="shared" si="80"/>
        <v>06</v>
      </c>
      <c r="C531" s="13" t="str">
        <f t="shared" si="81"/>
        <v>19</v>
      </c>
      <c r="D531" s="16" t="str">
        <f>VLOOKUP(H531,'Names for Vlookup'!$B$26:$C$94,2,FALSE)</f>
        <v>YongBo (Mr. Woljin Kim)</v>
      </c>
      <c r="E531" s="16" t="str">
        <f>VLOOKUP(I531,'Names for Vlookup'!$B$8:$C$21,2,FALSE)</f>
        <v>Deer velvet (dried)</v>
      </c>
      <c r="G531" s="16" t="str">
        <f>VLOOKUP(L531,'Names for Vlookup'!$B$101:$C$181,2,FALSE)</f>
        <v>New Zealand</v>
      </c>
      <c r="H531" s="16" t="s">
        <v>98</v>
      </c>
      <c r="I531" s="16" t="s">
        <v>512</v>
      </c>
      <c r="J531" s="16" t="s">
        <v>483</v>
      </c>
      <c r="L531" s="16" t="s">
        <v>493</v>
      </c>
      <c r="M531" s="26" t="s">
        <v>677</v>
      </c>
    </row>
    <row r="532" spans="1:13" ht="14" x14ac:dyDescent="0.2">
      <c r="A532" s="13">
        <f t="shared" si="79"/>
        <v>2017</v>
      </c>
      <c r="B532" s="13" t="str">
        <f t="shared" si="80"/>
        <v>06</v>
      </c>
      <c r="C532" s="13" t="str">
        <f t="shared" si="81"/>
        <v>14</v>
      </c>
      <c r="D532" s="16" t="str">
        <f>VLOOKUP(H532,'Names for Vlookup'!$B$26:$C$94,2,FALSE)</f>
        <v>KGC</v>
      </c>
      <c r="E532" s="16" t="str">
        <f>VLOOKUP(I532,'Names for Vlookup'!$B$8:$C$21,2,FALSE)</f>
        <v>Deer velvet (dried)</v>
      </c>
      <c r="G532" s="16" t="str">
        <f>VLOOKUP(L532,'Names for Vlookup'!$B$101:$C$181,2,FALSE)</f>
        <v>New Zealand</v>
      </c>
      <c r="H532" s="16" t="s">
        <v>480</v>
      </c>
      <c r="I532" s="16" t="s">
        <v>512</v>
      </c>
      <c r="J532" s="16" t="s">
        <v>70</v>
      </c>
      <c r="L532" s="16" t="s">
        <v>493</v>
      </c>
      <c r="M532" s="26" t="s">
        <v>678</v>
      </c>
    </row>
    <row r="533" spans="1:13" ht="14" x14ac:dyDescent="0.2">
      <c r="A533" s="13">
        <f t="shared" si="79"/>
        <v>2017</v>
      </c>
      <c r="B533" s="13" t="str">
        <f t="shared" si="80"/>
        <v>06</v>
      </c>
      <c r="C533" s="13" t="str">
        <f t="shared" si="81"/>
        <v>05</v>
      </c>
      <c r="D533" s="16" t="str">
        <f>VLOOKUP(H533,'Names for Vlookup'!$B$26:$C$94,2,FALSE)</f>
        <v>HwaYong Pharm.</v>
      </c>
      <c r="E533" s="16" t="str">
        <f>VLOOKUP(I533,'Names for Vlookup'!$B$8:$C$21,2,FALSE)</f>
        <v>Deer velvet</v>
      </c>
      <c r="G533" s="16" t="str">
        <f>VLOOKUP(L533,'Names for Vlookup'!$B$101:$C$181,2,FALSE)</f>
        <v>China</v>
      </c>
      <c r="H533" s="16" t="s">
        <v>80</v>
      </c>
      <c r="I533" s="16" t="s">
        <v>62</v>
      </c>
      <c r="J533" s="16" t="s">
        <v>63</v>
      </c>
      <c r="L533" s="16" t="s">
        <v>247</v>
      </c>
      <c r="M533" s="26" t="s">
        <v>679</v>
      </c>
    </row>
    <row r="534" spans="1:13" ht="14" x14ac:dyDescent="0.2">
      <c r="A534" s="13">
        <f t="shared" si="79"/>
        <v>2017</v>
      </c>
      <c r="B534" s="13" t="str">
        <f t="shared" si="80"/>
        <v>06</v>
      </c>
      <c r="C534" s="13" t="str">
        <f t="shared" si="81"/>
        <v>05</v>
      </c>
      <c r="D534" s="16" t="str">
        <f>VLOOKUP(H534,'Names for Vlookup'!$B$26:$C$94,2,FALSE)</f>
        <v>KGC</v>
      </c>
      <c r="E534" s="16" t="str">
        <f>VLOOKUP(I534,'Names for Vlookup'!$B$8:$C$21,2,FALSE)</f>
        <v>Deer velvet (dried)</v>
      </c>
      <c r="G534" s="16" t="str">
        <f>VLOOKUP(L534,'Names for Vlookup'!$B$101:$C$181,2,FALSE)</f>
        <v>New Zealand</v>
      </c>
      <c r="H534" s="16" t="s">
        <v>480</v>
      </c>
      <c r="I534" s="16" t="s">
        <v>512</v>
      </c>
      <c r="J534" s="16" t="s">
        <v>70</v>
      </c>
      <c r="L534" s="16" t="s">
        <v>36</v>
      </c>
      <c r="M534" s="26" t="s">
        <v>679</v>
      </c>
    </row>
    <row r="535" spans="1:13" ht="14" x14ac:dyDescent="0.2">
      <c r="A535" s="13">
        <f t="shared" si="79"/>
        <v>2017</v>
      </c>
      <c r="B535" s="13" t="str">
        <f t="shared" si="80"/>
        <v>06</v>
      </c>
      <c r="C535" s="13" t="str">
        <f t="shared" si="81"/>
        <v>05</v>
      </c>
      <c r="D535" s="16" t="str">
        <f>VLOOKUP(H535,'Names for Vlookup'!$B$26:$C$94,2,FALSE)</f>
        <v>DongWha Pharmaceutical Trading Co.</v>
      </c>
      <c r="E535" s="16" t="str">
        <f>VLOOKUP(I535,'Names for Vlookup'!$B$8:$C$21,2,FALSE)</f>
        <v>Deer velvet</v>
      </c>
      <c r="G535" s="16" t="str">
        <f>VLOOKUP(L535,'Names for Vlookup'!$B$101:$C$181,2,FALSE)</f>
        <v>Russia</v>
      </c>
      <c r="H535" s="16" t="s">
        <v>680</v>
      </c>
      <c r="I535" s="16" t="s">
        <v>62</v>
      </c>
      <c r="J535" s="16" t="s">
        <v>63</v>
      </c>
      <c r="L535" s="16" t="s">
        <v>212</v>
      </c>
      <c r="M535" s="26" t="s">
        <v>679</v>
      </c>
    </row>
    <row r="536" spans="1:13" ht="14" x14ac:dyDescent="0.2">
      <c r="A536" s="13">
        <f t="shared" si="79"/>
        <v>2017</v>
      </c>
      <c r="B536" s="13" t="str">
        <f t="shared" si="80"/>
        <v>06</v>
      </c>
      <c r="C536" s="13" t="str">
        <f t="shared" si="81"/>
        <v>01</v>
      </c>
      <c r="D536" s="16" t="str">
        <f>VLOOKUP(H536,'Names for Vlookup'!$B$26:$C$94,2,FALSE)</f>
        <v>YongBo (Mr. Woljin Kim)</v>
      </c>
      <c r="E536" s="16" t="str">
        <f>VLOOKUP(I536,'Names for Vlookup'!$B$8:$C$21,2,FALSE)</f>
        <v>Deer velvet (dried)</v>
      </c>
      <c r="G536" s="16" t="str">
        <f>VLOOKUP(L536,'Names for Vlookup'!$B$101:$C$181,2,FALSE)</f>
        <v>New Zealand</v>
      </c>
      <c r="H536" s="16" t="s">
        <v>98</v>
      </c>
      <c r="I536" s="16" t="s">
        <v>512</v>
      </c>
      <c r="J536" s="16" t="s">
        <v>483</v>
      </c>
      <c r="L536" s="16" t="s">
        <v>493</v>
      </c>
      <c r="M536" s="26" t="s">
        <v>681</v>
      </c>
    </row>
    <row r="537" spans="1:13" ht="14" x14ac:dyDescent="0.2">
      <c r="A537" s="13">
        <f t="shared" si="79"/>
        <v>2017</v>
      </c>
      <c r="B537" s="13" t="str">
        <f t="shared" si="80"/>
        <v>05</v>
      </c>
      <c r="C537" s="13" t="str">
        <f t="shared" si="81"/>
        <v>24</v>
      </c>
      <c r="D537" s="16" t="str">
        <f>VLOOKUP(H537,'Names for Vlookup'!$B$26:$C$94,2,FALSE)</f>
        <v>KGC</v>
      </c>
      <c r="E537" s="16" t="str">
        <f>VLOOKUP(I537,'Names for Vlookup'!$B$8:$C$21,2,FALSE)</f>
        <v>Deer velvet (dried)</v>
      </c>
      <c r="G537" s="16" t="str">
        <f>VLOOKUP(L537,'Names for Vlookup'!$B$101:$C$181,2,FALSE)</f>
        <v>New Zealand</v>
      </c>
      <c r="H537" s="16" t="s">
        <v>480</v>
      </c>
      <c r="I537" s="16" t="s">
        <v>512</v>
      </c>
      <c r="J537" s="16" t="s">
        <v>70</v>
      </c>
      <c r="L537" s="16" t="s">
        <v>260</v>
      </c>
      <c r="M537" s="26" t="s">
        <v>682</v>
      </c>
    </row>
    <row r="538" spans="1:13" ht="14" x14ac:dyDescent="0.2">
      <c r="A538" s="13">
        <f t="shared" si="79"/>
        <v>2017</v>
      </c>
      <c r="B538" s="13" t="str">
        <f t="shared" si="80"/>
        <v>05</v>
      </c>
      <c r="C538" s="13" t="str">
        <f t="shared" si="81"/>
        <v>12</v>
      </c>
      <c r="D538" s="16" t="str">
        <f>VLOOKUP(H538,'Names for Vlookup'!$B$26:$C$94,2,FALSE)</f>
        <v>KNC Deertrade</v>
      </c>
      <c r="E538" s="16" t="str">
        <f>VLOOKUP(I538,'Names for Vlookup'!$B$8:$C$21,2,FALSE)</f>
        <v>Deer velvet (frozen)</v>
      </c>
      <c r="G538" s="16" t="str">
        <f>VLOOKUP(L538,'Names for Vlookup'!$B$101:$C$181,2,FALSE)</f>
        <v>New Zealand</v>
      </c>
      <c r="H538" s="16" t="s">
        <v>75</v>
      </c>
      <c r="I538" s="16" t="s">
        <v>76</v>
      </c>
      <c r="J538" s="16" t="s">
        <v>73</v>
      </c>
      <c r="L538" s="16" t="s">
        <v>36</v>
      </c>
      <c r="M538" s="26" t="s">
        <v>683</v>
      </c>
    </row>
    <row r="539" spans="1:13" ht="14" x14ac:dyDescent="0.2">
      <c r="A539" s="13">
        <f t="shared" si="79"/>
        <v>2017</v>
      </c>
      <c r="B539" s="13" t="str">
        <f t="shared" si="80"/>
        <v>05</v>
      </c>
      <c r="C539" s="13" t="str">
        <f t="shared" si="81"/>
        <v>08</v>
      </c>
      <c r="D539" s="16" t="str">
        <f>VLOOKUP(H539,'Names for Vlookup'!$B$26:$C$94,2,FALSE)</f>
        <v>KGC</v>
      </c>
      <c r="E539" s="16" t="str">
        <f>VLOOKUP(I539,'Names for Vlookup'!$B$8:$C$21,2,FALSE)</f>
        <v>Deer velvet (dried)</v>
      </c>
      <c r="G539" s="16" t="str">
        <f>VLOOKUP(L539,'Names for Vlookup'!$B$101:$C$181,2,FALSE)</f>
        <v>New Zealand</v>
      </c>
      <c r="H539" s="16" t="s">
        <v>480</v>
      </c>
      <c r="I539" s="16" t="s">
        <v>512</v>
      </c>
      <c r="J539" s="16" t="s">
        <v>70</v>
      </c>
      <c r="L539" s="16" t="s">
        <v>36</v>
      </c>
      <c r="M539" s="26" t="s">
        <v>684</v>
      </c>
    </row>
    <row r="540" spans="1:13" ht="14" x14ac:dyDescent="0.2">
      <c r="A540" s="13">
        <f t="shared" si="79"/>
        <v>2017</v>
      </c>
      <c r="B540" s="13" t="str">
        <f t="shared" si="80"/>
        <v>04</v>
      </c>
      <c r="C540" s="13" t="str">
        <f t="shared" si="81"/>
        <v>27</v>
      </c>
      <c r="D540" s="16" t="str">
        <f>VLOOKUP(H540,'Names for Vlookup'!$B$26:$C$94,2,FALSE)</f>
        <v>Handong Herb</v>
      </c>
      <c r="E540" s="16" t="str">
        <f>VLOOKUP(I540,'Names for Vlookup'!$B$8:$C$21,2,FALSE)</f>
        <v>Deer velvet (frozen)</v>
      </c>
      <c r="G540" s="16" t="str">
        <f>VLOOKUP(L540,'Names for Vlookup'!$B$101:$C$181,2,FALSE)</f>
        <v>New Zealand</v>
      </c>
      <c r="H540" s="16" t="s">
        <v>526</v>
      </c>
      <c r="I540" s="16" t="s">
        <v>76</v>
      </c>
      <c r="J540" s="16" t="s">
        <v>73</v>
      </c>
      <c r="L540" s="16" t="s">
        <v>36</v>
      </c>
      <c r="M540" s="26" t="s">
        <v>685</v>
      </c>
    </row>
    <row r="541" spans="1:13" ht="14" x14ac:dyDescent="0.2">
      <c r="A541" s="13">
        <f t="shared" si="79"/>
        <v>2017</v>
      </c>
      <c r="B541" s="13" t="str">
        <f t="shared" si="80"/>
        <v>04</v>
      </c>
      <c r="C541" s="13" t="str">
        <f t="shared" si="81"/>
        <v>12</v>
      </c>
      <c r="D541" s="16" t="str">
        <f>VLOOKUP(H541,'Names for Vlookup'!$B$26:$C$94,2,FALSE)</f>
        <v>Su Food (Mr. Choi)</v>
      </c>
      <c r="E541" s="16" t="str">
        <f>VLOOKUP(I541,'Names for Vlookup'!$B$8:$C$21,2,FALSE)</f>
        <v>Deer velvet (frozen)</v>
      </c>
      <c r="G541" s="16" t="str">
        <f>VLOOKUP(L541,'Names for Vlookup'!$B$101:$C$181,2,FALSE)</f>
        <v>New Zealand</v>
      </c>
      <c r="H541" s="16" t="s">
        <v>686</v>
      </c>
      <c r="I541" s="16" t="s">
        <v>76</v>
      </c>
      <c r="J541" s="16" t="s">
        <v>73</v>
      </c>
      <c r="L541" s="16" t="s">
        <v>260</v>
      </c>
      <c r="M541" s="26" t="s">
        <v>687</v>
      </c>
    </row>
    <row r="542" spans="1:13" ht="14" x14ac:dyDescent="0.2">
      <c r="A542" s="13">
        <f t="shared" si="79"/>
        <v>2017</v>
      </c>
      <c r="B542" s="13" t="str">
        <f t="shared" si="80"/>
        <v>04</v>
      </c>
      <c r="C542" s="13" t="str">
        <f t="shared" si="81"/>
        <v>05</v>
      </c>
      <c r="D542" s="16" t="str">
        <f>VLOOKUP(H542,'Names for Vlookup'!$B$26:$C$94,2,FALSE)</f>
        <v>KGC</v>
      </c>
      <c r="E542" s="16" t="str">
        <f>VLOOKUP(I542,'Names for Vlookup'!$B$8:$C$21,2,FALSE)</f>
        <v>Deer velvet (dried)</v>
      </c>
      <c r="G542" s="16" t="str">
        <f>VLOOKUP(L542,'Names for Vlookup'!$B$101:$C$181,2,FALSE)</f>
        <v>New Zealand</v>
      </c>
      <c r="H542" s="13" t="s">
        <v>480</v>
      </c>
      <c r="I542" s="29" t="s">
        <v>512</v>
      </c>
      <c r="J542" s="13" t="s">
        <v>70</v>
      </c>
      <c r="K542" s="13"/>
      <c r="L542" s="13" t="s">
        <v>38</v>
      </c>
      <c r="M542" s="26" t="s">
        <v>688</v>
      </c>
    </row>
    <row r="543" spans="1:13" ht="14" x14ac:dyDescent="0.2">
      <c r="A543" s="13">
        <f t="shared" si="79"/>
        <v>2017</v>
      </c>
      <c r="B543" s="13" t="str">
        <f t="shared" si="80"/>
        <v>04</v>
      </c>
      <c r="C543" s="13" t="str">
        <f t="shared" si="81"/>
        <v>04</v>
      </c>
      <c r="D543" s="16" t="str">
        <f>VLOOKUP(H543,'Names for Vlookup'!$B$26:$C$94,2,FALSE)</f>
        <v>Herb&amp;Solution</v>
      </c>
      <c r="E543" s="16" t="str">
        <f>VLOOKUP(I543,'Names for Vlookup'!$B$8:$C$21,2,FALSE)</f>
        <v>Deer velvet</v>
      </c>
      <c r="G543" s="16" t="str">
        <f>VLOOKUP(L543,'Names for Vlookup'!$B$101:$C$181,2,FALSE)</f>
        <v>Russia</v>
      </c>
      <c r="H543" s="13" t="s">
        <v>689</v>
      </c>
      <c r="I543" s="29" t="s">
        <v>62</v>
      </c>
      <c r="J543" s="13" t="s">
        <v>690</v>
      </c>
      <c r="K543" s="13"/>
      <c r="L543" s="16" t="s">
        <v>212</v>
      </c>
      <c r="M543" s="26" t="s">
        <v>691</v>
      </c>
    </row>
    <row r="544" spans="1:13" ht="14" x14ac:dyDescent="0.2">
      <c r="A544" s="13">
        <f t="shared" si="79"/>
        <v>2017</v>
      </c>
      <c r="B544" s="13" t="str">
        <f t="shared" si="80"/>
        <v>03</v>
      </c>
      <c r="C544" s="13" t="str">
        <f t="shared" si="81"/>
        <v>09</v>
      </c>
      <c r="D544" s="16" t="str">
        <f>VLOOKUP(H544,'Names for Vlookup'!$B$26:$C$94,2,FALSE)</f>
        <v>Su Food (Mr. Choi)</v>
      </c>
      <c r="E544" s="16" t="str">
        <f>VLOOKUP(I544,'Names for Vlookup'!$B$8:$C$21,2,FALSE)</f>
        <v>Deer velvet (frozen)</v>
      </c>
      <c r="G544" s="16" t="str">
        <f>VLOOKUP(L544,'Names for Vlookup'!$B$101:$C$181,2,FALSE)</f>
        <v>New Zealand</v>
      </c>
      <c r="H544" s="13" t="s">
        <v>686</v>
      </c>
      <c r="I544" s="29" t="s">
        <v>76</v>
      </c>
      <c r="J544" s="13" t="s">
        <v>73</v>
      </c>
      <c r="K544" s="13"/>
      <c r="L544" s="13" t="s">
        <v>260</v>
      </c>
      <c r="M544" s="26" t="s">
        <v>692</v>
      </c>
    </row>
    <row r="545" spans="1:13" ht="14" x14ac:dyDescent="0.2">
      <c r="A545" s="13">
        <f t="shared" si="79"/>
        <v>2017</v>
      </c>
      <c r="B545" s="13" t="str">
        <f t="shared" si="80"/>
        <v>03</v>
      </c>
      <c r="C545" s="13" t="str">
        <f t="shared" si="81"/>
        <v>08</v>
      </c>
      <c r="D545" s="16" t="str">
        <f>VLOOKUP(H545,'Names for Vlookup'!$B$26:$C$94,2,FALSE)</f>
        <v>MyungGa (Mr.Lee in Daegu)</v>
      </c>
      <c r="E545" s="16" t="str">
        <f>VLOOKUP(I545,'Names for Vlookup'!$B$8:$C$21,2,FALSE)</f>
        <v>Deer velvet (dried)</v>
      </c>
      <c r="G545" s="16" t="str">
        <f>VLOOKUP(L545,'Names for Vlookup'!$B$101:$C$181,2,FALSE)</f>
        <v>New Zealand</v>
      </c>
      <c r="H545" s="13" t="s">
        <v>208</v>
      </c>
      <c r="I545" s="16" t="s">
        <v>512</v>
      </c>
      <c r="J545" s="13" t="s">
        <v>152</v>
      </c>
      <c r="K545" s="13"/>
      <c r="L545" s="13" t="s">
        <v>37</v>
      </c>
      <c r="M545" s="26" t="s">
        <v>693</v>
      </c>
    </row>
    <row r="546" spans="1:13" ht="14" x14ac:dyDescent="0.2">
      <c r="A546" s="13">
        <f t="shared" si="79"/>
        <v>2017</v>
      </c>
      <c r="B546" s="13" t="str">
        <f t="shared" si="80"/>
        <v>02</v>
      </c>
      <c r="C546" s="13" t="str">
        <f t="shared" si="81"/>
        <v>22</v>
      </c>
      <c r="D546" s="16" t="str">
        <f>VLOOKUP(H546,'Names for Vlookup'!$B$26:$C$94,2,FALSE)</f>
        <v>Handong Herb</v>
      </c>
      <c r="E546" s="16" t="str">
        <f>VLOOKUP(I546,'Names for Vlookup'!$B$8:$C$21,2,FALSE)</f>
        <v>Deer velvet (frozen)</v>
      </c>
      <c r="G546" s="16" t="str">
        <f>VLOOKUP(L546,'Names for Vlookup'!$B$101:$C$181,2,FALSE)</f>
        <v>New Zealand</v>
      </c>
      <c r="H546" s="13" t="s">
        <v>526</v>
      </c>
      <c r="I546" s="29" t="s">
        <v>76</v>
      </c>
      <c r="J546" s="13" t="s">
        <v>73</v>
      </c>
      <c r="K546" s="13"/>
      <c r="L546" s="13" t="s">
        <v>260</v>
      </c>
      <c r="M546" s="26" t="s">
        <v>694</v>
      </c>
    </row>
    <row r="547" spans="1:13" ht="14" x14ac:dyDescent="0.2">
      <c r="A547" s="13">
        <f t="shared" si="79"/>
        <v>2017</v>
      </c>
      <c r="B547" s="13" t="str">
        <f t="shared" si="80"/>
        <v>02</v>
      </c>
      <c r="C547" s="13" t="str">
        <f t="shared" si="81"/>
        <v>14</v>
      </c>
      <c r="D547" s="16" t="str">
        <f>VLOOKUP(H547,'Names for Vlookup'!$B$26:$C$94,2,FALSE)</f>
        <v>KNC Deertrade</v>
      </c>
      <c r="E547" s="16" t="str">
        <f>VLOOKUP(I547,'Names for Vlookup'!$B$8:$C$21,2,FALSE)</f>
        <v>Deer velvet (frozen)</v>
      </c>
      <c r="G547" s="16" t="str">
        <f>VLOOKUP(L547,'Names for Vlookup'!$B$101:$C$181,2,FALSE)</f>
        <v>New Zealand</v>
      </c>
      <c r="H547" s="16" t="s">
        <v>75</v>
      </c>
      <c r="I547" s="16" t="s">
        <v>76</v>
      </c>
      <c r="J547" s="16" t="s">
        <v>73</v>
      </c>
      <c r="L547" s="16" t="s">
        <v>38</v>
      </c>
      <c r="M547" s="26" t="s">
        <v>695</v>
      </c>
    </row>
    <row r="548" spans="1:13" ht="14" x14ac:dyDescent="0.2">
      <c r="A548" s="13">
        <f t="shared" si="79"/>
        <v>2017</v>
      </c>
      <c r="B548" s="13" t="str">
        <f t="shared" si="80"/>
        <v>02</v>
      </c>
      <c r="C548" s="13" t="str">
        <f t="shared" si="81"/>
        <v>07</v>
      </c>
      <c r="D548" s="16" t="str">
        <f>VLOOKUP(H548,'Names for Vlookup'!$B$26:$C$94,2,FALSE)</f>
        <v>Su Food (Mr. Choi)</v>
      </c>
      <c r="E548" s="16" t="str">
        <f>VLOOKUP(I548,'Names for Vlookup'!$B$8:$C$21,2,FALSE)</f>
        <v>Deer velvet (dried)</v>
      </c>
      <c r="G548" s="16" t="str">
        <f>VLOOKUP(L548,'Names for Vlookup'!$B$101:$C$181,2,FALSE)</f>
        <v>Russia</v>
      </c>
      <c r="H548" s="16" t="s">
        <v>686</v>
      </c>
      <c r="I548" s="16" t="s">
        <v>512</v>
      </c>
      <c r="J548" s="16" t="s">
        <v>696</v>
      </c>
      <c r="L548" s="16" t="s">
        <v>558</v>
      </c>
      <c r="M548" s="26" t="s">
        <v>697</v>
      </c>
    </row>
    <row r="549" spans="1:13" ht="14" x14ac:dyDescent="0.2">
      <c r="A549" s="13">
        <f t="shared" si="79"/>
        <v>2017</v>
      </c>
      <c r="B549" s="13" t="str">
        <f t="shared" si="80"/>
        <v>01</v>
      </c>
      <c r="C549" s="13" t="str">
        <f t="shared" si="81"/>
        <v>31</v>
      </c>
      <c r="D549" s="16" t="str">
        <f>VLOOKUP(H549,'Names for Vlookup'!$B$26:$C$94,2,FALSE)</f>
        <v>KVIE (Alex, HanPure)</v>
      </c>
      <c r="E549" s="16" t="str">
        <f>VLOOKUP(I549,'Names for Vlookup'!$B$8:$C$21,2,FALSE)</f>
        <v>Deer velvet</v>
      </c>
      <c r="G549" s="16" t="str">
        <f>VLOOKUP(L549,'Names for Vlookup'!$B$101:$C$181,2,FALSE)</f>
        <v>China</v>
      </c>
      <c r="H549" s="16" t="s">
        <v>430</v>
      </c>
      <c r="I549" s="16" t="s">
        <v>62</v>
      </c>
      <c r="J549" s="16" t="s">
        <v>63</v>
      </c>
      <c r="L549" s="16" t="s">
        <v>33</v>
      </c>
      <c r="M549" s="26" t="s">
        <v>698</v>
      </c>
    </row>
    <row r="550" spans="1:13" ht="14" x14ac:dyDescent="0.2">
      <c r="A550" s="13">
        <f t="shared" si="79"/>
        <v>2017</v>
      </c>
      <c r="B550" s="13" t="str">
        <f t="shared" si="80"/>
        <v>01</v>
      </c>
      <c r="C550" s="13" t="str">
        <f t="shared" si="81"/>
        <v>18</v>
      </c>
      <c r="D550" s="16" t="str">
        <f>VLOOKUP(H550,'Names for Vlookup'!$B$26:$C$94,2,FALSE)</f>
        <v xml:space="preserve">WooSung (Mr Bang) </v>
      </c>
      <c r="E550" s="16" t="str">
        <f>VLOOKUP(I550,'Names for Vlookup'!$B$8:$C$21,2,FALSE)</f>
        <v>Deer velvet (frozen)</v>
      </c>
      <c r="G550" s="16" t="str">
        <f>VLOOKUP(L550,'Names for Vlookup'!$B$101:$C$181,2,FALSE)</f>
        <v>New Zealand</v>
      </c>
      <c r="H550" s="16" t="s">
        <v>69</v>
      </c>
      <c r="I550" s="16" t="s">
        <v>76</v>
      </c>
      <c r="J550" s="16" t="s">
        <v>73</v>
      </c>
      <c r="L550" s="16" t="s">
        <v>260</v>
      </c>
      <c r="M550" s="26" t="s">
        <v>699</v>
      </c>
    </row>
    <row r="551" spans="1:13" ht="14" x14ac:dyDescent="0.2">
      <c r="A551" s="13">
        <f t="shared" si="79"/>
        <v>2017</v>
      </c>
      <c r="B551" s="13" t="str">
        <f t="shared" si="80"/>
        <v>01</v>
      </c>
      <c r="C551" s="13" t="str">
        <f t="shared" si="81"/>
        <v>16</v>
      </c>
      <c r="D551" s="16" t="str">
        <f>VLOOKUP(H551,'Names for Vlookup'!$B$26:$C$94,2,FALSE)</f>
        <v>SeoHwa Pharm.</v>
      </c>
      <c r="E551" s="16" t="str">
        <f>VLOOKUP(I551,'Names for Vlookup'!$B$8:$C$21,2,FALSE)</f>
        <v>Deer velvet</v>
      </c>
      <c r="G551" s="16" t="str">
        <f>VLOOKUP(L551,'Names for Vlookup'!$B$101:$C$181,2,FALSE)</f>
        <v>Russia</v>
      </c>
      <c r="H551" s="16" t="s">
        <v>656</v>
      </c>
      <c r="I551" s="16" t="s">
        <v>62</v>
      </c>
      <c r="J551" s="16" t="s">
        <v>200</v>
      </c>
      <c r="L551" s="16" t="s">
        <v>212</v>
      </c>
      <c r="M551" s="26" t="s">
        <v>700</v>
      </c>
    </row>
    <row r="552" spans="1:13" ht="14" x14ac:dyDescent="0.2">
      <c r="A552" s="13">
        <f t="shared" si="79"/>
        <v>2017</v>
      </c>
      <c r="B552" s="13" t="str">
        <f t="shared" si="80"/>
        <v>01</v>
      </c>
      <c r="C552" s="13" t="str">
        <f t="shared" si="81"/>
        <v>03</v>
      </c>
      <c r="D552" s="16" t="str">
        <f>VLOOKUP(H552,'Names for Vlookup'!$B$26:$C$94,2,FALSE)</f>
        <v>Su Food (Mr. Choi)</v>
      </c>
      <c r="E552" s="16" t="str">
        <f>VLOOKUP(I552,'Names for Vlookup'!$B$8:$C$21,2,FALSE)</f>
        <v>Deer velvet (frozen)</v>
      </c>
      <c r="G552" s="16" t="str">
        <f>VLOOKUP(L552,'Names for Vlookup'!$B$101:$C$181,2,FALSE)</f>
        <v>New Zealand</v>
      </c>
      <c r="H552" s="16" t="s">
        <v>686</v>
      </c>
      <c r="I552" s="16" t="s">
        <v>76</v>
      </c>
      <c r="J552" s="16" t="s">
        <v>73</v>
      </c>
      <c r="L552" s="16" t="s">
        <v>260</v>
      </c>
      <c r="M552" s="26" t="s">
        <v>701</v>
      </c>
    </row>
    <row r="553" spans="1:13" ht="14" x14ac:dyDescent="0.2">
      <c r="A553" s="13">
        <f t="shared" si="79"/>
        <v>2016</v>
      </c>
      <c r="B553" s="13" t="str">
        <f t="shared" si="80"/>
        <v>12</v>
      </c>
      <c r="C553" s="13" t="str">
        <f t="shared" si="81"/>
        <v>30</v>
      </c>
      <c r="D553" s="16" t="str">
        <f>VLOOKUP(H553,'Names for Vlookup'!$B$26:$C$94,2,FALSE)</f>
        <v>HanKook Herb</v>
      </c>
      <c r="E553" s="16" t="str">
        <f>VLOOKUP(I553,'Names for Vlookup'!$B$8:$C$21,2,FALSE)</f>
        <v>Deer velvet (dried)</v>
      </c>
      <c r="G553" s="16" t="str">
        <f>VLOOKUP(L553,'Names for Vlookup'!$B$101:$C$181,2,FALSE)</f>
        <v>New Zealand</v>
      </c>
      <c r="H553" s="16" t="s">
        <v>702</v>
      </c>
      <c r="I553" s="16" t="s">
        <v>512</v>
      </c>
      <c r="J553" s="16" t="s">
        <v>345</v>
      </c>
      <c r="L553" s="16" t="s">
        <v>203</v>
      </c>
      <c r="M553" s="26" t="s">
        <v>703</v>
      </c>
    </row>
    <row r="554" spans="1:13" ht="14" x14ac:dyDescent="0.2">
      <c r="A554" s="13">
        <f t="shared" si="79"/>
        <v>2016</v>
      </c>
      <c r="B554" s="13" t="str">
        <f t="shared" si="80"/>
        <v>12</v>
      </c>
      <c r="C554" s="13" t="str">
        <f t="shared" si="81"/>
        <v>20</v>
      </c>
      <c r="D554" s="16" t="str">
        <f>VLOOKUP(H554,'Names for Vlookup'!$B$26:$C$94,2,FALSE)</f>
        <v>KNC Deertrade</v>
      </c>
      <c r="E554" s="16" t="str">
        <f>VLOOKUP(I554,'Names for Vlookup'!$B$8:$C$21,2,FALSE)</f>
        <v>Deer velvet (frozen)</v>
      </c>
      <c r="G554" s="16" t="str">
        <f>VLOOKUP(L554,'Names for Vlookup'!$B$101:$C$181,2,FALSE)</f>
        <v>New Zealand</v>
      </c>
      <c r="H554" s="16" t="s">
        <v>75</v>
      </c>
      <c r="I554" s="16" t="s">
        <v>76</v>
      </c>
      <c r="J554" s="16" t="s">
        <v>73</v>
      </c>
      <c r="L554" s="16" t="s">
        <v>36</v>
      </c>
      <c r="M554" s="26" t="s">
        <v>704</v>
      </c>
    </row>
    <row r="555" spans="1:13" ht="14" x14ac:dyDescent="0.2">
      <c r="A555" s="13">
        <f t="shared" si="79"/>
        <v>2016</v>
      </c>
      <c r="B555" s="13" t="str">
        <f t="shared" si="80"/>
        <v>12</v>
      </c>
      <c r="C555" s="13" t="str">
        <f t="shared" si="81"/>
        <v>05</v>
      </c>
      <c r="D555" s="16" t="str">
        <f>VLOOKUP(H555,'Names for Vlookup'!$B$26:$C$94,2,FALSE)</f>
        <v>YongBo (Mr. Woljin Kim)</v>
      </c>
      <c r="E555" s="16" t="str">
        <f>VLOOKUP(I555,'Names for Vlookup'!$B$8:$C$21,2,FALSE)</f>
        <v>Deer velvet (dried)</v>
      </c>
      <c r="G555" s="16" t="str">
        <f>VLOOKUP(L555,'Names for Vlookup'!$B$101:$C$181,2,FALSE)</f>
        <v>New Zealand</v>
      </c>
      <c r="H555" s="16" t="s">
        <v>98</v>
      </c>
      <c r="I555" s="16" t="s">
        <v>512</v>
      </c>
      <c r="J555" s="16" t="s">
        <v>643</v>
      </c>
      <c r="L555" s="16" t="s">
        <v>279</v>
      </c>
      <c r="M555" s="26" t="s">
        <v>705</v>
      </c>
    </row>
    <row r="556" spans="1:13" ht="14" x14ac:dyDescent="0.2">
      <c r="A556" s="13">
        <f t="shared" si="79"/>
        <v>2016</v>
      </c>
      <c r="B556" s="13" t="str">
        <f t="shared" si="80"/>
        <v>11</v>
      </c>
      <c r="C556" s="13" t="str">
        <f t="shared" si="81"/>
        <v>29</v>
      </c>
      <c r="D556" s="16" t="str">
        <f>VLOOKUP(H556,'Names for Vlookup'!$B$26:$C$94,2,FALSE)</f>
        <v>Baikal Herb</v>
      </c>
      <c r="E556" s="16" t="str">
        <f>VLOOKUP(I556,'Names for Vlookup'!$B$8:$C$21,2,FALSE)</f>
        <v>Hard antlers</v>
      </c>
      <c r="G556" s="16" t="str">
        <f>VLOOKUP(L556,'Names for Vlookup'!$B$101:$C$181,2,FALSE)</f>
        <v>Russia</v>
      </c>
      <c r="H556" s="16" t="s">
        <v>706</v>
      </c>
      <c r="I556" s="16" t="s">
        <v>657</v>
      </c>
      <c r="J556" s="16" t="s">
        <v>707</v>
      </c>
      <c r="L556" s="16" t="s">
        <v>708</v>
      </c>
      <c r="M556" s="26" t="s">
        <v>709</v>
      </c>
    </row>
    <row r="557" spans="1:13" ht="14" x14ac:dyDescent="0.2">
      <c r="A557" s="13">
        <f t="shared" si="79"/>
        <v>2016</v>
      </c>
      <c r="B557" s="13" t="str">
        <f t="shared" si="80"/>
        <v>11</v>
      </c>
      <c r="C557" s="13" t="str">
        <f t="shared" si="81"/>
        <v>28</v>
      </c>
      <c r="D557" s="16" t="str">
        <f>VLOOKUP(H557,'Names for Vlookup'!$B$26:$C$94,2,FALSE)</f>
        <v>Taeahn (Mr. Ahn)</v>
      </c>
      <c r="E557" s="16" t="str">
        <f>VLOOKUP(I557,'Names for Vlookup'!$B$8:$C$21,2,FALSE)</f>
        <v>Hard antlers</v>
      </c>
      <c r="G557" s="16" t="str">
        <f>VLOOKUP(L557,'Names for Vlookup'!$B$101:$C$181,2,FALSE)</f>
        <v>Russia</v>
      </c>
      <c r="H557" s="16" t="s">
        <v>151</v>
      </c>
      <c r="I557" s="16" t="s">
        <v>657</v>
      </c>
      <c r="J557" s="16" t="s">
        <v>668</v>
      </c>
      <c r="L557" s="16" t="s">
        <v>710</v>
      </c>
      <c r="M557" s="26" t="s">
        <v>711</v>
      </c>
    </row>
    <row r="558" spans="1:13" ht="14" x14ac:dyDescent="0.2">
      <c r="A558" s="13">
        <f t="shared" si="79"/>
        <v>2016</v>
      </c>
      <c r="B558" s="13" t="str">
        <f t="shared" si="80"/>
        <v>11</v>
      </c>
      <c r="C558" s="13" t="str">
        <f t="shared" si="81"/>
        <v>18</v>
      </c>
      <c r="D558" s="16" t="str">
        <f>VLOOKUP(H558,'Names for Vlookup'!$B$26:$C$94,2,FALSE)</f>
        <v>Hansun Trading</v>
      </c>
      <c r="E558" s="16" t="str">
        <f>VLOOKUP(I558,'Names for Vlookup'!$B$8:$C$21,2,FALSE)</f>
        <v>Hard antlers</v>
      </c>
      <c r="G558" s="16" t="str">
        <f>VLOOKUP(L558,'Names for Vlookup'!$B$101:$C$181,2,FALSE)</f>
        <v>Russia</v>
      </c>
      <c r="H558" s="16" t="s">
        <v>712</v>
      </c>
      <c r="I558" s="16" t="s">
        <v>657</v>
      </c>
      <c r="J558" s="16" t="s">
        <v>707</v>
      </c>
      <c r="L558" s="16" t="s">
        <v>664</v>
      </c>
      <c r="M558" s="26" t="s">
        <v>713</v>
      </c>
    </row>
    <row r="559" spans="1:13" ht="14" x14ac:dyDescent="0.2">
      <c r="A559" s="13">
        <f t="shared" si="79"/>
        <v>2016</v>
      </c>
      <c r="B559" s="13" t="str">
        <f t="shared" si="80"/>
        <v>11</v>
      </c>
      <c r="C559" s="13" t="str">
        <f t="shared" si="81"/>
        <v>18</v>
      </c>
      <c r="D559" s="16" t="str">
        <f>VLOOKUP(H559,'Names for Vlookup'!$B$26:$C$94,2,FALSE)</f>
        <v xml:space="preserve">JoEun Pharm </v>
      </c>
      <c r="E559" s="16" t="str">
        <f>VLOOKUP(I559,'Names for Vlookup'!$B$8:$C$21,2,FALSE)</f>
        <v>Deer velvet</v>
      </c>
      <c r="G559" s="16" t="str">
        <f>VLOOKUP(L559,'Names for Vlookup'!$B$101:$C$181,2,FALSE)</f>
        <v>Russia</v>
      </c>
      <c r="H559" s="16" t="s">
        <v>99</v>
      </c>
      <c r="I559" s="16" t="s">
        <v>62</v>
      </c>
      <c r="J559" s="16" t="s">
        <v>63</v>
      </c>
      <c r="L559" s="16" t="s">
        <v>714</v>
      </c>
      <c r="M559" s="26" t="s">
        <v>713</v>
      </c>
    </row>
    <row r="560" spans="1:13" ht="14" x14ac:dyDescent="0.2">
      <c r="A560" s="13">
        <f t="shared" si="79"/>
        <v>2016</v>
      </c>
      <c r="B560" s="13" t="str">
        <f t="shared" si="80"/>
        <v>11</v>
      </c>
      <c r="C560" s="13" t="str">
        <f t="shared" si="81"/>
        <v>17</v>
      </c>
      <c r="D560" s="16" t="str">
        <f>VLOOKUP(H560,'Names for Vlookup'!$B$26:$C$94,2,FALSE)</f>
        <v>Su Food (Mr. Choi)</v>
      </c>
      <c r="E560" s="16" t="str">
        <f>VLOOKUP(I560,'Names for Vlookup'!$B$8:$C$21,2,FALSE)</f>
        <v>Dried sliced deer velvet</v>
      </c>
      <c r="G560" s="16" t="str">
        <f>VLOOKUP(L560,'Names for Vlookup'!$B$101:$C$181,2,FALSE)</f>
        <v>New Zealand</v>
      </c>
      <c r="H560" s="16" t="s">
        <v>686</v>
      </c>
      <c r="I560" s="16" t="s">
        <v>715</v>
      </c>
      <c r="J560" s="16" t="s">
        <v>716</v>
      </c>
      <c r="L560" s="16" t="s">
        <v>260</v>
      </c>
      <c r="M560" s="26" t="s">
        <v>717</v>
      </c>
    </row>
    <row r="561" spans="1:16" ht="14" x14ac:dyDescent="0.2">
      <c r="A561" s="13">
        <f t="shared" si="79"/>
        <v>2016</v>
      </c>
      <c r="B561" s="13" t="str">
        <f t="shared" si="80"/>
        <v>11</v>
      </c>
      <c r="C561" s="13" t="str">
        <f t="shared" si="81"/>
        <v>16</v>
      </c>
      <c r="D561" s="16" t="str">
        <f>VLOOKUP(H561,'Names for Vlookup'!$B$26:$C$94,2,FALSE)</f>
        <v>Su Food (Mr. Choi)</v>
      </c>
      <c r="E561" s="16" t="str">
        <f>VLOOKUP(I561,'Names for Vlookup'!$B$8:$C$21,2,FALSE)</f>
        <v>Deer velvet (dried)</v>
      </c>
      <c r="G561" s="16" t="str">
        <f>VLOOKUP(L561,'Names for Vlookup'!$B$101:$C$181,2,FALSE)</f>
        <v>New Zealand</v>
      </c>
      <c r="H561" s="16" t="s">
        <v>686</v>
      </c>
      <c r="I561" s="16" t="s">
        <v>512</v>
      </c>
      <c r="J561" s="16" t="s">
        <v>70</v>
      </c>
      <c r="L561" s="16" t="s">
        <v>97</v>
      </c>
      <c r="M561" s="26" t="s">
        <v>718</v>
      </c>
    </row>
    <row r="562" spans="1:16" ht="14" x14ac:dyDescent="0.2">
      <c r="A562" s="13">
        <f t="shared" si="79"/>
        <v>2016</v>
      </c>
      <c r="B562" s="13" t="str">
        <f t="shared" si="80"/>
        <v>11</v>
      </c>
      <c r="C562" s="13" t="str">
        <f t="shared" si="81"/>
        <v>11</v>
      </c>
      <c r="D562" s="16" t="str">
        <f>VLOOKUP(H562,'Names for Vlookup'!$B$26:$C$94,2,FALSE)</f>
        <v>KGC</v>
      </c>
      <c r="E562" s="16" t="str">
        <f>VLOOKUP(I562,'Names for Vlookup'!$B$8:$C$21,2,FALSE)</f>
        <v>Deer velvet (dried)</v>
      </c>
      <c r="G562" s="16" t="str">
        <f>VLOOKUP(L562,'Names for Vlookup'!$B$101:$C$181,2,FALSE)</f>
        <v>New Zealand</v>
      </c>
      <c r="H562" s="16" t="s">
        <v>480</v>
      </c>
      <c r="I562" s="16" t="s">
        <v>512</v>
      </c>
      <c r="J562" s="16" t="s">
        <v>70</v>
      </c>
      <c r="L562" s="16" t="s">
        <v>250</v>
      </c>
      <c r="M562" s="26" t="s">
        <v>719</v>
      </c>
    </row>
    <row r="563" spans="1:16" ht="14" x14ac:dyDescent="0.2">
      <c r="A563" s="13">
        <f t="shared" si="79"/>
        <v>2016</v>
      </c>
      <c r="B563" s="13" t="str">
        <f t="shared" si="80"/>
        <v>11</v>
      </c>
      <c r="C563" s="13" t="str">
        <f t="shared" si="81"/>
        <v>11</v>
      </c>
      <c r="D563" s="16" t="str">
        <f>VLOOKUP(H563,'Names for Vlookup'!$B$26:$C$94,2,FALSE)</f>
        <v>KGC</v>
      </c>
      <c r="E563" s="16" t="str">
        <f>VLOOKUP(I563,'Names for Vlookup'!$B$8:$C$21,2,FALSE)</f>
        <v>Deer velvet (dried)</v>
      </c>
      <c r="G563" s="16" t="str">
        <f>VLOOKUP(L563,'Names for Vlookup'!$B$101:$C$181,2,FALSE)</f>
        <v>New Zealand</v>
      </c>
      <c r="H563" s="16" t="s">
        <v>480</v>
      </c>
      <c r="I563" s="16" t="s">
        <v>512</v>
      </c>
      <c r="J563" s="16" t="s">
        <v>70</v>
      </c>
      <c r="L563" s="16" t="s">
        <v>279</v>
      </c>
      <c r="M563" s="26" t="s">
        <v>719</v>
      </c>
    </row>
    <row r="564" spans="1:16" ht="14" x14ac:dyDescent="0.2">
      <c r="A564" s="13">
        <f t="shared" si="79"/>
        <v>2016</v>
      </c>
      <c r="B564" s="13" t="str">
        <f t="shared" si="80"/>
        <v>10</v>
      </c>
      <c r="C564" s="13" t="str">
        <f t="shared" si="81"/>
        <v>26</v>
      </c>
      <c r="D564" s="16" t="str">
        <f>VLOOKUP(H564,'Names for Vlookup'!$B$26:$C$94,2,FALSE)</f>
        <v>Ilseong Food</v>
      </c>
      <c r="E564" s="16" t="str">
        <f>VLOOKUP(I564,'Names for Vlookup'!$B$8:$C$21,2,FALSE)</f>
        <v>Deer velvet</v>
      </c>
      <c r="G564" s="16" t="str">
        <f>VLOOKUP(L564,'Names for Vlookup'!$B$101:$C$181,2,FALSE)</f>
        <v>Russia</v>
      </c>
      <c r="H564" s="16" t="s">
        <v>335</v>
      </c>
      <c r="I564" s="16" t="s">
        <v>62</v>
      </c>
      <c r="J564" s="16" t="s">
        <v>63</v>
      </c>
      <c r="L564" s="16" t="s">
        <v>212</v>
      </c>
      <c r="M564" s="26" t="s">
        <v>720</v>
      </c>
    </row>
    <row r="565" spans="1:16" ht="14" x14ac:dyDescent="0.2">
      <c r="A565" s="13">
        <f t="shared" si="79"/>
        <v>2016</v>
      </c>
      <c r="B565" s="13" t="str">
        <f t="shared" si="80"/>
        <v>10</v>
      </c>
      <c r="C565" s="13" t="str">
        <f t="shared" si="81"/>
        <v>26</v>
      </c>
      <c r="D565" s="16" t="str">
        <f>VLOOKUP(H565,'Names for Vlookup'!$B$26:$C$94,2,FALSE)</f>
        <v>KGC</v>
      </c>
      <c r="E565" s="16" t="str">
        <f>VLOOKUP(I565,'Names for Vlookup'!$B$8:$C$21,2,FALSE)</f>
        <v>Deer velvet (dried)</v>
      </c>
      <c r="G565" s="16" t="str">
        <f>VLOOKUP(L565,'Names for Vlookup'!$B$101:$C$181,2,FALSE)</f>
        <v>New Zealand</v>
      </c>
      <c r="H565" s="16" t="s">
        <v>480</v>
      </c>
      <c r="I565" s="16" t="s">
        <v>512</v>
      </c>
      <c r="J565" s="16" t="s">
        <v>70</v>
      </c>
      <c r="L565" s="16" t="s">
        <v>250</v>
      </c>
      <c r="M565" s="26" t="s">
        <v>720</v>
      </c>
    </row>
    <row r="566" spans="1:16" ht="14" x14ac:dyDescent="0.2">
      <c r="A566" s="13">
        <f t="shared" si="79"/>
        <v>2016</v>
      </c>
      <c r="B566" s="13" t="str">
        <f t="shared" si="80"/>
        <v>10</v>
      </c>
      <c r="C566" s="13" t="str">
        <f t="shared" si="81"/>
        <v>17</v>
      </c>
      <c r="D566" s="16" t="str">
        <f>VLOOKUP(H566,'Names for Vlookup'!$B$26:$C$94,2,FALSE)</f>
        <v>KNC Deertrade</v>
      </c>
      <c r="E566" s="16" t="str">
        <f>VLOOKUP(I566,'Names for Vlookup'!$B$8:$C$21,2,FALSE)</f>
        <v>Deer velvet (dried)</v>
      </c>
      <c r="G566" s="16" t="str">
        <f>VLOOKUP(L566,'Names for Vlookup'!$B$101:$C$181,2,FALSE)</f>
        <v>Russia</v>
      </c>
      <c r="H566" s="16" t="s">
        <v>75</v>
      </c>
      <c r="I566" s="16" t="s">
        <v>512</v>
      </c>
      <c r="J566" s="16" t="s">
        <v>200</v>
      </c>
      <c r="L566" s="16" t="s">
        <v>721</v>
      </c>
      <c r="M566" s="26" t="s">
        <v>722</v>
      </c>
    </row>
    <row r="567" spans="1:16" ht="14" x14ac:dyDescent="0.2">
      <c r="A567" s="13">
        <f t="shared" si="79"/>
        <v>2016</v>
      </c>
      <c r="B567" s="13" t="str">
        <f t="shared" si="80"/>
        <v>10</v>
      </c>
      <c r="C567" s="13" t="str">
        <f t="shared" si="81"/>
        <v>17</v>
      </c>
      <c r="D567" s="16" t="str">
        <f>VLOOKUP(H567,'Names for Vlookup'!$B$26:$C$94,2,FALSE)</f>
        <v>Taeahn (Mr. Ahn)</v>
      </c>
      <c r="E567" s="16" t="str">
        <f>VLOOKUP(I567,'Names for Vlookup'!$B$8:$C$21,2,FALSE)</f>
        <v>Deer velvet (dried)</v>
      </c>
      <c r="G567" s="16" t="str">
        <f>VLOOKUP(L567,'Names for Vlookup'!$B$101:$C$181,2,FALSE)</f>
        <v>New Zealand</v>
      </c>
      <c r="H567" s="16" t="s">
        <v>151</v>
      </c>
      <c r="I567" s="16" t="s">
        <v>512</v>
      </c>
      <c r="J567" s="16" t="s">
        <v>643</v>
      </c>
      <c r="L567" s="16" t="s">
        <v>279</v>
      </c>
      <c r="M567" s="26" t="s">
        <v>722</v>
      </c>
    </row>
    <row r="568" spans="1:16" ht="14" x14ac:dyDescent="0.2">
      <c r="A568" s="13">
        <f t="shared" si="79"/>
        <v>2016</v>
      </c>
      <c r="B568" s="13" t="str">
        <f t="shared" si="80"/>
        <v>10</v>
      </c>
      <c r="C568" s="13" t="str">
        <f t="shared" si="81"/>
        <v>11</v>
      </c>
      <c r="D568" s="16" t="str">
        <f>VLOOKUP(H568,'Names for Vlookup'!$B$26:$C$94,2,FALSE)</f>
        <v>DaeWon RTD</v>
      </c>
      <c r="E568" s="16" t="str">
        <f>VLOOKUP(I568,'Names for Vlookup'!$B$8:$C$21,2,FALSE)</f>
        <v>Deer velvet (dried)</v>
      </c>
      <c r="G568" s="16" t="str">
        <f>VLOOKUP(L568,'Names for Vlookup'!$B$101:$C$181,2,FALSE)</f>
        <v>Russia</v>
      </c>
      <c r="H568" s="16" t="s">
        <v>102</v>
      </c>
      <c r="I568" s="16" t="s">
        <v>512</v>
      </c>
      <c r="J568" s="16" t="s">
        <v>200</v>
      </c>
      <c r="L568" s="16" t="s">
        <v>649</v>
      </c>
      <c r="M568" s="26" t="s">
        <v>723</v>
      </c>
    </row>
    <row r="569" spans="1:16" ht="14" x14ac:dyDescent="0.2">
      <c r="A569" s="13">
        <f t="shared" si="79"/>
        <v>2016</v>
      </c>
      <c r="B569" s="13" t="str">
        <f t="shared" si="80"/>
        <v>10</v>
      </c>
      <c r="C569" s="13" t="str">
        <f t="shared" si="81"/>
        <v>10</v>
      </c>
      <c r="D569" s="16" t="str">
        <f>VLOOKUP(H569,'Names for Vlookup'!$B$26:$C$94,2,FALSE)</f>
        <v xml:space="preserve">JoEun Pharm </v>
      </c>
      <c r="E569" s="16" t="str">
        <f>VLOOKUP(I569,'Names for Vlookup'!$B$8:$C$21,2,FALSE)</f>
        <v>Hard antlers</v>
      </c>
      <c r="G569" s="16" t="str">
        <f>VLOOKUP(L569,'Names for Vlookup'!$B$101:$C$181,2,FALSE)</f>
        <v>Kazakhstan</v>
      </c>
      <c r="H569" s="16" t="s">
        <v>99</v>
      </c>
      <c r="I569" s="16" t="s">
        <v>657</v>
      </c>
      <c r="J569" s="16" t="s">
        <v>724</v>
      </c>
      <c r="L569" s="16" t="s">
        <v>725</v>
      </c>
      <c r="M569" s="26" t="s">
        <v>726</v>
      </c>
    </row>
    <row r="570" spans="1:16" s="13" customFormat="1" ht="14" x14ac:dyDescent="0.2">
      <c r="A570" s="13">
        <f t="shared" si="79"/>
        <v>2016</v>
      </c>
      <c r="B570" s="13" t="str">
        <f t="shared" si="80"/>
        <v>09</v>
      </c>
      <c r="C570" s="13" t="str">
        <f t="shared" si="81"/>
        <v>28</v>
      </c>
      <c r="D570" s="16" t="str">
        <f>VLOOKUP(H570,'Names for Vlookup'!$B$26:$C$94,2,FALSE)</f>
        <v>HanKook Herb</v>
      </c>
      <c r="E570" s="16" t="str">
        <f>VLOOKUP(I570,'Names for Vlookup'!$B$8:$C$21,2,FALSE)</f>
        <v>Deer velvet (dried)</v>
      </c>
      <c r="F570" s="16"/>
      <c r="G570" s="16" t="str">
        <f>VLOOKUP(L570,'Names for Vlookup'!$B$101:$C$181,2,FALSE)</f>
        <v>New Zealand</v>
      </c>
      <c r="H570" s="16" t="s">
        <v>702</v>
      </c>
      <c r="I570" s="16" t="s">
        <v>512</v>
      </c>
      <c r="J570" s="16" t="s">
        <v>345</v>
      </c>
      <c r="K570" s="16"/>
      <c r="L570" s="16" t="s">
        <v>203</v>
      </c>
      <c r="M570" s="26" t="s">
        <v>727</v>
      </c>
      <c r="O570" s="16"/>
      <c r="P570" s="16"/>
    </row>
    <row r="571" spans="1:16" s="13" customFormat="1" ht="14" x14ac:dyDescent="0.2">
      <c r="A571" s="13">
        <f t="shared" si="79"/>
        <v>2016</v>
      </c>
      <c r="B571" s="13" t="str">
        <f t="shared" si="80"/>
        <v>09</v>
      </c>
      <c r="C571" s="13" t="str">
        <f t="shared" si="81"/>
        <v>07</v>
      </c>
      <c r="D571" s="16" t="str">
        <f>VLOOKUP(H571,'Names for Vlookup'!$B$26:$C$94,2,FALSE)</f>
        <v>YongBo (Mr. Woljin Kim)</v>
      </c>
      <c r="E571" s="16" t="str">
        <f>VLOOKUP(I571,'Names for Vlookup'!$B$8:$C$21,2,FALSE)</f>
        <v>Deer velvet (dried)</v>
      </c>
      <c r="F571" s="16"/>
      <c r="G571" s="16" t="str">
        <f>VLOOKUP(L571,'Names for Vlookup'!$B$101:$C$181,2,FALSE)</f>
        <v>New Zealand</v>
      </c>
      <c r="H571" s="16" t="s">
        <v>98</v>
      </c>
      <c r="I571" s="16" t="s">
        <v>512</v>
      </c>
      <c r="J571" s="16" t="s">
        <v>643</v>
      </c>
      <c r="K571" s="16"/>
      <c r="L571" s="16" t="s">
        <v>279</v>
      </c>
      <c r="M571" s="26" t="s">
        <v>728</v>
      </c>
      <c r="O571" s="16"/>
      <c r="P571" s="16"/>
    </row>
    <row r="572" spans="1:16" s="13" customFormat="1" ht="14" x14ac:dyDescent="0.2">
      <c r="A572" s="13">
        <f t="shared" si="79"/>
        <v>2016</v>
      </c>
      <c r="B572" s="13" t="str">
        <f t="shared" si="80"/>
        <v>08</v>
      </c>
      <c r="C572" s="13" t="str">
        <f t="shared" si="81"/>
        <v>05</v>
      </c>
      <c r="D572" s="16" t="str">
        <f>VLOOKUP(H572,'Names for Vlookup'!$B$26:$C$94,2,FALSE)</f>
        <v>KGC</v>
      </c>
      <c r="E572" s="16" t="str">
        <f>VLOOKUP(I572,'Names for Vlookup'!$B$8:$C$21,2,FALSE)</f>
        <v>Deer velvet (dried)</v>
      </c>
      <c r="F572" s="16"/>
      <c r="G572" s="16" t="str">
        <f>VLOOKUP(L572,'Names for Vlookup'!$B$101:$C$181,2,FALSE)</f>
        <v>New Zealand</v>
      </c>
      <c r="H572" s="16" t="s">
        <v>90</v>
      </c>
      <c r="I572" s="16" t="s">
        <v>512</v>
      </c>
      <c r="J572" s="16" t="s">
        <v>70</v>
      </c>
      <c r="K572" s="16"/>
      <c r="L572" s="16" t="s">
        <v>250</v>
      </c>
      <c r="M572" s="26" t="s">
        <v>729</v>
      </c>
      <c r="O572" s="16"/>
      <c r="P572" s="16"/>
    </row>
    <row r="573" spans="1:16" s="13" customFormat="1" ht="14" x14ac:dyDescent="0.2">
      <c r="A573" s="13">
        <f t="shared" si="79"/>
        <v>2016</v>
      </c>
      <c r="B573" s="13" t="str">
        <f t="shared" si="80"/>
        <v>08</v>
      </c>
      <c r="C573" s="13" t="str">
        <f t="shared" si="81"/>
        <v>01</v>
      </c>
      <c r="D573" s="16" t="str">
        <f>VLOOKUP(H573,'Names for Vlookup'!$B$26:$C$94,2,FALSE)</f>
        <v>SamBo (Mr. Kang in Busan)</v>
      </c>
      <c r="E573" s="16" t="str">
        <f>VLOOKUP(I573,'Names for Vlookup'!$B$8:$C$21,2,FALSE)</f>
        <v>Dried sliced deer velvet - Sangdae</v>
      </c>
      <c r="F573" s="16"/>
      <c r="G573" s="16" t="str">
        <f>VLOOKUP(L573,'Names for Vlookup'!$B$101:$C$181,2,FALSE)</f>
        <v>New Zealand</v>
      </c>
      <c r="H573" s="16" t="s">
        <v>344</v>
      </c>
      <c r="I573" s="16" t="s">
        <v>730</v>
      </c>
      <c r="J573" s="16" t="s">
        <v>731</v>
      </c>
      <c r="K573" s="16"/>
      <c r="L573" s="16" t="s">
        <v>203</v>
      </c>
      <c r="M573" s="26" t="s">
        <v>732</v>
      </c>
      <c r="O573" s="16"/>
      <c r="P573" s="16"/>
    </row>
    <row r="574" spans="1:16" s="13" customFormat="1" ht="14" x14ac:dyDescent="0.2">
      <c r="A574" s="13">
        <f t="shared" si="79"/>
        <v>2016</v>
      </c>
      <c r="B574" s="13" t="str">
        <f t="shared" si="80"/>
        <v>07</v>
      </c>
      <c r="C574" s="13" t="str">
        <f t="shared" si="81"/>
        <v>27</v>
      </c>
      <c r="D574" s="16" t="str">
        <f>VLOOKUP(H574,'Names for Vlookup'!$B$26:$C$94,2,FALSE)</f>
        <v>Su Food (Mr. Choi)</v>
      </c>
      <c r="E574" s="16" t="str">
        <f>VLOOKUP(I574,'Names for Vlookup'!$B$8:$C$21,2,FALSE)</f>
        <v>Deer velvet (frozen)</v>
      </c>
      <c r="F574" s="16"/>
      <c r="G574" s="16" t="str">
        <f>VLOOKUP(L574,'Names for Vlookup'!$B$101:$C$181,2,FALSE)</f>
        <v>New Zealand</v>
      </c>
      <c r="H574" s="16" t="s">
        <v>686</v>
      </c>
      <c r="I574" s="16" t="s">
        <v>76</v>
      </c>
      <c r="J574" s="16" t="s">
        <v>73</v>
      </c>
      <c r="K574" s="16"/>
      <c r="L574" s="16" t="s">
        <v>260</v>
      </c>
      <c r="M574" s="26" t="s">
        <v>733</v>
      </c>
      <c r="O574" s="16"/>
      <c r="P574" s="16"/>
    </row>
    <row r="575" spans="1:16" ht="14" x14ac:dyDescent="0.2">
      <c r="A575" s="13">
        <f t="shared" si="79"/>
        <v>2016</v>
      </c>
      <c r="B575" s="13" t="str">
        <f t="shared" si="80"/>
        <v>07</v>
      </c>
      <c r="C575" s="13" t="str">
        <f t="shared" si="81"/>
        <v>21</v>
      </c>
      <c r="D575" s="16" t="str">
        <f>VLOOKUP(H575,'Names for Vlookup'!$B$26:$C$94,2,FALSE)</f>
        <v>SangNok Pharm.</v>
      </c>
      <c r="E575" s="16" t="str">
        <f>VLOOKUP(I575,'Names for Vlookup'!$B$8:$C$21,2,FALSE)</f>
        <v>Hard antlers</v>
      </c>
      <c r="G575" s="16" t="str">
        <f>VLOOKUP(L575,'Names for Vlookup'!$B$101:$C$181,2,FALSE)</f>
        <v>China ,Hong Kong</v>
      </c>
      <c r="H575" s="16" t="s">
        <v>734</v>
      </c>
      <c r="I575" s="16" t="s">
        <v>657</v>
      </c>
      <c r="J575" s="16" t="s">
        <v>735</v>
      </c>
      <c r="L575" s="16" t="s">
        <v>736</v>
      </c>
      <c r="M575" s="26" t="s">
        <v>737</v>
      </c>
    </row>
    <row r="576" spans="1:16" ht="14" x14ac:dyDescent="0.2">
      <c r="A576" s="13">
        <f t="shared" si="79"/>
        <v>2016</v>
      </c>
      <c r="B576" s="13" t="str">
        <f t="shared" si="80"/>
        <v>07</v>
      </c>
      <c r="C576" s="13" t="str">
        <f t="shared" si="81"/>
        <v>05</v>
      </c>
      <c r="D576" s="16" t="str">
        <f>VLOOKUP(H576,'Names for Vlookup'!$B$26:$C$94,2,FALSE)</f>
        <v>Taeahn (Mr. Ahn)</v>
      </c>
      <c r="E576" s="16" t="str">
        <f>VLOOKUP(I576,'Names for Vlookup'!$B$8:$C$21,2,FALSE)</f>
        <v>Deer velvet (dried)</v>
      </c>
      <c r="G576" s="16" t="str">
        <f>VLOOKUP(L576,'Names for Vlookup'!$B$101:$C$181,2,FALSE)</f>
        <v>New Zealand</v>
      </c>
      <c r="H576" s="16" t="s">
        <v>151</v>
      </c>
      <c r="I576" s="16" t="s">
        <v>512</v>
      </c>
      <c r="J576" s="16" t="s">
        <v>643</v>
      </c>
      <c r="L576" s="16" t="s">
        <v>279</v>
      </c>
      <c r="M576" s="26" t="s">
        <v>738</v>
      </c>
    </row>
    <row r="577" spans="1:13" ht="14" x14ac:dyDescent="0.2">
      <c r="A577" s="13">
        <f t="shared" si="79"/>
        <v>2016</v>
      </c>
      <c r="B577" s="13" t="str">
        <f t="shared" si="80"/>
        <v>07</v>
      </c>
      <c r="C577" s="13" t="str">
        <f t="shared" si="81"/>
        <v>04</v>
      </c>
      <c r="D577" s="16" t="str">
        <f>VLOOKUP(H577,'Names for Vlookup'!$B$26:$C$94,2,FALSE)</f>
        <v>Baikal Herb</v>
      </c>
      <c r="E577" s="16" t="str">
        <f>VLOOKUP(I577,'Names for Vlookup'!$B$8:$C$21,2,FALSE)</f>
        <v>Hard antlers</v>
      </c>
      <c r="G577" s="16" t="str">
        <f>VLOOKUP(L577,'Names for Vlookup'!$B$101:$C$181,2,FALSE)</f>
        <v>Russia</v>
      </c>
      <c r="H577" s="16" t="s">
        <v>706</v>
      </c>
      <c r="I577" s="16" t="s">
        <v>657</v>
      </c>
      <c r="J577" s="16" t="s">
        <v>707</v>
      </c>
      <c r="L577" s="16" t="s">
        <v>708</v>
      </c>
      <c r="M577" s="26" t="s">
        <v>739</v>
      </c>
    </row>
    <row r="578" spans="1:13" ht="14" x14ac:dyDescent="0.2">
      <c r="A578" s="13">
        <f t="shared" si="79"/>
        <v>2016</v>
      </c>
      <c r="B578" s="13" t="str">
        <f t="shared" si="80"/>
        <v>06</v>
      </c>
      <c r="C578" s="13" t="str">
        <f t="shared" si="81"/>
        <v>29</v>
      </c>
      <c r="D578" s="16" t="str">
        <f>VLOOKUP(H578,'Names for Vlookup'!$B$26:$C$94,2,FALSE)</f>
        <v>Handong Herb</v>
      </c>
      <c r="E578" s="16" t="str">
        <f>VLOOKUP(I578,'Names for Vlookup'!$B$8:$C$21,2,FALSE)</f>
        <v>Deer velvet (frozen)</v>
      </c>
      <c r="G578" s="16" t="str">
        <f>VLOOKUP(L578,'Names for Vlookup'!$B$101:$C$181,2,FALSE)</f>
        <v>New Zealand</v>
      </c>
      <c r="H578" s="16" t="s">
        <v>526</v>
      </c>
      <c r="I578" s="16" t="s">
        <v>76</v>
      </c>
      <c r="J578" s="16" t="s">
        <v>560</v>
      </c>
      <c r="L578" s="16" t="s">
        <v>250</v>
      </c>
      <c r="M578" s="26" t="s">
        <v>740</v>
      </c>
    </row>
    <row r="579" spans="1:13" ht="14" x14ac:dyDescent="0.2">
      <c r="A579" s="13">
        <f t="shared" si="79"/>
        <v>2016</v>
      </c>
      <c r="B579" s="13" t="str">
        <f t="shared" si="80"/>
        <v>06</v>
      </c>
      <c r="C579" s="13" t="str">
        <f t="shared" si="81"/>
        <v>28</v>
      </c>
      <c r="D579" s="16" t="str">
        <f>VLOOKUP(H579,'Names for Vlookup'!$B$26:$C$94,2,FALSE)</f>
        <v>MyungGa (Mr.Lee in Daegu)</v>
      </c>
      <c r="E579" s="16" t="str">
        <f>VLOOKUP(I579,'Names for Vlookup'!$B$8:$C$21,2,FALSE)</f>
        <v>Deer velvet</v>
      </c>
      <c r="G579" s="16" t="str">
        <f>VLOOKUP(L579,'Names for Vlookup'!$B$101:$C$181,2,FALSE)</f>
        <v>New Zealand</v>
      </c>
      <c r="H579" s="16" t="s">
        <v>208</v>
      </c>
      <c r="I579" s="16" t="s">
        <v>62</v>
      </c>
      <c r="J579" s="16" t="s">
        <v>63</v>
      </c>
      <c r="L579" s="16" t="s">
        <v>493</v>
      </c>
      <c r="M579" s="26" t="s">
        <v>741</v>
      </c>
    </row>
    <row r="580" spans="1:13" ht="14" x14ac:dyDescent="0.2">
      <c r="A580" s="13">
        <f t="shared" si="79"/>
        <v>2016</v>
      </c>
      <c r="B580" s="13" t="str">
        <f t="shared" si="80"/>
        <v>06</v>
      </c>
      <c r="C580" s="13" t="str">
        <f t="shared" si="81"/>
        <v>24</v>
      </c>
      <c r="D580" s="16" t="str">
        <f>VLOOKUP(H580,'Names for Vlookup'!$B$26:$C$94,2,FALSE)</f>
        <v>JooShin Pharm</v>
      </c>
      <c r="E580" s="16" t="str">
        <f>VLOOKUP(I580,'Names for Vlookup'!$B$8:$C$21,2,FALSE)</f>
        <v>Hard antlers</v>
      </c>
      <c r="G580" s="16" t="str">
        <f>VLOOKUP(L580,'Names for Vlookup'!$B$101:$C$181,2,FALSE)</f>
        <v>China ,Hong Kong</v>
      </c>
      <c r="H580" s="16" t="s">
        <v>667</v>
      </c>
      <c r="I580" s="16" t="s">
        <v>657</v>
      </c>
      <c r="J580" s="16" t="s">
        <v>742</v>
      </c>
      <c r="L580" s="16" t="s">
        <v>736</v>
      </c>
      <c r="M580" s="26" t="s">
        <v>743</v>
      </c>
    </row>
    <row r="581" spans="1:13" ht="14" x14ac:dyDescent="0.2">
      <c r="A581" s="13">
        <f t="shared" si="79"/>
        <v>2016</v>
      </c>
      <c r="B581" s="13" t="str">
        <f t="shared" si="80"/>
        <v>06</v>
      </c>
      <c r="C581" s="13" t="str">
        <f t="shared" si="81"/>
        <v>21</v>
      </c>
      <c r="D581" s="16" t="str">
        <f>VLOOKUP(H581,'Names for Vlookup'!$B$26:$C$94,2,FALSE)</f>
        <v>Su Food (Mr. Choi)</v>
      </c>
      <c r="E581" s="16" t="str">
        <f>VLOOKUP(I581,'Names for Vlookup'!$B$8:$C$21,2,FALSE)</f>
        <v>Deer velvet (frozen)</v>
      </c>
      <c r="G581" s="16" t="str">
        <f>VLOOKUP(L581,'Names for Vlookup'!$B$101:$C$181,2,FALSE)</f>
        <v>New Zealand</v>
      </c>
      <c r="H581" s="16" t="s">
        <v>686</v>
      </c>
      <c r="I581" s="16" t="s">
        <v>76</v>
      </c>
      <c r="J581" s="16" t="s">
        <v>73</v>
      </c>
      <c r="L581" s="16" t="s">
        <v>260</v>
      </c>
      <c r="M581" s="26" t="s">
        <v>744</v>
      </c>
    </row>
    <row r="582" spans="1:13" ht="14" x14ac:dyDescent="0.2">
      <c r="A582" s="13">
        <f t="shared" si="79"/>
        <v>2016</v>
      </c>
      <c r="B582" s="13" t="str">
        <f t="shared" si="80"/>
        <v>06</v>
      </c>
      <c r="C582" s="13" t="str">
        <f t="shared" si="81"/>
        <v>20</v>
      </c>
      <c r="D582" s="16" t="str">
        <f>VLOOKUP(H582,'Names for Vlookup'!$B$26:$C$94,2,FALSE)</f>
        <v>KGC</v>
      </c>
      <c r="E582" s="16" t="str">
        <f>VLOOKUP(I582,'Names for Vlookup'!$B$8:$C$21,2,FALSE)</f>
        <v>Deer velvet (dried)</v>
      </c>
      <c r="G582" s="16" t="str">
        <f>VLOOKUP(L582,'Names for Vlookup'!$B$101:$C$181,2,FALSE)</f>
        <v>New Zealand</v>
      </c>
      <c r="H582" s="16" t="s">
        <v>90</v>
      </c>
      <c r="I582" s="16" t="s">
        <v>512</v>
      </c>
      <c r="J582" s="16" t="s">
        <v>70</v>
      </c>
      <c r="L582" s="16" t="s">
        <v>250</v>
      </c>
      <c r="M582" s="26" t="s">
        <v>745</v>
      </c>
    </row>
    <row r="583" spans="1:13" ht="14" x14ac:dyDescent="0.2">
      <c r="A583" s="13">
        <f t="shared" si="79"/>
        <v>2016</v>
      </c>
      <c r="B583" s="13" t="str">
        <f t="shared" si="80"/>
        <v>06</v>
      </c>
      <c r="C583" s="13" t="str">
        <f t="shared" si="81"/>
        <v>20</v>
      </c>
      <c r="D583" s="16" t="str">
        <f>VLOOKUP(H583,'Names for Vlookup'!$B$26:$C$94,2,FALSE)</f>
        <v>Su Food (Mr. Choi)</v>
      </c>
      <c r="E583" s="16" t="str">
        <f>VLOOKUP(I583,'Names for Vlookup'!$B$8:$C$21,2,FALSE)</f>
        <v>Deer velvet (dried)</v>
      </c>
      <c r="G583" s="16" t="str">
        <f>VLOOKUP(L583,'Names for Vlookup'!$B$101:$C$181,2,FALSE)</f>
        <v>New Zealand</v>
      </c>
      <c r="H583" s="16" t="s">
        <v>686</v>
      </c>
      <c r="I583" s="16" t="s">
        <v>512</v>
      </c>
      <c r="J583" s="16" t="s">
        <v>70</v>
      </c>
      <c r="L583" s="16" t="s">
        <v>260</v>
      </c>
      <c r="M583" s="26" t="s">
        <v>745</v>
      </c>
    </row>
    <row r="584" spans="1:13" ht="14" x14ac:dyDescent="0.2">
      <c r="A584" s="13">
        <f t="shared" si="79"/>
        <v>2016</v>
      </c>
      <c r="B584" s="13" t="str">
        <f t="shared" si="80"/>
        <v>06</v>
      </c>
      <c r="C584" s="13" t="str">
        <f t="shared" si="81"/>
        <v>15</v>
      </c>
      <c r="D584" s="16" t="str">
        <f>VLOOKUP(H584,'Names for Vlookup'!$B$26:$C$94,2,FALSE)</f>
        <v>Su Food (Mr. Choi)</v>
      </c>
      <c r="E584" s="16" t="str">
        <f>VLOOKUP(I584,'Names for Vlookup'!$B$8:$C$21,2,FALSE)</f>
        <v>Deer velvet (frozen)</v>
      </c>
      <c r="G584" s="16" t="str">
        <f>VLOOKUP(L584,'Names for Vlookup'!$B$101:$C$181,2,FALSE)</f>
        <v>New Zealand</v>
      </c>
      <c r="H584" s="16" t="s">
        <v>686</v>
      </c>
      <c r="I584" s="16" t="s">
        <v>76</v>
      </c>
      <c r="J584" s="16" t="s">
        <v>73</v>
      </c>
      <c r="L584" s="16" t="s">
        <v>260</v>
      </c>
      <c r="M584" s="26" t="s">
        <v>746</v>
      </c>
    </row>
    <row r="585" spans="1:13" ht="14" x14ac:dyDescent="0.2">
      <c r="A585" s="13">
        <f t="shared" si="79"/>
        <v>2016</v>
      </c>
      <c r="B585" s="13" t="str">
        <f t="shared" si="80"/>
        <v>05</v>
      </c>
      <c r="C585" s="13" t="str">
        <f t="shared" si="81"/>
        <v>27</v>
      </c>
      <c r="D585" s="16" t="str">
        <f>VLOOKUP(H585,'Names for Vlookup'!$B$26:$C$94,2,FALSE)</f>
        <v>KGC</v>
      </c>
      <c r="E585" s="16" t="str">
        <f>VLOOKUP(I585,'Names for Vlookup'!$B$8:$C$21,2,FALSE)</f>
        <v>Deer velvet</v>
      </c>
      <c r="G585" s="16" t="str">
        <f>VLOOKUP(L585,'Names for Vlookup'!$B$101:$C$181,2,FALSE)</f>
        <v>New Zealand</v>
      </c>
      <c r="H585" s="16" t="s">
        <v>90</v>
      </c>
      <c r="I585" s="16" t="s">
        <v>62</v>
      </c>
      <c r="J585" s="16" t="s">
        <v>540</v>
      </c>
      <c r="L585" s="16" t="s">
        <v>260</v>
      </c>
      <c r="M585" s="26" t="s">
        <v>747</v>
      </c>
    </row>
    <row r="586" spans="1:13" ht="14" x14ac:dyDescent="0.2">
      <c r="A586" s="13">
        <f t="shared" si="79"/>
        <v>2016</v>
      </c>
      <c r="B586" s="13" t="str">
        <f t="shared" si="80"/>
        <v>05</v>
      </c>
      <c r="C586" s="13" t="str">
        <f t="shared" si="81"/>
        <v>26</v>
      </c>
      <c r="D586" s="16" t="str">
        <f>VLOOKUP(H586,'Names for Vlookup'!$B$26:$C$94,2,FALSE)</f>
        <v>KGC</v>
      </c>
      <c r="E586" s="16" t="str">
        <f>VLOOKUP(I586,'Names for Vlookup'!$B$8:$C$21,2,FALSE)</f>
        <v>Deer velvet (dried)</v>
      </c>
      <c r="G586" s="16" t="str">
        <f>VLOOKUP(L586,'Names for Vlookup'!$B$101:$C$181,2,FALSE)</f>
        <v>New Zealand</v>
      </c>
      <c r="H586" s="16" t="s">
        <v>90</v>
      </c>
      <c r="I586" s="16" t="s">
        <v>512</v>
      </c>
      <c r="J586" s="16" t="s">
        <v>540</v>
      </c>
      <c r="L586" s="16" t="s">
        <v>250</v>
      </c>
      <c r="M586" s="26" t="s">
        <v>748</v>
      </c>
    </row>
    <row r="587" spans="1:13" ht="14" x14ac:dyDescent="0.2">
      <c r="A587" s="13">
        <f t="shared" si="79"/>
        <v>2016</v>
      </c>
      <c r="B587" s="13" t="str">
        <f t="shared" si="80"/>
        <v>05</v>
      </c>
      <c r="C587" s="13" t="str">
        <f t="shared" si="81"/>
        <v>20</v>
      </c>
      <c r="D587" s="16" t="str">
        <f>VLOOKUP(H587,'Names for Vlookup'!$B$26:$C$94,2,FALSE)</f>
        <v>KVIE (Alex, HanPure)</v>
      </c>
      <c r="E587" s="16" t="str">
        <f>VLOOKUP(I587,'Names for Vlookup'!$B$8:$C$21,2,FALSE)</f>
        <v>Deer velvet</v>
      </c>
      <c r="G587" s="16" t="str">
        <f>VLOOKUP(L587,'Names for Vlookup'!$B$101:$C$181,2,FALSE)</f>
        <v>China</v>
      </c>
      <c r="H587" s="16" t="s">
        <v>430</v>
      </c>
      <c r="I587" s="16" t="s">
        <v>62</v>
      </c>
      <c r="J587" s="16" t="s">
        <v>63</v>
      </c>
      <c r="L587" s="16" t="s">
        <v>33</v>
      </c>
      <c r="M587" s="26" t="s">
        <v>749</v>
      </c>
    </row>
    <row r="588" spans="1:13" ht="14" x14ac:dyDescent="0.2">
      <c r="A588" s="13">
        <f t="shared" si="79"/>
        <v>2016</v>
      </c>
      <c r="B588" s="13" t="str">
        <f t="shared" si="80"/>
        <v>05</v>
      </c>
      <c r="C588" s="13" t="str">
        <f t="shared" si="81"/>
        <v>16</v>
      </c>
      <c r="D588" s="16" t="str">
        <f>VLOOKUP(H588,'Names for Vlookup'!$B$26:$C$94,2,FALSE)</f>
        <v>JooShin Pharm</v>
      </c>
      <c r="E588" s="16" t="str">
        <f>VLOOKUP(I588,'Names for Vlookup'!$B$8:$C$21,2,FALSE)</f>
        <v>Hard antlers</v>
      </c>
      <c r="G588" s="16" t="str">
        <f>VLOOKUP(L588,'Names for Vlookup'!$B$101:$C$181,2,FALSE)</f>
        <v>China ,Hong Kong</v>
      </c>
      <c r="H588" s="16" t="s">
        <v>667</v>
      </c>
      <c r="I588" s="16" t="s">
        <v>657</v>
      </c>
      <c r="J588" s="16" t="s">
        <v>742</v>
      </c>
      <c r="L588" s="16" t="s">
        <v>736</v>
      </c>
      <c r="M588" s="26" t="s">
        <v>750</v>
      </c>
    </row>
    <row r="589" spans="1:13" ht="14" x14ac:dyDescent="0.2">
      <c r="A589" s="13">
        <f t="shared" si="79"/>
        <v>2016</v>
      </c>
      <c r="B589" s="13" t="str">
        <f t="shared" si="80"/>
        <v>05</v>
      </c>
      <c r="C589" s="13" t="str">
        <f t="shared" si="81"/>
        <v>04</v>
      </c>
      <c r="D589" s="16" t="str">
        <f>VLOOKUP(H589,'Names for Vlookup'!$B$26:$C$94,2,FALSE)</f>
        <v>Su Food (Mr. Choi)</v>
      </c>
      <c r="E589" s="16" t="str">
        <f>VLOOKUP(I589,'Names for Vlookup'!$B$8:$C$21,2,FALSE)</f>
        <v>Deer velvet (frozen)</v>
      </c>
      <c r="G589" s="16" t="str">
        <f>VLOOKUP(L589,'Names for Vlookup'!$B$101:$C$181,2,FALSE)</f>
        <v>New Zealand</v>
      </c>
      <c r="H589" s="16" t="s">
        <v>686</v>
      </c>
      <c r="I589" s="16" t="s">
        <v>76</v>
      </c>
      <c r="J589" s="16" t="s">
        <v>73</v>
      </c>
      <c r="L589" s="16" t="s">
        <v>260</v>
      </c>
      <c r="M589" s="26" t="s">
        <v>751</v>
      </c>
    </row>
    <row r="590" spans="1:13" ht="14" x14ac:dyDescent="0.2">
      <c r="A590" s="13">
        <f t="shared" si="79"/>
        <v>2016</v>
      </c>
      <c r="B590" s="13" t="str">
        <f t="shared" si="80"/>
        <v>04</v>
      </c>
      <c r="C590" s="13" t="str">
        <f t="shared" si="81"/>
        <v>25</v>
      </c>
      <c r="D590" s="16" t="str">
        <f>VLOOKUP(H590,'Names for Vlookup'!$B$26:$C$94,2,FALSE)</f>
        <v>KGC</v>
      </c>
      <c r="E590" s="16" t="str">
        <f>VLOOKUP(I590,'Names for Vlookup'!$B$8:$C$21,2,FALSE)</f>
        <v>Deer velvet (dried)</v>
      </c>
      <c r="G590" s="16" t="str">
        <f>VLOOKUP(L590,'Names for Vlookup'!$B$101:$C$181,2,FALSE)</f>
        <v>New Zealand</v>
      </c>
      <c r="H590" s="16" t="s">
        <v>90</v>
      </c>
      <c r="I590" s="16" t="s">
        <v>512</v>
      </c>
      <c r="J590" s="16" t="s">
        <v>540</v>
      </c>
      <c r="L590" s="16" t="s">
        <v>260</v>
      </c>
      <c r="M590" s="26" t="s">
        <v>752</v>
      </c>
    </row>
    <row r="591" spans="1:13" ht="14" x14ac:dyDescent="0.2">
      <c r="A591" s="13">
        <f t="shared" si="79"/>
        <v>2016</v>
      </c>
      <c r="B591" s="13" t="str">
        <f t="shared" si="80"/>
        <v>04</v>
      </c>
      <c r="C591" s="13" t="str">
        <f t="shared" si="81"/>
        <v>15</v>
      </c>
      <c r="D591" s="16" t="str">
        <f>VLOOKUP(H591,'Names for Vlookup'!$B$26:$C$94,2,FALSE)</f>
        <v>Looce Masco</v>
      </c>
      <c r="E591" s="16" t="str">
        <f>VLOOKUP(I591,'Names for Vlookup'!$B$8:$C$21,2,FALSE)</f>
        <v>Deer velvet (dried)</v>
      </c>
      <c r="G591" s="16" t="str">
        <f>VLOOKUP(L591,'Names for Vlookup'!$B$101:$C$181,2,FALSE)</f>
        <v>Russia</v>
      </c>
      <c r="H591" s="16" t="s">
        <v>753</v>
      </c>
      <c r="I591" s="16" t="s">
        <v>512</v>
      </c>
      <c r="J591" s="16" t="s">
        <v>200</v>
      </c>
      <c r="L591" s="16" t="s">
        <v>754</v>
      </c>
      <c r="M591" s="26" t="s">
        <v>755</v>
      </c>
    </row>
    <row r="592" spans="1:13" ht="14" x14ac:dyDescent="0.2">
      <c r="A592" s="13">
        <f t="shared" ref="A592:A599" si="82">YEAR(M592)</f>
        <v>2016</v>
      </c>
      <c r="B592" s="13" t="str">
        <f t="shared" ref="B592:B599" si="83">TEXT(M592,"mm")</f>
        <v>04</v>
      </c>
      <c r="C592" s="13" t="str">
        <f t="shared" ref="C592:C599" si="84">TEXT(M592,"dd")</f>
        <v>15</v>
      </c>
      <c r="D592" s="16" t="str">
        <f>VLOOKUP(H592,'Names for Vlookup'!$B$26:$C$94,2,FALSE)</f>
        <v>KGC</v>
      </c>
      <c r="E592" s="16" t="str">
        <f>VLOOKUP(I592,'Names for Vlookup'!$B$8:$C$21,2,FALSE)</f>
        <v>Deer velvet (dried)</v>
      </c>
      <c r="G592" s="16" t="str">
        <f>VLOOKUP(L592,'Names for Vlookup'!$B$101:$C$181,2,FALSE)</f>
        <v>New Zealand</v>
      </c>
      <c r="H592" s="16" t="s">
        <v>90</v>
      </c>
      <c r="I592" s="16" t="s">
        <v>512</v>
      </c>
      <c r="J592" s="16" t="s">
        <v>540</v>
      </c>
      <c r="L592" s="16" t="s">
        <v>279</v>
      </c>
      <c r="M592" s="26" t="s">
        <v>755</v>
      </c>
    </row>
    <row r="593" spans="1:13" ht="14" x14ac:dyDescent="0.2">
      <c r="A593" s="13">
        <f t="shared" si="82"/>
        <v>2016</v>
      </c>
      <c r="B593" s="13" t="str">
        <f t="shared" si="83"/>
        <v>04</v>
      </c>
      <c r="C593" s="13" t="str">
        <f t="shared" si="84"/>
        <v>14</v>
      </c>
      <c r="D593" s="16" t="str">
        <f>VLOOKUP(H593,'Names for Vlookup'!$B$26:$C$94,2,FALSE)</f>
        <v>SeoHwa Pharm.</v>
      </c>
      <c r="E593" s="16" t="str">
        <f>VLOOKUP(I593,'Names for Vlookup'!$B$8:$C$21,2,FALSE)</f>
        <v>Deer velvet (dried)</v>
      </c>
      <c r="G593" s="16" t="str">
        <f>VLOOKUP(L593,'Names for Vlookup'!$B$101:$C$181,2,FALSE)</f>
        <v>Russia</v>
      </c>
      <c r="H593" s="16" t="s">
        <v>656</v>
      </c>
      <c r="I593" s="16" t="s">
        <v>512</v>
      </c>
      <c r="J593" s="16" t="s">
        <v>756</v>
      </c>
      <c r="L593" s="16" t="s">
        <v>757</v>
      </c>
      <c r="M593" s="26" t="s">
        <v>758</v>
      </c>
    </row>
    <row r="594" spans="1:13" ht="14" x14ac:dyDescent="0.2">
      <c r="A594" s="13">
        <f t="shared" si="82"/>
        <v>2016</v>
      </c>
      <c r="B594" s="13" t="str">
        <f t="shared" si="83"/>
        <v>03</v>
      </c>
      <c r="C594" s="13" t="str">
        <f t="shared" si="84"/>
        <v>30</v>
      </c>
      <c r="D594" s="16" t="str">
        <f>VLOOKUP(H594,'Names for Vlookup'!$B$26:$C$94,2,FALSE)</f>
        <v>Su Food (Mr. Choi)</v>
      </c>
      <c r="E594" s="16" t="str">
        <f>VLOOKUP(I594,'Names for Vlookup'!$B$8:$C$21,2,FALSE)</f>
        <v>Deer velvet (frozen)</v>
      </c>
      <c r="G594" s="16" t="str">
        <f>VLOOKUP(L594,'Names for Vlookup'!$B$101:$C$181,2,FALSE)</f>
        <v>New Zealand</v>
      </c>
      <c r="H594" s="16" t="s">
        <v>686</v>
      </c>
      <c r="I594" s="16" t="s">
        <v>76</v>
      </c>
      <c r="J594" s="16" t="s">
        <v>560</v>
      </c>
      <c r="L594" s="16" t="s">
        <v>260</v>
      </c>
      <c r="M594" s="26" t="s">
        <v>759</v>
      </c>
    </row>
    <row r="595" spans="1:13" ht="14" x14ac:dyDescent="0.2">
      <c r="A595" s="13">
        <f t="shared" si="82"/>
        <v>2016</v>
      </c>
      <c r="B595" s="13" t="str">
        <f t="shared" si="83"/>
        <v>03</v>
      </c>
      <c r="C595" s="13" t="str">
        <f t="shared" si="84"/>
        <v>24</v>
      </c>
      <c r="D595" s="16" t="str">
        <f>VLOOKUP(H595,'Names for Vlookup'!$B$26:$C$94,2,FALSE)</f>
        <v>KGC</v>
      </c>
      <c r="E595" s="16" t="str">
        <f>VLOOKUP(I595,'Names for Vlookup'!$B$8:$C$21,2,FALSE)</f>
        <v>Deer velvet (dried)</v>
      </c>
      <c r="G595" s="16" t="str">
        <f>VLOOKUP(L595,'Names for Vlookup'!$B$101:$C$181,2,FALSE)</f>
        <v>New Zealand</v>
      </c>
      <c r="H595" s="16" t="s">
        <v>90</v>
      </c>
      <c r="I595" s="16" t="s">
        <v>512</v>
      </c>
      <c r="J595" s="16" t="s">
        <v>760</v>
      </c>
      <c r="L595" s="16" t="s">
        <v>260</v>
      </c>
      <c r="M595" s="26" t="s">
        <v>761</v>
      </c>
    </row>
    <row r="596" spans="1:13" ht="14" x14ac:dyDescent="0.2">
      <c r="A596" s="13">
        <f t="shared" si="82"/>
        <v>2016</v>
      </c>
      <c r="B596" s="13" t="str">
        <f t="shared" si="83"/>
        <v>03</v>
      </c>
      <c r="C596" s="13" t="str">
        <f t="shared" si="84"/>
        <v>04</v>
      </c>
      <c r="D596" s="16" t="str">
        <f>VLOOKUP(H596,'Names for Vlookup'!$B$26:$C$94,2,FALSE)</f>
        <v>Taeahn (Mr. Ahn)</v>
      </c>
      <c r="E596" s="16" t="str">
        <f>VLOOKUP(I596,'Names for Vlookup'!$B$8:$C$21,2,FALSE)</f>
        <v>Deer velvet (dried)</v>
      </c>
      <c r="G596" s="16" t="str">
        <f>VLOOKUP(L596,'Names for Vlookup'!$B$101:$C$181,2,FALSE)</f>
        <v>New Zealand</v>
      </c>
      <c r="H596" s="16" t="s">
        <v>151</v>
      </c>
      <c r="I596" s="16" t="s">
        <v>512</v>
      </c>
      <c r="J596" s="16" t="s">
        <v>643</v>
      </c>
      <c r="L596" s="16" t="s">
        <v>279</v>
      </c>
      <c r="M596" s="26" t="s">
        <v>762</v>
      </c>
    </row>
    <row r="597" spans="1:13" ht="14" x14ac:dyDescent="0.2">
      <c r="A597" s="13">
        <f t="shared" si="82"/>
        <v>2016</v>
      </c>
      <c r="B597" s="13" t="str">
        <f t="shared" si="83"/>
        <v>02</v>
      </c>
      <c r="C597" s="13" t="str">
        <f t="shared" si="84"/>
        <v>25</v>
      </c>
      <c r="D597" s="16" t="str">
        <f>VLOOKUP(H597,'Names for Vlookup'!$B$26:$C$94,2,FALSE)</f>
        <v>Su Food (Mr. Choi)</v>
      </c>
      <c r="E597" s="16" t="str">
        <f>VLOOKUP(I597,'Names for Vlookup'!$B$8:$C$21,2,FALSE)</f>
        <v>Deer velvet (dried)</v>
      </c>
      <c r="G597" s="16" t="str">
        <f>VLOOKUP(L597,'Names for Vlookup'!$B$101:$C$181,2,FALSE)</f>
        <v>New Zealand</v>
      </c>
      <c r="H597" s="16" t="s">
        <v>686</v>
      </c>
      <c r="I597" s="16" t="s">
        <v>512</v>
      </c>
      <c r="J597" s="16" t="s">
        <v>200</v>
      </c>
      <c r="L597" s="16" t="s">
        <v>260</v>
      </c>
      <c r="M597" s="26" t="s">
        <v>763</v>
      </c>
    </row>
    <row r="598" spans="1:13" ht="14" x14ac:dyDescent="0.2">
      <c r="A598" s="13">
        <f t="shared" si="82"/>
        <v>2016</v>
      </c>
      <c r="B598" s="13" t="str">
        <f t="shared" si="83"/>
        <v>02</v>
      </c>
      <c r="C598" s="13" t="str">
        <f t="shared" si="84"/>
        <v>25</v>
      </c>
      <c r="D598" s="16" t="str">
        <f>VLOOKUP(H598,'Names for Vlookup'!$B$26:$C$94,2,FALSE)</f>
        <v>KGC</v>
      </c>
      <c r="E598" s="16" t="str">
        <f>VLOOKUP(I598,'Names for Vlookup'!$B$8:$C$21,2,FALSE)</f>
        <v>Deer velvet (dried)</v>
      </c>
      <c r="G598" s="16" t="str">
        <f>VLOOKUP(L598,'Names for Vlookup'!$B$101:$C$181,2,FALSE)</f>
        <v>New Zealand</v>
      </c>
      <c r="H598" s="16" t="s">
        <v>480</v>
      </c>
      <c r="I598" s="16" t="s">
        <v>512</v>
      </c>
      <c r="J598" s="16" t="s">
        <v>760</v>
      </c>
      <c r="L598" s="16" t="s">
        <v>279</v>
      </c>
      <c r="M598" s="26" t="s">
        <v>763</v>
      </c>
    </row>
    <row r="599" spans="1:13" ht="14" x14ac:dyDescent="0.2">
      <c r="A599" s="13">
        <f t="shared" si="82"/>
        <v>2016</v>
      </c>
      <c r="B599" s="13" t="str">
        <f t="shared" si="83"/>
        <v>02</v>
      </c>
      <c r="C599" s="13" t="str">
        <f t="shared" si="84"/>
        <v>23</v>
      </c>
      <c r="D599" s="16" t="str">
        <f>VLOOKUP(H599,'Names for Vlookup'!$B$26:$C$94,2,FALSE)</f>
        <v xml:space="preserve">JoEun Pharm </v>
      </c>
      <c r="E599" s="16" t="str">
        <f>VLOOKUP(I599,'Names for Vlookup'!$B$8:$C$21,2,FALSE)</f>
        <v>Deer velvet</v>
      </c>
      <c r="G599" s="16" t="str">
        <f>VLOOKUP(L599,'Names for Vlookup'!$B$101:$C$181,2,FALSE)</f>
        <v>Russia</v>
      </c>
      <c r="H599" s="16" t="s">
        <v>99</v>
      </c>
      <c r="I599" s="16" t="s">
        <v>62</v>
      </c>
      <c r="J599" s="16" t="s">
        <v>63</v>
      </c>
      <c r="L599" s="16" t="s">
        <v>764</v>
      </c>
      <c r="M599" s="26" t="s">
        <v>765</v>
      </c>
    </row>
    <row r="600" spans="1:13" ht="14" x14ac:dyDescent="0.2">
      <c r="M600" s="26"/>
    </row>
  </sheetData>
  <autoFilter ref="A2:P599" xr:uid="{00000000-0001-0000-0200-000000000000}"/>
  <phoneticPr fontId="1" type="noConversion"/>
  <hyperlinks>
    <hyperlink ref="I542" r:id="rId1" display="javascript:fn_moveDetail(%22201700119971%22,%221470114%22)" xr:uid="{00000000-0004-0000-0200-000001000000}"/>
    <hyperlink ref="I543" r:id="rId2" display="javascript:fn_moveDetail(%22201700114048%22,%221470114%22)" xr:uid="{00000000-0004-0000-0200-000002000000}"/>
    <hyperlink ref="I544" r:id="rId3" display="javascript:fn_moveDetail(%22201700087862%22,%221470114%22)" xr:uid="{00000000-0004-0000-0200-000003000000}"/>
    <hyperlink ref="I546" r:id="rId4" display="javascript:fn_moveDetail(%22201700071508%22,%221470101%22)" xr:uid="{00000000-0004-0000-0200-000004000000}"/>
    <hyperlink ref="J1" r:id="rId5" xr:uid="{1DA0A061-AABA-4000-9333-75F1B2EA716A}"/>
  </hyperlinks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828F3-6071-42A5-82DA-AB0A1BA1DCA9}">
  <dimension ref="B2:C181"/>
  <sheetViews>
    <sheetView topLeftCell="A76" workbookViewId="0">
      <selection activeCell="C27" sqref="C27"/>
    </sheetView>
  </sheetViews>
  <sheetFormatPr baseColWidth="10" defaultColWidth="8.83203125" defaultRowHeight="12" x14ac:dyDescent="0.15"/>
  <cols>
    <col min="1" max="1" width="5" style="6" customWidth="1"/>
    <col min="2" max="2" width="28.5" style="6" customWidth="1"/>
    <col min="3" max="3" width="24.5" style="6" customWidth="1"/>
    <col min="4" max="8" width="8.83203125" style="6"/>
    <col min="9" max="9" width="14" style="6" bestFit="1" customWidth="1"/>
    <col min="10" max="10" width="8.83203125" style="6"/>
    <col min="11" max="11" width="21.5" style="6" bestFit="1" customWidth="1"/>
    <col min="12" max="16384" width="8.83203125" style="6"/>
  </cols>
  <sheetData>
    <row r="2" spans="2:3" x14ac:dyDescent="0.15">
      <c r="B2" s="7" t="s">
        <v>67</v>
      </c>
      <c r="C2" s="10" t="s">
        <v>4</v>
      </c>
    </row>
    <row r="3" spans="2:3" x14ac:dyDescent="0.15">
      <c r="B3" s="7" t="s">
        <v>95</v>
      </c>
      <c r="C3" s="10" t="s">
        <v>5</v>
      </c>
    </row>
    <row r="4" spans="2:3" x14ac:dyDescent="0.15">
      <c r="B4" s="7" t="s">
        <v>240</v>
      </c>
      <c r="C4" s="10" t="s">
        <v>766</v>
      </c>
    </row>
    <row r="5" spans="2:3" x14ac:dyDescent="0.15">
      <c r="B5" s="7" t="s">
        <v>68</v>
      </c>
      <c r="C5" s="12" t="s">
        <v>767</v>
      </c>
    </row>
    <row r="7" spans="2:3" x14ac:dyDescent="0.15">
      <c r="B7" s="5" t="s">
        <v>768</v>
      </c>
      <c r="C7" s="5" t="s">
        <v>769</v>
      </c>
    </row>
    <row r="8" spans="2:3" x14ac:dyDescent="0.15">
      <c r="B8" s="7" t="s">
        <v>512</v>
      </c>
      <c r="C8" s="7" t="s">
        <v>7</v>
      </c>
    </row>
    <row r="9" spans="2:3" x14ac:dyDescent="0.15">
      <c r="B9" s="7" t="s">
        <v>171</v>
      </c>
      <c r="C9" s="7" t="s">
        <v>7</v>
      </c>
    </row>
    <row r="10" spans="2:3" x14ac:dyDescent="0.15">
      <c r="B10" s="7" t="s">
        <v>469</v>
      </c>
      <c r="C10" s="7" t="s">
        <v>770</v>
      </c>
    </row>
    <row r="11" spans="2:3" x14ac:dyDescent="0.15">
      <c r="B11" s="7" t="s">
        <v>715</v>
      </c>
      <c r="C11" s="7" t="s">
        <v>771</v>
      </c>
    </row>
    <row r="12" spans="2:3" x14ac:dyDescent="0.15">
      <c r="B12" s="7" t="s">
        <v>182</v>
      </c>
      <c r="C12" s="7" t="s">
        <v>772</v>
      </c>
    </row>
    <row r="13" spans="2:3" x14ac:dyDescent="0.15">
      <c r="B13" s="7" t="s">
        <v>72</v>
      </c>
      <c r="C13" s="7" t="s">
        <v>12</v>
      </c>
    </row>
    <row r="14" spans="2:3" x14ac:dyDescent="0.15">
      <c r="B14" s="7" t="s">
        <v>657</v>
      </c>
      <c r="C14" s="7" t="s">
        <v>773</v>
      </c>
    </row>
    <row r="15" spans="2:3" x14ac:dyDescent="0.15">
      <c r="B15" s="7" t="s">
        <v>62</v>
      </c>
      <c r="C15" s="7" t="s">
        <v>774</v>
      </c>
    </row>
    <row r="16" spans="2:3" x14ac:dyDescent="0.15">
      <c r="B16" s="7" t="s">
        <v>64</v>
      </c>
      <c r="C16" s="7" t="s">
        <v>7</v>
      </c>
    </row>
    <row r="17" spans="2:3" x14ac:dyDescent="0.15">
      <c r="B17" s="7" t="s">
        <v>232</v>
      </c>
      <c r="C17" s="7" t="s">
        <v>12</v>
      </c>
    </row>
    <row r="18" spans="2:3" x14ac:dyDescent="0.15">
      <c r="B18" s="7" t="s">
        <v>730</v>
      </c>
      <c r="C18" s="7" t="s">
        <v>775</v>
      </c>
    </row>
    <row r="19" spans="2:3" x14ac:dyDescent="0.15">
      <c r="B19" s="7" t="s">
        <v>76</v>
      </c>
      <c r="C19" s="7" t="s">
        <v>12</v>
      </c>
    </row>
    <row r="20" spans="2:3" x14ac:dyDescent="0.15">
      <c r="B20" s="7" t="s">
        <v>74</v>
      </c>
      <c r="C20" s="7" t="s">
        <v>12</v>
      </c>
    </row>
    <row r="21" spans="2:3" x14ac:dyDescent="0.15">
      <c r="B21" s="7" t="s">
        <v>642</v>
      </c>
      <c r="C21" s="7" t="s">
        <v>776</v>
      </c>
    </row>
    <row r="25" spans="2:3" x14ac:dyDescent="0.15">
      <c r="B25" s="8" t="s">
        <v>777</v>
      </c>
      <c r="C25" s="8" t="s">
        <v>778</v>
      </c>
    </row>
    <row r="26" spans="2:3" x14ac:dyDescent="0.15">
      <c r="B26" s="9" t="s">
        <v>706</v>
      </c>
      <c r="C26" s="9" t="s">
        <v>779</v>
      </c>
    </row>
    <row r="27" spans="2:3" x14ac:dyDescent="0.15">
      <c r="B27" s="9" t="s">
        <v>114</v>
      </c>
      <c r="C27" s="9" t="s">
        <v>780</v>
      </c>
    </row>
    <row r="28" spans="2:3" x14ac:dyDescent="0.15">
      <c r="B28" s="10" t="s">
        <v>384</v>
      </c>
      <c r="C28" s="10" t="s">
        <v>781</v>
      </c>
    </row>
    <row r="29" spans="2:3" x14ac:dyDescent="0.15">
      <c r="B29" s="9" t="s">
        <v>135</v>
      </c>
      <c r="C29" s="9" t="s">
        <v>782</v>
      </c>
    </row>
    <row r="30" spans="2:3" x14ac:dyDescent="0.15">
      <c r="B30" s="10" t="s">
        <v>86</v>
      </c>
      <c r="C30" s="10" t="s">
        <v>13</v>
      </c>
    </row>
    <row r="31" spans="2:3" x14ac:dyDescent="0.15">
      <c r="B31" s="9" t="s">
        <v>128</v>
      </c>
      <c r="C31" s="9" t="s">
        <v>783</v>
      </c>
    </row>
    <row r="32" spans="2:3" x14ac:dyDescent="0.15">
      <c r="B32" s="9" t="s">
        <v>622</v>
      </c>
      <c r="C32" s="9" t="s">
        <v>784</v>
      </c>
    </row>
    <row r="33" spans="2:3" x14ac:dyDescent="0.15">
      <c r="B33" s="10" t="s">
        <v>206</v>
      </c>
      <c r="C33" s="9" t="s">
        <v>785</v>
      </c>
    </row>
    <row r="34" spans="2:3" x14ac:dyDescent="0.15">
      <c r="B34" s="9" t="s">
        <v>406</v>
      </c>
      <c r="C34" s="9" t="s">
        <v>786</v>
      </c>
    </row>
    <row r="35" spans="2:3" x14ac:dyDescent="0.15">
      <c r="B35" s="9" t="s">
        <v>787</v>
      </c>
      <c r="C35" s="9" t="s">
        <v>786</v>
      </c>
    </row>
    <row r="36" spans="2:3" x14ac:dyDescent="0.15">
      <c r="B36" s="9" t="s">
        <v>143</v>
      </c>
      <c r="C36" s="9" t="s">
        <v>788</v>
      </c>
    </row>
    <row r="37" spans="2:3" x14ac:dyDescent="0.15">
      <c r="B37" s="9" t="s">
        <v>102</v>
      </c>
      <c r="C37" s="9" t="s">
        <v>789</v>
      </c>
    </row>
    <row r="38" spans="2:3" x14ac:dyDescent="0.15">
      <c r="B38" s="9" t="s">
        <v>196</v>
      </c>
      <c r="C38" s="9" t="s">
        <v>790</v>
      </c>
    </row>
    <row r="39" spans="2:3" x14ac:dyDescent="0.15">
      <c r="B39" s="9" t="s">
        <v>680</v>
      </c>
      <c r="C39" s="9" t="s">
        <v>791</v>
      </c>
    </row>
    <row r="40" spans="2:3" x14ac:dyDescent="0.15">
      <c r="B40" s="9" t="s">
        <v>147</v>
      </c>
      <c r="C40" s="9" t="s">
        <v>792</v>
      </c>
    </row>
    <row r="41" spans="2:3" x14ac:dyDescent="0.15">
      <c r="B41" s="9" t="s">
        <v>320</v>
      </c>
      <c r="C41" s="9" t="s">
        <v>793</v>
      </c>
    </row>
    <row r="42" spans="2:3" x14ac:dyDescent="0.15">
      <c r="B42" s="10" t="s">
        <v>794</v>
      </c>
      <c r="C42" s="10" t="s">
        <v>795</v>
      </c>
    </row>
    <row r="43" spans="2:3" x14ac:dyDescent="0.15">
      <c r="B43" s="9" t="s">
        <v>93</v>
      </c>
      <c r="C43" s="9" t="s">
        <v>8</v>
      </c>
    </row>
    <row r="44" spans="2:3" x14ac:dyDescent="0.15">
      <c r="B44" s="10" t="s">
        <v>365</v>
      </c>
      <c r="C44" s="10" t="s">
        <v>796</v>
      </c>
    </row>
    <row r="45" spans="2:3" x14ac:dyDescent="0.15">
      <c r="B45" s="9" t="s">
        <v>455</v>
      </c>
      <c r="C45" s="9" t="s">
        <v>797</v>
      </c>
    </row>
    <row r="46" spans="2:3" x14ac:dyDescent="0.15">
      <c r="B46" s="9" t="s">
        <v>526</v>
      </c>
      <c r="C46" s="9" t="s">
        <v>797</v>
      </c>
    </row>
    <row r="47" spans="2:3" x14ac:dyDescent="0.15">
      <c r="B47" s="9" t="s">
        <v>702</v>
      </c>
      <c r="C47" s="9" t="s">
        <v>798</v>
      </c>
    </row>
    <row r="48" spans="2:3" x14ac:dyDescent="0.15">
      <c r="B48" s="9" t="s">
        <v>581</v>
      </c>
      <c r="C48" s="9" t="s">
        <v>799</v>
      </c>
    </row>
    <row r="49" spans="2:3" x14ac:dyDescent="0.15">
      <c r="B49" s="10" t="s">
        <v>450</v>
      </c>
      <c r="C49" s="10" t="s">
        <v>800</v>
      </c>
    </row>
    <row r="50" spans="2:3" x14ac:dyDescent="0.15">
      <c r="B50" s="9" t="s">
        <v>712</v>
      </c>
      <c r="C50" s="9" t="s">
        <v>801</v>
      </c>
    </row>
    <row r="51" spans="2:3" x14ac:dyDescent="0.15">
      <c r="B51" s="10" t="s">
        <v>374</v>
      </c>
      <c r="C51" s="9" t="s">
        <v>801</v>
      </c>
    </row>
    <row r="52" spans="2:3" x14ac:dyDescent="0.15">
      <c r="B52" s="9" t="s">
        <v>373</v>
      </c>
      <c r="C52" s="9" t="s">
        <v>802</v>
      </c>
    </row>
    <row r="53" spans="2:3" x14ac:dyDescent="0.15">
      <c r="B53" s="9" t="s">
        <v>634</v>
      </c>
      <c r="C53" s="9" t="s">
        <v>803</v>
      </c>
    </row>
    <row r="54" spans="2:3" x14ac:dyDescent="0.15">
      <c r="B54" s="9" t="s">
        <v>689</v>
      </c>
      <c r="C54" s="9" t="s">
        <v>803</v>
      </c>
    </row>
    <row r="55" spans="2:3" x14ac:dyDescent="0.15">
      <c r="B55" s="10" t="s">
        <v>104</v>
      </c>
      <c r="C55" s="10" t="s">
        <v>804</v>
      </c>
    </row>
    <row r="56" spans="2:3" x14ac:dyDescent="0.15">
      <c r="B56" s="9" t="s">
        <v>80</v>
      </c>
      <c r="C56" s="9" t="s">
        <v>15</v>
      </c>
    </row>
    <row r="57" spans="2:3" x14ac:dyDescent="0.15">
      <c r="B57" s="10" t="s">
        <v>111</v>
      </c>
      <c r="C57" s="10" t="s">
        <v>805</v>
      </c>
    </row>
    <row r="58" spans="2:3" x14ac:dyDescent="0.15">
      <c r="B58" s="9" t="s">
        <v>335</v>
      </c>
      <c r="C58" s="9" t="s">
        <v>806</v>
      </c>
    </row>
    <row r="59" spans="2:3" x14ac:dyDescent="0.15">
      <c r="B59" s="9" t="s">
        <v>466</v>
      </c>
      <c r="C59" s="9" t="s">
        <v>807</v>
      </c>
    </row>
    <row r="60" spans="2:3" x14ac:dyDescent="0.15">
      <c r="B60" s="9" t="s">
        <v>163</v>
      </c>
      <c r="C60" s="9" t="s">
        <v>808</v>
      </c>
    </row>
    <row r="61" spans="2:3" x14ac:dyDescent="0.15">
      <c r="B61" s="9" t="s">
        <v>99</v>
      </c>
      <c r="C61" s="9" t="s">
        <v>809</v>
      </c>
    </row>
    <row r="62" spans="2:3" x14ac:dyDescent="0.15">
      <c r="B62" s="9" t="s">
        <v>667</v>
      </c>
      <c r="C62" s="9" t="s">
        <v>810</v>
      </c>
    </row>
    <row r="63" spans="2:3" x14ac:dyDescent="0.15">
      <c r="B63" s="9" t="s">
        <v>294</v>
      </c>
      <c r="C63" s="9" t="s">
        <v>811</v>
      </c>
    </row>
    <row r="64" spans="2:3" x14ac:dyDescent="0.15">
      <c r="B64" s="9" t="s">
        <v>75</v>
      </c>
      <c r="C64" s="10" t="s">
        <v>9</v>
      </c>
    </row>
    <row r="65" spans="2:3" x14ac:dyDescent="0.15">
      <c r="B65" s="9" t="s">
        <v>480</v>
      </c>
      <c r="C65" s="9" t="s">
        <v>16</v>
      </c>
    </row>
    <row r="66" spans="2:3" x14ac:dyDescent="0.15">
      <c r="B66" s="9" t="s">
        <v>90</v>
      </c>
      <c r="C66" s="9" t="s">
        <v>16</v>
      </c>
    </row>
    <row r="67" spans="2:3" x14ac:dyDescent="0.15">
      <c r="B67" s="9" t="s">
        <v>75</v>
      </c>
      <c r="C67" s="10" t="s">
        <v>9</v>
      </c>
    </row>
    <row r="68" spans="2:3" x14ac:dyDescent="0.15">
      <c r="B68" s="9" t="s">
        <v>430</v>
      </c>
      <c r="C68" s="10" t="s">
        <v>812</v>
      </c>
    </row>
    <row r="69" spans="2:3" x14ac:dyDescent="0.15">
      <c r="B69" s="9" t="s">
        <v>753</v>
      </c>
      <c r="C69" s="9" t="s">
        <v>813</v>
      </c>
    </row>
    <row r="70" spans="2:3" x14ac:dyDescent="0.15">
      <c r="B70" s="9" t="s">
        <v>208</v>
      </c>
      <c r="C70" s="10" t="s">
        <v>814</v>
      </c>
    </row>
    <row r="71" spans="2:3" x14ac:dyDescent="0.15">
      <c r="B71" s="9" t="s">
        <v>61</v>
      </c>
      <c r="C71" s="10" t="s">
        <v>815</v>
      </c>
    </row>
    <row r="72" spans="2:3" x14ac:dyDescent="0.15">
      <c r="B72" s="9" t="s">
        <v>344</v>
      </c>
      <c r="C72" s="10" t="s">
        <v>816</v>
      </c>
    </row>
    <row r="73" spans="2:3" x14ac:dyDescent="0.15">
      <c r="B73" s="9" t="s">
        <v>734</v>
      </c>
      <c r="C73" s="10" t="s">
        <v>817</v>
      </c>
    </row>
    <row r="74" spans="2:3" x14ac:dyDescent="0.15">
      <c r="B74" s="9" t="s">
        <v>656</v>
      </c>
      <c r="C74" s="10" t="s">
        <v>818</v>
      </c>
    </row>
    <row r="75" spans="2:3" x14ac:dyDescent="0.15">
      <c r="B75" s="9" t="s">
        <v>819</v>
      </c>
      <c r="C75" s="10" t="s">
        <v>820</v>
      </c>
    </row>
    <row r="76" spans="2:3" x14ac:dyDescent="0.15">
      <c r="B76" s="9" t="s">
        <v>303</v>
      </c>
      <c r="C76" s="10" t="s">
        <v>821</v>
      </c>
    </row>
    <row r="77" spans="2:3" x14ac:dyDescent="0.15">
      <c r="B77" s="9" t="s">
        <v>686</v>
      </c>
      <c r="C77" s="10" t="s">
        <v>822</v>
      </c>
    </row>
    <row r="78" spans="2:3" x14ac:dyDescent="0.15">
      <c r="B78" s="10" t="s">
        <v>151</v>
      </c>
      <c r="C78" s="10" t="s">
        <v>823</v>
      </c>
    </row>
    <row r="79" spans="2:3" x14ac:dyDescent="0.15">
      <c r="B79" s="10" t="s">
        <v>507</v>
      </c>
      <c r="C79" s="10" t="s">
        <v>824</v>
      </c>
    </row>
    <row r="80" spans="2:3" x14ac:dyDescent="0.15">
      <c r="B80" s="10" t="s">
        <v>825</v>
      </c>
      <c r="C80" s="10" t="s">
        <v>826</v>
      </c>
    </row>
    <row r="81" spans="2:3" x14ac:dyDescent="0.15">
      <c r="B81" s="10" t="s">
        <v>468</v>
      </c>
      <c r="C81" s="10" t="s">
        <v>826</v>
      </c>
    </row>
    <row r="82" spans="2:3" x14ac:dyDescent="0.15">
      <c r="B82" s="10" t="s">
        <v>69</v>
      </c>
      <c r="C82" s="10" t="s">
        <v>10</v>
      </c>
    </row>
    <row r="83" spans="2:3" x14ac:dyDescent="0.15">
      <c r="B83" s="10" t="s">
        <v>69</v>
      </c>
      <c r="C83" s="10" t="s">
        <v>827</v>
      </c>
    </row>
    <row r="84" spans="2:3" x14ac:dyDescent="0.15">
      <c r="B84" s="10" t="s">
        <v>411</v>
      </c>
      <c r="C84" s="10" t="s">
        <v>827</v>
      </c>
    </row>
    <row r="85" spans="2:3" x14ac:dyDescent="0.15">
      <c r="B85" s="10" t="s">
        <v>98</v>
      </c>
      <c r="C85" s="10" t="s">
        <v>828</v>
      </c>
    </row>
    <row r="86" spans="2:3" x14ac:dyDescent="0.15">
      <c r="B86" s="10" t="s">
        <v>214</v>
      </c>
      <c r="C86" s="10" t="s">
        <v>829</v>
      </c>
    </row>
    <row r="87" spans="2:3" x14ac:dyDescent="0.15">
      <c r="B87" s="7" t="s">
        <v>158</v>
      </c>
      <c r="C87" s="10" t="s">
        <v>830</v>
      </c>
    </row>
    <row r="88" spans="2:3" x14ac:dyDescent="0.15">
      <c r="B88" s="10" t="s">
        <v>600</v>
      </c>
      <c r="C88" s="10" t="s">
        <v>831</v>
      </c>
    </row>
    <row r="89" spans="2:3" x14ac:dyDescent="0.15">
      <c r="B89" s="10" t="s">
        <v>82</v>
      </c>
      <c r="C89" s="10" t="s">
        <v>17</v>
      </c>
    </row>
    <row r="90" spans="2:3" x14ac:dyDescent="0.15">
      <c r="B90" s="10" t="s">
        <v>170</v>
      </c>
      <c r="C90" s="10" t="s">
        <v>832</v>
      </c>
    </row>
    <row r="91" spans="2:3" x14ac:dyDescent="0.15">
      <c r="B91" s="10" t="s">
        <v>252</v>
      </c>
      <c r="C91" s="10" t="s">
        <v>833</v>
      </c>
    </row>
    <row r="92" spans="2:3" x14ac:dyDescent="0.15">
      <c r="B92" s="10" t="s">
        <v>91</v>
      </c>
      <c r="C92" s="10" t="s">
        <v>11</v>
      </c>
    </row>
    <row r="93" spans="2:3" x14ac:dyDescent="0.15">
      <c r="B93" s="10" t="s">
        <v>71</v>
      </c>
      <c r="C93" s="10" t="s">
        <v>19</v>
      </c>
    </row>
    <row r="94" spans="2:3" x14ac:dyDescent="0.15">
      <c r="B94" s="10" t="s">
        <v>88</v>
      </c>
      <c r="C94" s="10" t="s">
        <v>18</v>
      </c>
    </row>
    <row r="95" spans="2:3" x14ac:dyDescent="0.15">
      <c r="B95" s="11"/>
      <c r="C95" s="11"/>
    </row>
    <row r="96" spans="2:3" x14ac:dyDescent="0.15">
      <c r="B96" s="11"/>
      <c r="C96" s="11"/>
    </row>
    <row r="97" spans="2:3" x14ac:dyDescent="0.15">
      <c r="B97" s="11"/>
      <c r="C97" s="11"/>
    </row>
    <row r="98" spans="2:3" x14ac:dyDescent="0.15">
      <c r="B98" s="11"/>
      <c r="C98" s="11"/>
    </row>
    <row r="99" spans="2:3" x14ac:dyDescent="0.15">
      <c r="B99" s="11"/>
      <c r="C99" s="11"/>
    </row>
    <row r="100" spans="2:3" x14ac:dyDescent="0.15">
      <c r="B100" s="8" t="s">
        <v>834</v>
      </c>
      <c r="C100" s="8" t="s">
        <v>835</v>
      </c>
    </row>
    <row r="101" spans="2:3" x14ac:dyDescent="0.15">
      <c r="B101" s="10" t="s">
        <v>617</v>
      </c>
      <c r="C101" s="7" t="s">
        <v>767</v>
      </c>
    </row>
    <row r="102" spans="2:3" x14ac:dyDescent="0.15">
      <c r="B102" s="10" t="s">
        <v>106</v>
      </c>
      <c r="C102" s="7" t="s">
        <v>767</v>
      </c>
    </row>
    <row r="103" spans="2:3" x14ac:dyDescent="0.15">
      <c r="B103" s="12" t="s">
        <v>474</v>
      </c>
      <c r="C103" s="12" t="s">
        <v>767</v>
      </c>
    </row>
    <row r="104" spans="2:3" x14ac:dyDescent="0.15">
      <c r="B104" s="12" t="s">
        <v>498</v>
      </c>
      <c r="C104" s="12" t="s">
        <v>767</v>
      </c>
    </row>
    <row r="105" spans="2:3" x14ac:dyDescent="0.15">
      <c r="B105" s="10" t="s">
        <v>336</v>
      </c>
      <c r="C105" s="7" t="s">
        <v>767</v>
      </c>
    </row>
    <row r="106" spans="2:3" x14ac:dyDescent="0.15">
      <c r="B106" s="12" t="s">
        <v>245</v>
      </c>
      <c r="C106" s="12" t="s">
        <v>767</v>
      </c>
    </row>
    <row r="107" spans="2:3" x14ac:dyDescent="0.15">
      <c r="B107" s="10" t="s">
        <v>541</v>
      </c>
      <c r="C107" s="7" t="s">
        <v>767</v>
      </c>
    </row>
    <row r="108" spans="2:3" x14ac:dyDescent="0.15">
      <c r="B108" s="10" t="s">
        <v>226</v>
      </c>
      <c r="C108" s="7" t="s">
        <v>767</v>
      </c>
    </row>
    <row r="109" spans="2:3" x14ac:dyDescent="0.15">
      <c r="B109" s="10" t="s">
        <v>531</v>
      </c>
      <c r="C109" s="7" t="s">
        <v>767</v>
      </c>
    </row>
    <row r="110" spans="2:3" x14ac:dyDescent="0.15">
      <c r="B110" s="10" t="s">
        <v>247</v>
      </c>
      <c r="C110" s="10" t="s">
        <v>767</v>
      </c>
    </row>
    <row r="111" spans="2:3" x14ac:dyDescent="0.15">
      <c r="B111" s="12" t="s">
        <v>347</v>
      </c>
      <c r="C111" s="12" t="s">
        <v>767</v>
      </c>
    </row>
    <row r="112" spans="2:3" x14ac:dyDescent="0.15">
      <c r="B112" s="10" t="s">
        <v>433</v>
      </c>
      <c r="C112" s="10" t="s">
        <v>767</v>
      </c>
    </row>
    <row r="113" spans="2:3" x14ac:dyDescent="0.15">
      <c r="B113" s="10" t="s">
        <v>33</v>
      </c>
      <c r="C113" s="10" t="s">
        <v>767</v>
      </c>
    </row>
    <row r="114" spans="2:3" x14ac:dyDescent="0.15">
      <c r="B114" s="12" t="s">
        <v>431</v>
      </c>
      <c r="C114" s="12" t="s">
        <v>767</v>
      </c>
    </row>
    <row r="115" spans="2:3" x14ac:dyDescent="0.15">
      <c r="B115" s="12" t="s">
        <v>65</v>
      </c>
      <c r="C115" s="12" t="s">
        <v>767</v>
      </c>
    </row>
    <row r="116" spans="2:3" x14ac:dyDescent="0.15">
      <c r="B116" s="12" t="s">
        <v>144</v>
      </c>
      <c r="C116" s="12" t="s">
        <v>767</v>
      </c>
    </row>
    <row r="117" spans="2:3" x14ac:dyDescent="0.15">
      <c r="B117" s="12" t="s">
        <v>187</v>
      </c>
      <c r="C117" s="12" t="s">
        <v>767</v>
      </c>
    </row>
    <row r="118" spans="2:3" x14ac:dyDescent="0.15">
      <c r="B118" s="10" t="s">
        <v>736</v>
      </c>
      <c r="C118" s="10" t="s">
        <v>836</v>
      </c>
    </row>
    <row r="119" spans="2:3" x14ac:dyDescent="0.15">
      <c r="B119" s="10" t="s">
        <v>613</v>
      </c>
      <c r="C119" s="10" t="s">
        <v>766</v>
      </c>
    </row>
    <row r="120" spans="2:3" x14ac:dyDescent="0.15">
      <c r="B120" s="10" t="s">
        <v>725</v>
      </c>
      <c r="C120" s="10" t="s">
        <v>837</v>
      </c>
    </row>
    <row r="121" spans="2:3" x14ac:dyDescent="0.15">
      <c r="B121" s="10" t="s">
        <v>183</v>
      </c>
      <c r="C121" s="10" t="s">
        <v>4</v>
      </c>
    </row>
    <row r="122" spans="2:3" x14ac:dyDescent="0.15">
      <c r="B122" s="12" t="s">
        <v>426</v>
      </c>
      <c r="C122" s="12" t="s">
        <v>4</v>
      </c>
    </row>
    <row r="123" spans="2:3" x14ac:dyDescent="0.15">
      <c r="B123" s="10" t="s">
        <v>160</v>
      </c>
      <c r="C123" s="10" t="s">
        <v>4</v>
      </c>
    </row>
    <row r="124" spans="2:3" x14ac:dyDescent="0.15">
      <c r="B124" s="12" t="s">
        <v>242</v>
      </c>
      <c r="C124" s="12" t="s">
        <v>4</v>
      </c>
    </row>
    <row r="125" spans="2:3" x14ac:dyDescent="0.15">
      <c r="B125" s="10" t="s">
        <v>36</v>
      </c>
      <c r="C125" s="10" t="s">
        <v>4</v>
      </c>
    </row>
    <row r="126" spans="2:3" x14ac:dyDescent="0.15">
      <c r="B126" s="10" t="s">
        <v>654</v>
      </c>
      <c r="C126" s="10" t="s">
        <v>4</v>
      </c>
    </row>
    <row r="127" spans="2:3" x14ac:dyDescent="0.15">
      <c r="B127" s="10" t="s">
        <v>35</v>
      </c>
      <c r="C127" s="10" t="s">
        <v>4</v>
      </c>
    </row>
    <row r="128" spans="2:3" x14ac:dyDescent="0.15">
      <c r="B128" s="10" t="s">
        <v>97</v>
      </c>
      <c r="C128" s="10" t="s">
        <v>4</v>
      </c>
    </row>
    <row r="129" spans="2:3" x14ac:dyDescent="0.15">
      <c r="B129" s="10" t="s">
        <v>493</v>
      </c>
      <c r="C129" s="10" t="s">
        <v>4</v>
      </c>
    </row>
    <row r="130" spans="2:3" x14ac:dyDescent="0.15">
      <c r="B130" s="10" t="s">
        <v>37</v>
      </c>
      <c r="C130" s="10" t="s">
        <v>4</v>
      </c>
    </row>
    <row r="131" spans="2:3" x14ac:dyDescent="0.15">
      <c r="B131" s="10" t="s">
        <v>536</v>
      </c>
      <c r="C131" s="10" t="s">
        <v>4</v>
      </c>
    </row>
    <row r="132" spans="2:3" x14ac:dyDescent="0.15">
      <c r="B132" s="12" t="s">
        <v>420</v>
      </c>
      <c r="C132" s="12" t="s">
        <v>4</v>
      </c>
    </row>
    <row r="133" spans="2:3" x14ac:dyDescent="0.15">
      <c r="B133" s="10" t="s">
        <v>250</v>
      </c>
      <c r="C133" s="10" t="s">
        <v>4</v>
      </c>
    </row>
    <row r="134" spans="2:3" x14ac:dyDescent="0.15">
      <c r="B134" s="12" t="s">
        <v>481</v>
      </c>
      <c r="C134" s="12" t="s">
        <v>4</v>
      </c>
    </row>
    <row r="135" spans="2:3" x14ac:dyDescent="0.15">
      <c r="B135" s="10" t="s">
        <v>260</v>
      </c>
      <c r="C135" s="10" t="s">
        <v>4</v>
      </c>
    </row>
    <row r="136" spans="2:3" x14ac:dyDescent="0.15">
      <c r="B136" s="12" t="s">
        <v>442</v>
      </c>
      <c r="C136" s="12" t="s">
        <v>4</v>
      </c>
    </row>
    <row r="137" spans="2:3" x14ac:dyDescent="0.15">
      <c r="B137" s="12" t="s">
        <v>417</v>
      </c>
      <c r="C137" s="12" t="s">
        <v>4</v>
      </c>
    </row>
    <row r="138" spans="2:3" x14ac:dyDescent="0.15">
      <c r="B138" s="10" t="s">
        <v>38</v>
      </c>
      <c r="C138" s="10" t="s">
        <v>4</v>
      </c>
    </row>
    <row r="139" spans="2:3" x14ac:dyDescent="0.15">
      <c r="B139" s="10" t="s">
        <v>279</v>
      </c>
      <c r="C139" s="10" t="s">
        <v>4</v>
      </c>
    </row>
    <row r="140" spans="2:3" x14ac:dyDescent="0.15">
      <c r="B140" s="12" t="s">
        <v>129</v>
      </c>
      <c r="C140" s="12" t="s">
        <v>4</v>
      </c>
    </row>
    <row r="141" spans="2:3" x14ac:dyDescent="0.15">
      <c r="B141" s="10" t="s">
        <v>423</v>
      </c>
      <c r="C141" s="10" t="s">
        <v>4</v>
      </c>
    </row>
    <row r="142" spans="2:3" x14ac:dyDescent="0.15">
      <c r="B142" s="10" t="s">
        <v>121</v>
      </c>
      <c r="C142" s="10" t="s">
        <v>4</v>
      </c>
    </row>
    <row r="143" spans="2:3" x14ac:dyDescent="0.15">
      <c r="B143" s="7" t="s">
        <v>234</v>
      </c>
      <c r="C143" s="10" t="s">
        <v>4</v>
      </c>
    </row>
    <row r="144" spans="2:3" x14ac:dyDescent="0.15">
      <c r="B144" s="12" t="s">
        <v>456</v>
      </c>
      <c r="C144" s="12" t="s">
        <v>4</v>
      </c>
    </row>
    <row r="145" spans="2:3" x14ac:dyDescent="0.15">
      <c r="B145" s="7" t="s">
        <v>203</v>
      </c>
      <c r="C145" s="10" t="s">
        <v>4</v>
      </c>
    </row>
    <row r="146" spans="2:3" x14ac:dyDescent="0.15">
      <c r="B146" s="12" t="s">
        <v>428</v>
      </c>
      <c r="C146" s="12" t="s">
        <v>4</v>
      </c>
    </row>
    <row r="147" spans="2:3" x14ac:dyDescent="0.15">
      <c r="B147" s="7" t="s">
        <v>33</v>
      </c>
      <c r="C147" s="10" t="s">
        <v>4</v>
      </c>
    </row>
    <row r="148" spans="2:3" x14ac:dyDescent="0.15">
      <c r="B148" s="12" t="s">
        <v>453</v>
      </c>
      <c r="C148" s="12" t="s">
        <v>4</v>
      </c>
    </row>
    <row r="149" spans="2:3" x14ac:dyDescent="0.15">
      <c r="B149" s="12" t="s">
        <v>39</v>
      </c>
      <c r="C149" s="12" t="s">
        <v>4</v>
      </c>
    </row>
    <row r="150" spans="2:3" x14ac:dyDescent="0.15">
      <c r="B150" s="12" t="s">
        <v>462</v>
      </c>
      <c r="C150" s="12" t="s">
        <v>5</v>
      </c>
    </row>
    <row r="151" spans="2:3" x14ac:dyDescent="0.15">
      <c r="B151" s="7" t="s">
        <v>649</v>
      </c>
      <c r="C151" s="10" t="s">
        <v>5</v>
      </c>
    </row>
    <row r="152" spans="2:3" x14ac:dyDescent="0.15">
      <c r="B152" s="12" t="s">
        <v>422</v>
      </c>
      <c r="C152" s="12" t="s">
        <v>5</v>
      </c>
    </row>
    <row r="153" spans="2:3" x14ac:dyDescent="0.15">
      <c r="B153" s="7" t="s">
        <v>197</v>
      </c>
      <c r="C153" s="10" t="s">
        <v>5</v>
      </c>
    </row>
    <row r="154" spans="2:3" x14ac:dyDescent="0.15">
      <c r="B154" s="7" t="s">
        <v>710</v>
      </c>
      <c r="C154" s="10" t="s">
        <v>5</v>
      </c>
    </row>
    <row r="155" spans="2:3" x14ac:dyDescent="0.15">
      <c r="B155" s="7" t="s">
        <v>659</v>
      </c>
      <c r="C155" s="10" t="s">
        <v>5</v>
      </c>
    </row>
    <row r="156" spans="2:3" x14ac:dyDescent="0.15">
      <c r="B156" s="7" t="s">
        <v>558</v>
      </c>
      <c r="C156" s="10" t="s">
        <v>5</v>
      </c>
    </row>
    <row r="157" spans="2:3" x14ac:dyDescent="0.15">
      <c r="B157" s="7" t="s">
        <v>757</v>
      </c>
      <c r="C157" s="10" t="s">
        <v>5</v>
      </c>
    </row>
    <row r="158" spans="2:3" x14ac:dyDescent="0.15">
      <c r="B158" s="7" t="s">
        <v>661</v>
      </c>
      <c r="C158" s="10" t="s">
        <v>5</v>
      </c>
    </row>
    <row r="159" spans="2:3" x14ac:dyDescent="0.15">
      <c r="B159" s="7" t="s">
        <v>721</v>
      </c>
      <c r="C159" s="10" t="s">
        <v>5</v>
      </c>
    </row>
    <row r="160" spans="2:3" x14ac:dyDescent="0.15">
      <c r="B160" s="7" t="s">
        <v>736</v>
      </c>
      <c r="C160" s="10" t="s">
        <v>5</v>
      </c>
    </row>
    <row r="161" spans="2:3" x14ac:dyDescent="0.15">
      <c r="B161" s="7" t="s">
        <v>664</v>
      </c>
      <c r="C161" s="10" t="s">
        <v>5</v>
      </c>
    </row>
    <row r="162" spans="2:3" x14ac:dyDescent="0.15">
      <c r="B162" s="7" t="s">
        <v>42</v>
      </c>
      <c r="C162" s="10" t="s">
        <v>5</v>
      </c>
    </row>
    <row r="163" spans="2:3" x14ac:dyDescent="0.15">
      <c r="B163" s="7" t="s">
        <v>179</v>
      </c>
      <c r="C163" s="10" t="s">
        <v>5</v>
      </c>
    </row>
    <row r="164" spans="2:3" x14ac:dyDescent="0.15">
      <c r="B164" s="7" t="s">
        <v>708</v>
      </c>
      <c r="C164" s="10" t="s">
        <v>5</v>
      </c>
    </row>
    <row r="165" spans="2:3" x14ac:dyDescent="0.15">
      <c r="B165" s="12" t="s">
        <v>386</v>
      </c>
      <c r="C165" s="12" t="s">
        <v>5</v>
      </c>
    </row>
    <row r="166" spans="2:3" x14ac:dyDescent="0.15">
      <c r="B166" s="12" t="s">
        <v>451</v>
      </c>
      <c r="C166" s="12" t="s">
        <v>5</v>
      </c>
    </row>
    <row r="167" spans="2:3" x14ac:dyDescent="0.15">
      <c r="B167" s="12" t="s">
        <v>306</v>
      </c>
      <c r="C167" s="12" t="s">
        <v>5</v>
      </c>
    </row>
    <row r="168" spans="2:3" x14ac:dyDescent="0.15">
      <c r="B168" s="7" t="s">
        <v>115</v>
      </c>
      <c r="C168" s="10" t="s">
        <v>5</v>
      </c>
    </row>
    <row r="169" spans="2:3" x14ac:dyDescent="0.15">
      <c r="B169" s="7" t="s">
        <v>524</v>
      </c>
      <c r="C169" s="10" t="s">
        <v>5</v>
      </c>
    </row>
    <row r="170" spans="2:3" x14ac:dyDescent="0.15">
      <c r="B170" s="7" t="s">
        <v>714</v>
      </c>
      <c r="C170" s="10" t="s">
        <v>5</v>
      </c>
    </row>
    <row r="171" spans="2:3" x14ac:dyDescent="0.15">
      <c r="B171" s="7" t="s">
        <v>212</v>
      </c>
      <c r="C171" s="10" t="s">
        <v>5</v>
      </c>
    </row>
    <row r="172" spans="2:3" x14ac:dyDescent="0.15">
      <c r="B172" s="7" t="s">
        <v>754</v>
      </c>
      <c r="C172" s="10" t="s">
        <v>5</v>
      </c>
    </row>
    <row r="173" spans="2:3" x14ac:dyDescent="0.15">
      <c r="B173" s="12" t="s">
        <v>472</v>
      </c>
      <c r="C173" s="12" t="s">
        <v>5</v>
      </c>
    </row>
    <row r="174" spans="2:3" x14ac:dyDescent="0.15">
      <c r="B174" s="7" t="s">
        <v>522</v>
      </c>
      <c r="C174" s="10" t="s">
        <v>5</v>
      </c>
    </row>
    <row r="175" spans="2:3" x14ac:dyDescent="0.15">
      <c r="B175" s="12" t="s">
        <v>434</v>
      </c>
      <c r="C175" s="12" t="s">
        <v>5</v>
      </c>
    </row>
    <row r="176" spans="2:3" x14ac:dyDescent="0.15">
      <c r="B176" s="12" t="s">
        <v>326</v>
      </c>
      <c r="C176" s="12" t="s">
        <v>5</v>
      </c>
    </row>
    <row r="177" spans="2:3" x14ac:dyDescent="0.15">
      <c r="B177" s="12" t="s">
        <v>439</v>
      </c>
      <c r="C177" s="12" t="s">
        <v>5</v>
      </c>
    </row>
    <row r="178" spans="2:3" x14ac:dyDescent="0.15">
      <c r="B178" s="7" t="s">
        <v>514</v>
      </c>
      <c r="C178" s="10" t="s">
        <v>5</v>
      </c>
    </row>
    <row r="179" spans="2:3" x14ac:dyDescent="0.15">
      <c r="B179" s="7" t="s">
        <v>103</v>
      </c>
      <c r="C179" s="10" t="s">
        <v>5</v>
      </c>
    </row>
    <row r="180" spans="2:3" x14ac:dyDescent="0.15">
      <c r="B180" s="7" t="s">
        <v>154</v>
      </c>
      <c r="C180" s="10" t="s">
        <v>5</v>
      </c>
    </row>
    <row r="181" spans="2:3" x14ac:dyDescent="0.15">
      <c r="B181" s="12" t="s">
        <v>100</v>
      </c>
      <c r="C181" s="12" t="s">
        <v>5</v>
      </c>
    </row>
  </sheetData>
  <sortState xmlns:xlrd2="http://schemas.microsoft.com/office/spreadsheetml/2017/richdata2" ref="B8:C21">
    <sortCondition ref="B8:B21"/>
    <sortCondition ref="C8:C21"/>
  </sortState>
  <phoneticPr fontId="1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0F8E457411954D95622C53B0F01B76" ma:contentTypeVersion="19" ma:contentTypeDescription="Create a new document." ma:contentTypeScope="" ma:versionID="78eb5976e983cba50c2b28a0c8d69a24">
  <xsd:schema xmlns:xsd="http://www.w3.org/2001/XMLSchema" xmlns:xs="http://www.w3.org/2001/XMLSchema" xmlns:p="http://schemas.microsoft.com/office/2006/metadata/properties" xmlns:ns2="bd039ef1-dc28-4fd0-8faf-43df493ef0c5" xmlns:ns3="5d9431fc-835d-4a6d-8cf1-a9900da5d5a6" targetNamespace="http://schemas.microsoft.com/office/2006/metadata/properties" ma:root="true" ma:fieldsID="9233dcd759c335608c4689c751ecd805" ns2:_="" ns3:_="">
    <xsd:import namespace="bd039ef1-dc28-4fd0-8faf-43df493ef0c5"/>
    <xsd:import namespace="5d9431fc-835d-4a6d-8cf1-a9900da5d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Dateandtim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039ef1-dc28-4fd0-8faf-43df493ef0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ca033b-8fd8-4ccf-a050-b908e88d82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ateandtime" ma:index="25" nillable="true" ma:displayName="Date and time" ma:format="DateOnly" ma:internalName="Dateandtime">
      <xsd:simpleType>
        <xsd:restriction base="dms:DateTime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431fc-835d-4a6d-8cf1-a9900da5d5a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608ddc-e690-4b02-950d-e7bb6ec5850f}" ma:internalName="TaxCatchAll" ma:showField="CatchAllData" ma:web="5d9431fc-835d-4a6d-8cf1-a9900da5d5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9431fc-835d-4a6d-8cf1-a9900da5d5a6" xsi:nil="true"/>
    <lcf76f155ced4ddcb4097134ff3c332f xmlns="bd039ef1-dc28-4fd0-8faf-43df493ef0c5">
      <Terms xmlns="http://schemas.microsoft.com/office/infopath/2007/PartnerControls"/>
    </lcf76f155ced4ddcb4097134ff3c332f>
    <Dateandtime xmlns="bd039ef1-dc28-4fd0-8faf-43df493ef0c5" xsi:nil="true"/>
    <MediaLengthInSeconds xmlns="bd039ef1-dc28-4fd0-8faf-43df493ef0c5" xsi:nil="true"/>
    <SharedWithUsers xmlns="5d9431fc-835d-4a6d-8cf1-a9900da5d5a6">
      <UserInfo>
        <DisplayName>Boyoung Kim</DisplayName>
        <AccountId>357</AccountId>
        <AccountType/>
      </UserInfo>
      <UserInfo>
        <DisplayName>JongKyu Jang</DisplayName>
        <AccountId>9</AccountId>
        <AccountType/>
      </UserInfo>
      <UserInfo>
        <DisplayName>Fintan Cannon</DisplayName>
        <AccountId>256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CCF3C50-7620-4979-AA1F-A27F326ADA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C7561B-EFFF-4413-9C7B-E8A19B6FB3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039ef1-dc28-4fd0-8faf-43df493ef0c5"/>
    <ds:schemaRef ds:uri="5d9431fc-835d-4a6d-8cf1-a9900da5d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DFFA41-2C14-4EB2-AB8F-4153D069DE1C}">
  <ds:schemaRefs>
    <ds:schemaRef ds:uri="5d9431fc-835d-4a6d-8cf1-a9900da5d5a6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bd039ef1-dc28-4fd0-8faf-43df493ef0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Import</vt:lpstr>
      <vt:lpstr>Export</vt:lpstr>
      <vt:lpstr>import list</vt:lpstr>
      <vt:lpstr>Names for Vlookup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JANG JongKyu</dc:creator>
  <cp:keywords/>
  <dc:description/>
  <cp:lastModifiedBy>JongKyu Jang</cp:lastModifiedBy>
  <cp:revision/>
  <dcterms:created xsi:type="dcterms:W3CDTF">2017-02-22T07:16:51Z</dcterms:created>
  <dcterms:modified xsi:type="dcterms:W3CDTF">2026-07-06T06:04:35Z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0x010100940F8E457411954D95622C53B0F01B76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