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at Data" sheetId="2" state="visible" r:id="rId4"/>
    <sheet name="Monthly Detail" sheetId="3" state="visible" r:id="rId5"/>
    <sheet name="Annual Summary" sheetId="4" state="visible" r:id="rId6"/>
  </sheets>
  <definedNames>
    <definedName function="false" hidden="true" localSheetId="1" name="_xlnm._FilterDatabase" vbProcedure="false">'Flat Data'!$A$1:$H$491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<sst xmlns="http://schemas.openxmlformats.org/spreadsheetml/2006/main" count="2437" uniqueCount="110">
  <si>
    <t xml:space="preserve">README — Deer Velvet Quarantine Dataset, Korea (2019–2026)</t>
  </si>
  <si>
    <t xml:space="preserve">Last updated: 2026-07-20 (v3, final — includes Deer velvet extract)</t>
  </si>
  <si>
    <t xml:space="preserve">PURPOSE</t>
  </si>
  <si>
    <r>
      <rPr>
        <sz val="10"/>
        <rFont val="Arial"/>
        <family val="0"/>
        <charset val="1"/>
      </rPr>
      <t xml:space="preserve">Consolidated import/export quarantine statistics for deer velvet products (</t>
    </r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생녹용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녹용추출물</t>
    </r>
    <r>
      <rPr>
        <sz val="10"/>
        <rFont val="Arial"/>
        <family val="0"/>
        <charset val="1"/>
      </rPr>
      <t xml:space="preserve">) in Korea, from official QIA statistics.</t>
    </r>
  </si>
  <si>
    <t xml:space="preserve">SHEET GUIDE</t>
  </si>
  <si>
    <t xml:space="preserve">• Flat Data — machine-friendly table (1 row = 1 country-month record; 490 rows). Use this for pivot tables, charts, or AI analysis.</t>
  </si>
  <si>
    <t xml:space="preserve">• Monthly Detail — human-readable wide layout with monthly Cases/Qty pairs and formula-based annual totals. Includes source subtotal rows (grey).</t>
  </si>
  <si>
    <t xml:space="preserve">• Annual Summary — country x year cross-tables (SUMIFS on Monthly Detail) for each product/trade block.</t>
  </si>
  <si>
    <t xml:space="preserve">PRODUCTS COVERED</t>
  </si>
  <si>
    <r>
      <rPr>
        <sz val="10"/>
        <rFont val="Arial"/>
        <family val="0"/>
        <charset val="1"/>
      </rPr>
      <t xml:space="preserve">• Dried deer velvet (</t>
    </r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) — almost entirely IMPORT (China, Russia, New Zealand).</t>
    </r>
  </si>
  <si>
    <r>
      <rPr>
        <sz val="10"/>
        <rFont val="Arial"/>
        <family val="0"/>
        <charset val="1"/>
      </rPr>
      <t xml:space="preserve">• Frozen deer velvet (</t>
    </r>
    <r>
      <rPr>
        <sz val="10"/>
        <rFont val="Noto Sans CJK SC"/>
        <family val="2"/>
      </rPr>
      <t xml:space="preserve">생녹용</t>
    </r>
    <r>
      <rPr>
        <sz val="10"/>
        <rFont val="Arial"/>
        <family val="0"/>
        <charset val="1"/>
      </rPr>
      <t xml:space="preserve">) — almost entirely IMPORT (New Zealand).</t>
    </r>
  </si>
  <si>
    <r>
      <rPr>
        <sz val="10"/>
        <rFont val="Arial"/>
        <family val="0"/>
        <charset val="1"/>
      </rPr>
      <t xml:space="preserve">• Deer velvet extract (</t>
    </r>
    <r>
      <rPr>
        <sz val="10"/>
        <rFont val="Noto Sans CJK SC"/>
        <family val="2"/>
      </rPr>
      <t xml:space="preserve">녹용추출물</t>
    </r>
    <r>
      <rPr>
        <sz val="10"/>
        <rFont val="Arial"/>
        <family val="0"/>
        <charset val="1"/>
      </rPr>
      <t xml:space="preserve">) — mostly EXPORT (mainly USA, some Australia); one import record (NZ 2025). 2019–2025 only.</t>
    </r>
  </si>
  <si>
    <t xml:space="preserve">SOURCES</t>
  </si>
  <si>
    <r>
      <rPr>
        <sz val="10"/>
        <rFont val="Arial"/>
        <family val="0"/>
        <charset val="1"/>
      </rPr>
      <t xml:space="preserve">• 2019–2025: '</t>
    </r>
    <r>
      <rPr>
        <sz val="10"/>
        <rFont val="Noto Sans CJK SC"/>
        <family val="2"/>
      </rPr>
      <t xml:space="preserve">동축산물 검역실적</t>
    </r>
    <r>
      <rPr>
        <sz val="10"/>
        <rFont val="Arial"/>
        <family val="0"/>
        <charset val="1"/>
      </rPr>
      <t xml:space="preserve">' (Animal/Livestock Product Quarantine Results), MAFRA Open Data Portal. Regular quarantine passes only ('</t>
    </r>
    <r>
      <rPr>
        <sz val="10"/>
        <rFont val="Noto Sans CJK SC"/>
        <family val="2"/>
      </rPr>
      <t xml:space="preserve">합격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일반검역</t>
    </r>
    <r>
      <rPr>
        <sz val="10"/>
        <rFont val="Arial"/>
        <family val="0"/>
        <charset val="1"/>
      </rPr>
      <t xml:space="preserve">').</t>
    </r>
  </si>
  <si>
    <t xml:space="preserve">   URL: https://data.mafra.go.kr/opendata/data/indexOpenDataDetail.do?data_id=20181019000000000968</t>
  </si>
  <si>
    <r>
      <rPr>
        <sz val="10"/>
        <rFont val="Arial"/>
        <family val="0"/>
        <charset val="1"/>
      </rPr>
      <t xml:space="preserve">• 2026 (Jan–Jun): '</t>
    </r>
    <r>
      <rPr>
        <sz val="10"/>
        <rFont val="Noto Sans CJK SC"/>
        <family val="2"/>
      </rPr>
      <t xml:space="preserve">동축산물검역통계</t>
    </r>
    <r>
      <rPr>
        <sz val="10"/>
        <rFont val="Arial"/>
        <family val="0"/>
        <charset val="1"/>
      </rPr>
      <t xml:space="preserve">' (Import/Export Quarantine Statistics), QIA statistics portal. INCLUDES on-site inspection (</t>
    </r>
    <r>
      <rPr>
        <sz val="10"/>
        <rFont val="Noto Sans CJK SC"/>
        <family val="2"/>
      </rPr>
      <t xml:space="preserve">현장검역</t>
    </r>
    <r>
      <rPr>
        <sz val="10"/>
        <rFont val="Arial"/>
        <family val="0"/>
        <charset val="1"/>
      </rPr>
      <t xml:space="preserve">) volumes.</t>
    </r>
  </si>
  <si>
    <t xml:space="preserve">   URL: https://eminwon.qia.go.kr/statistics/statistics_No1.do</t>
  </si>
  <si>
    <t xml:space="preserve">CRITICAL CAVEATS</t>
  </si>
  <si>
    <t xml:space="preserve">1. Basis break in 2026: portal data runs ~0.1–0.3% higher than annual-file data and includes small-volume countries (Australia, Mongolia, USA, Canada)</t>
  </si>
  <si>
    <t xml:space="preserve">   absent from earlier years. → When the official 2026 annual file is released, replace the 2026 rows with it for a homogeneous series.</t>
  </si>
  <si>
    <t xml:space="preserve">2. 2026 covers Dried/Frozen velvet only — extract was NOT queried, so extract has no 2026 data (blank, not zero).</t>
  </si>
  <si>
    <t xml:space="preserve">3. Country = country of export, not origin (e.g. NZ velvet processed in China is counted as China).</t>
  </si>
  <si>
    <t xml:space="preserve">4. Failed-quarantine volumes are excluded throughout (immaterial: ~26 kg/yr per external reports).</t>
  </si>
  <si>
    <t xml:space="preserve">VERIFICATION LOG</t>
  </si>
  <si>
    <r>
      <rPr>
        <sz val="10"/>
        <rFont val="Arial"/>
        <family val="0"/>
        <charset val="1"/>
      </rPr>
      <t xml:space="preserve">a) Extraction check: country-row sums match the subtotal (</t>
    </r>
    <r>
      <rPr>
        <sz val="10"/>
        <rFont val="Noto Sans CJK SC"/>
        <family val="2"/>
      </rPr>
      <t xml:space="preserve">품명계</t>
    </r>
    <r>
      <rPr>
        <sz val="10"/>
        <rFont val="Arial"/>
        <family val="0"/>
        <charset val="1"/>
      </rPr>
      <t xml:space="preserve">) rows inside every source file, 2019–2025 (all three products). PASS.</t>
    </r>
  </si>
  <si>
    <t xml:space="preserve">b) 2026 check: monthly country sums match each portal file's printed grand total. PASS.</t>
  </si>
  <si>
    <t xml:space="preserve">c) External cross-check: 1,045 data points vs 20 independent quarterly reports (2021Q1–2025Q4). No dataset errors; all gaps explained</t>
  </si>
  <si>
    <t xml:space="preserve">   (on-site-inspection basis; a 2021 China/NZ reattribution the reports corrected from 2022Q3; report rounding; dropped small-country rows).</t>
  </si>
  <si>
    <t xml:space="preserve">   Note: quarterly reports cover Dried/Frozen import only, so extract figures are not externally cross-checked (but pass the subtotal check).</t>
  </si>
  <si>
    <t xml:space="preserve">d) Internal consistency: no duplicate keys in Flat Data; Annual Summary totals equal Flat Data totals; zero formula errors.</t>
  </si>
  <si>
    <t xml:space="preserve">GLOSSARY</t>
  </si>
  <si>
    <r>
      <rPr>
        <sz val="10"/>
        <rFont val="Arial"/>
        <family val="0"/>
        <charset val="1"/>
      </rPr>
      <t xml:space="preserve">Dried deer velvet = </t>
    </r>
    <r>
      <rPr>
        <sz val="10"/>
        <rFont val="Noto Sans CJK SC"/>
        <family val="2"/>
      </rPr>
      <t xml:space="preserve">녹용 </t>
    </r>
    <r>
      <rPr>
        <sz val="10"/>
        <rFont val="Arial"/>
        <family val="0"/>
        <charset val="1"/>
      </rPr>
      <t xml:space="preserve">· Frozen deer velvet = </t>
    </r>
    <r>
      <rPr>
        <sz val="10"/>
        <rFont val="Noto Sans CJK SC"/>
        <family val="2"/>
      </rPr>
      <t xml:space="preserve">생녹용 </t>
    </r>
    <r>
      <rPr>
        <sz val="10"/>
        <rFont val="Arial"/>
        <family val="0"/>
        <charset val="1"/>
      </rPr>
      <t xml:space="preserve">· Deer velvet extract = </t>
    </r>
    <r>
      <rPr>
        <sz val="10"/>
        <rFont val="Noto Sans CJK SC"/>
        <family val="2"/>
      </rPr>
      <t xml:space="preserve">녹용추출물 </t>
    </r>
    <r>
      <rPr>
        <sz val="10"/>
        <rFont val="Arial"/>
        <family val="0"/>
        <charset val="1"/>
      </rPr>
      <t xml:space="preserve">· Cases = </t>
    </r>
    <r>
      <rPr>
        <sz val="10"/>
        <rFont val="Noto Sans CJK SC"/>
        <family val="2"/>
      </rPr>
      <t xml:space="preserve">건수 </t>
    </r>
    <r>
      <rPr>
        <sz val="10"/>
        <rFont val="Arial"/>
        <family val="0"/>
        <charset val="1"/>
      </rPr>
      <t xml:space="preserve">· Qty(kg) = </t>
    </r>
    <r>
      <rPr>
        <sz val="10"/>
        <rFont val="Noto Sans CJK SC"/>
        <family val="2"/>
      </rPr>
      <t xml:space="preserve">수량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중량 </t>
    </r>
    <r>
      <rPr>
        <sz val="10"/>
        <rFont val="Arial"/>
        <family val="0"/>
        <charset val="1"/>
      </rPr>
      <t xml:space="preserve">· QIA = </t>
    </r>
    <r>
      <rPr>
        <sz val="10"/>
        <rFont val="Noto Sans CJK SC"/>
        <family val="2"/>
      </rPr>
      <t xml:space="preserve">농림축산검역본부</t>
    </r>
  </si>
  <si>
    <t xml:space="preserve">Year</t>
  </si>
  <si>
    <t xml:space="preserve">Month</t>
  </si>
  <si>
    <t xml:space="preserve">Trade</t>
  </si>
  <si>
    <t xml:space="preserve">Product</t>
  </si>
  <si>
    <t xml:space="preserve">Product_KR</t>
  </si>
  <si>
    <t xml:space="preserve">Country</t>
  </si>
  <si>
    <t xml:space="preserve">Cases</t>
  </si>
  <si>
    <t xml:space="preserve">Quantity_kg</t>
  </si>
  <si>
    <t xml:space="preserve">Import</t>
  </si>
  <si>
    <t xml:space="preserve">Dried deer velvet</t>
  </si>
  <si>
    <t xml:space="preserve">녹용</t>
  </si>
  <si>
    <t xml:space="preserve">China</t>
  </si>
  <si>
    <t xml:space="preserve">This sheet is the machine-friendly version: one row = one country-month record.</t>
  </si>
  <si>
    <t xml:space="preserve">Hong Kong</t>
  </si>
  <si>
    <t xml:space="preserve">No merged cells, no subtotal rows. Rows exist only where shipments occurred.</t>
  </si>
  <si>
    <t xml:space="preserve">New Zealand</t>
  </si>
  <si>
    <t xml:space="preserve">2026 covers Jan-Jun only, and includes Dried/Frozen velvet only (no extract queried).</t>
  </si>
  <si>
    <t xml:space="preserve">Russia</t>
  </si>
  <si>
    <t xml:space="preserve">Use this sheet for pivot tables, charts, or AI analysis.</t>
  </si>
  <si>
    <t xml:space="preserve">Frozen deer velvet</t>
  </si>
  <si>
    <t xml:space="preserve">생녹용</t>
  </si>
  <si>
    <t xml:space="preserve">Export</t>
  </si>
  <si>
    <t xml:space="preserve">Deer velvet extract</t>
  </si>
  <si>
    <t xml:space="preserve">녹용추출물</t>
  </si>
  <si>
    <t xml:space="preserve">USA</t>
  </si>
  <si>
    <t xml:space="preserve">Singapore</t>
  </si>
  <si>
    <t xml:space="preserve">Kazakhstan</t>
  </si>
  <si>
    <t xml:space="preserve">Australia</t>
  </si>
  <si>
    <t xml:space="preserve">Vietnam</t>
  </si>
  <si>
    <t xml:space="preserve">Mongolia</t>
  </si>
  <si>
    <t xml:space="preserve">Canada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</si>
  <si>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</si>
  <si>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</si>
  <si>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</si>
  <si>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</si>
  <si>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</si>
  <si>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</si>
  <si>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</si>
  <si>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</si>
  <si>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</si>
  <si>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</si>
  <si>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</si>
  <si>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</si>
  <si>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Cases</t>
  </si>
  <si>
    <t xml:space="preserve">Annual Qty (kg)</t>
  </si>
  <si>
    <t xml:space="preserve">Qty (kg)</t>
  </si>
  <si>
    <t xml:space="preserve">Subtotal (source)</t>
  </si>
  <si>
    <t xml:space="preserve">Subtotal (ea, source)</t>
  </si>
  <si>
    <t xml:space="preserve">Subtotal (kg, source)</t>
  </si>
  <si>
    <t xml:space="preserve">Import — Dried deer velvet: Annual Quarantine Results by Country</t>
  </si>
  <si>
    <t xml:space="preserve">2019 Cases</t>
  </si>
  <si>
    <t xml:space="preserve">2019 Qty (kg)</t>
  </si>
  <si>
    <t xml:space="preserve">2020 Cases</t>
  </si>
  <si>
    <t xml:space="preserve">2020 Qty (kg)</t>
  </si>
  <si>
    <t xml:space="preserve">2021 Cases</t>
  </si>
  <si>
    <t xml:space="preserve">2021 Qty (kg)</t>
  </si>
  <si>
    <t xml:space="preserve">2022 Cases</t>
  </si>
  <si>
    <t xml:space="preserve">2022 Qty (kg)</t>
  </si>
  <si>
    <t xml:space="preserve">2023 Cases</t>
  </si>
  <si>
    <t xml:space="preserve">2023 Qty (kg)</t>
  </si>
  <si>
    <t xml:space="preserve">2024 Cases</t>
  </si>
  <si>
    <t xml:space="preserve">2024 Qty (kg)</t>
  </si>
  <si>
    <t xml:space="preserve">2025 Cases</t>
  </si>
  <si>
    <t xml:space="preserve">2025 Qty (kg)</t>
  </si>
  <si>
    <t xml:space="preserve">2026* Cases</t>
  </si>
  <si>
    <t xml:space="preserve">2026* Qty (kg)</t>
  </si>
  <si>
    <t xml:space="preserve">Total</t>
  </si>
  <si>
    <t xml:space="preserve">Import — Frozen deer velvet: Annual Quarantine Results by Country</t>
  </si>
  <si>
    <t xml:space="preserve">Export — Dried deer velvet: Annual Quarantine Results by Country</t>
  </si>
  <si>
    <t xml:space="preserve">Export — Deer velvet extract: Annual Quarantine Results by Country</t>
  </si>
  <si>
    <t xml:space="preserve">Import — Deer velvet extract: Annual Quarantine Results by Country</t>
  </si>
  <si>
    <t xml:space="preserve">Notes:</t>
  </si>
  <si>
    <t xml:space="preserve">* 2026 data covers January–June only, Dried/Frozen deer velvet only (extract not queried for 2026).</t>
  </si>
  <si>
    <r>
      <rPr>
        <i val="true"/>
        <sz val="9"/>
        <rFont val="Arial"/>
        <family val="0"/>
        <charset val="1"/>
      </rPr>
      <t xml:space="preserve">Source: (2019–2025) '</t>
    </r>
    <r>
      <rPr>
        <i val="true"/>
        <sz val="9"/>
        <rFont val="Noto Sans CJK SC"/>
        <family val="2"/>
      </rPr>
      <t xml:space="preserve">동축산물 검역실적</t>
    </r>
    <r>
      <rPr>
        <i val="true"/>
        <sz val="9"/>
        <rFont val="Arial"/>
        <family val="0"/>
        <charset val="1"/>
      </rPr>
      <t xml:space="preserve">', MAFRA Open Data Portal — https://data.mafra.go.kr/opendata/data/indexOpenDataDetail.do?data_id=20181019000000000968 · (2026) '</t>
    </r>
    <r>
      <rPr>
        <i val="true"/>
        <sz val="9"/>
        <rFont val="Noto Sans CJK SC"/>
        <family val="2"/>
      </rPr>
      <t xml:space="preserve">동축산물검역통계</t>
    </r>
    <r>
      <rPr>
        <i val="true"/>
        <sz val="9"/>
        <rFont val="Arial"/>
        <family val="0"/>
        <charset val="1"/>
      </rPr>
      <t xml:space="preserve">', QIA statistics portal — https://eminwon.qia.go.kr/statistics/statistics_No1.do</t>
    </r>
  </si>
  <si>
    <t xml:space="preserve">Figures are aggregated from the 'Monthly Detail' sheet via SUMIFS. Blank cells in the detail sheet mean no shipments ('-' in the source).</t>
  </si>
  <si>
    <t xml:space="preserve">'Subtotal (source)' rows are subtotals as published in the original files; kept in Monthly Detail for reference but excluded from this summary to avoid double counting.</t>
  </si>
  <si>
    <r>
      <rPr>
        <i val="true"/>
        <sz val="9"/>
        <rFont val="Arial"/>
        <family val="0"/>
        <charset val="1"/>
      </rPr>
      <t xml:space="preserve">Quantity is in kilograms. Dried deer velvet = </t>
    </r>
    <r>
      <rPr>
        <i val="true"/>
        <sz val="9"/>
        <rFont val="Noto Sans CJK SC"/>
        <family val="2"/>
      </rPr>
      <t xml:space="preserve">녹용</t>
    </r>
    <r>
      <rPr>
        <i val="true"/>
        <sz val="9"/>
        <rFont val="Arial"/>
        <family val="0"/>
        <charset val="1"/>
      </rPr>
      <t xml:space="preserve">; Frozen deer velvet = </t>
    </r>
    <r>
      <rPr>
        <i val="true"/>
        <sz val="9"/>
        <rFont val="Noto Sans CJK SC"/>
        <family val="2"/>
      </rPr>
      <t xml:space="preserve">생녹용</t>
    </r>
    <r>
      <rPr>
        <i val="true"/>
        <sz val="9"/>
        <rFont val="Arial"/>
        <family val="0"/>
        <charset val="1"/>
      </rPr>
      <t xml:space="preserve">; Deer velvet extract = </t>
    </r>
    <r>
      <rPr>
        <i val="true"/>
        <sz val="9"/>
        <rFont val="Noto Sans CJK SC"/>
        <family val="2"/>
      </rPr>
      <t xml:space="preserve">녹용추출물</t>
    </r>
    <r>
      <rPr>
        <i val="true"/>
        <sz val="9"/>
        <rFont val="Arial"/>
        <family val="0"/>
        <charset val="1"/>
      </rPr>
      <t xml:space="preserve">.</t>
    </r>
  </si>
  <si>
    <t xml:space="preserve">Deer velvet extract is mostly an EXPORT item (mainly to USA), unlike Dried/Frozen velvet which are almost entirely imports.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</si>
</sst>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5B95"/>
      <name val="Arial"/>
      <family val="0"/>
      <charset val="1"/>
    </font>
    <font>
      <sz val="10"/>
      <name val="Noto Sans CJK SC"/>
      <family val="2"/>
    </font>
    <font>
      <sz val="9"/>
      <color rgb="FF2F5B9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5B95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B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B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5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4" t="s">
        <v>23</v>
      </c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4" t="s">
        <v>30</v>
      </c>
    </row>
    <row r="39" customFormat="false" ht="15" hidden="false" customHeight="false" outlineLevel="0" collapsed="false">
      <c r="A39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</row>
    <row r="2" customFormat="false" ht="15" hidden="false" customHeight="false" outlineLevel="0" collapsed="false">
      <c r="A2" s="7" t="n">
        <v>2019</v>
      </c>
      <c r="B2" s="7" t="n">
        <v>1</v>
      </c>
      <c r="C2" s="7" t="s">
        <v>40</v>
      </c>
      <c r="D2" s="7" t="s">
        <v>41</v>
      </c>
      <c r="E2" s="8" t="s">
        <v>42</v>
      </c>
      <c r="F2" s="7" t="s">
        <v>43</v>
      </c>
      <c r="G2" s="7" t="n">
        <v>11</v>
      </c>
      <c r="H2" s="9" t="n">
        <v>6509.6</v>
      </c>
      <c r="J2" s="10" t="s">
        <v>44</v>
      </c>
    </row>
    <row r="3" customFormat="false" ht="15" hidden="false" customHeight="false" outlineLevel="0" collapsed="false">
      <c r="A3" s="7" t="n">
        <v>2019</v>
      </c>
      <c r="B3" s="7" t="n">
        <v>1</v>
      </c>
      <c r="C3" s="7" t="s">
        <v>40</v>
      </c>
      <c r="D3" s="7" t="s">
        <v>41</v>
      </c>
      <c r="E3" s="8" t="s">
        <v>42</v>
      </c>
      <c r="F3" s="7" t="s">
        <v>45</v>
      </c>
      <c r="G3" s="7" t="n">
        <v>1</v>
      </c>
      <c r="H3" s="9" t="n">
        <v>353</v>
      </c>
      <c r="J3" s="10" t="s">
        <v>46</v>
      </c>
    </row>
    <row r="4" customFormat="false" ht="15" hidden="false" customHeight="false" outlineLevel="0" collapsed="false">
      <c r="A4" s="7" t="n">
        <v>2019</v>
      </c>
      <c r="B4" s="7" t="n">
        <v>1</v>
      </c>
      <c r="C4" s="7" t="s">
        <v>40</v>
      </c>
      <c r="D4" s="7" t="s">
        <v>41</v>
      </c>
      <c r="E4" s="8" t="s">
        <v>42</v>
      </c>
      <c r="F4" s="7" t="s">
        <v>47</v>
      </c>
      <c r="G4" s="7" t="n">
        <v>3</v>
      </c>
      <c r="H4" s="9" t="n">
        <v>2819.49</v>
      </c>
      <c r="J4" s="10" t="s">
        <v>48</v>
      </c>
    </row>
    <row r="5" customFormat="false" ht="15" hidden="false" customHeight="false" outlineLevel="0" collapsed="false">
      <c r="A5" s="7" t="n">
        <v>2019</v>
      </c>
      <c r="B5" s="7" t="n">
        <v>1</v>
      </c>
      <c r="C5" s="7" t="s">
        <v>40</v>
      </c>
      <c r="D5" s="7" t="s">
        <v>41</v>
      </c>
      <c r="E5" s="8" t="s">
        <v>42</v>
      </c>
      <c r="F5" s="7" t="s">
        <v>49</v>
      </c>
      <c r="G5" s="7" t="n">
        <v>2</v>
      </c>
      <c r="H5" s="9" t="n">
        <v>1338</v>
      </c>
      <c r="J5" s="10" t="s">
        <v>50</v>
      </c>
    </row>
    <row r="6" customFormat="false" ht="15" hidden="false" customHeight="false" outlineLevel="0" collapsed="false">
      <c r="A6" s="7" t="n">
        <v>2019</v>
      </c>
      <c r="B6" s="7" t="n">
        <v>1</v>
      </c>
      <c r="C6" s="7" t="s">
        <v>40</v>
      </c>
      <c r="D6" s="7" t="s">
        <v>51</v>
      </c>
      <c r="E6" s="8" t="s">
        <v>52</v>
      </c>
      <c r="F6" s="7" t="s">
        <v>47</v>
      </c>
      <c r="G6" s="7" t="n">
        <v>2</v>
      </c>
      <c r="H6" s="9" t="n">
        <v>7649.46</v>
      </c>
    </row>
    <row r="7" customFormat="false" ht="15" hidden="false" customHeight="false" outlineLevel="0" collapsed="false">
      <c r="A7" s="7" t="n">
        <v>2019</v>
      </c>
      <c r="B7" s="7" t="n">
        <v>2</v>
      </c>
      <c r="C7" s="7" t="s">
        <v>40</v>
      </c>
      <c r="D7" s="7" t="s">
        <v>41</v>
      </c>
      <c r="E7" s="8" t="s">
        <v>42</v>
      </c>
      <c r="F7" s="7" t="s">
        <v>43</v>
      </c>
      <c r="G7" s="7" t="n">
        <v>2</v>
      </c>
      <c r="H7" s="9" t="n">
        <v>4150</v>
      </c>
    </row>
    <row r="8" customFormat="false" ht="15" hidden="false" customHeight="false" outlineLevel="0" collapsed="false">
      <c r="A8" s="7" t="n">
        <v>2019</v>
      </c>
      <c r="B8" s="7" t="n">
        <v>2</v>
      </c>
      <c r="C8" s="7" t="s">
        <v>40</v>
      </c>
      <c r="D8" s="7" t="s">
        <v>41</v>
      </c>
      <c r="E8" s="8" t="s">
        <v>42</v>
      </c>
      <c r="F8" s="7" t="s">
        <v>45</v>
      </c>
      <c r="G8" s="7" t="n">
        <v>5</v>
      </c>
      <c r="H8" s="9" t="n">
        <v>3528.6</v>
      </c>
    </row>
    <row r="9" customFormat="false" ht="15" hidden="false" customHeight="false" outlineLevel="0" collapsed="false">
      <c r="A9" s="7" t="n">
        <v>2019</v>
      </c>
      <c r="B9" s="7" t="n">
        <v>2</v>
      </c>
      <c r="C9" s="7" t="s">
        <v>40</v>
      </c>
      <c r="D9" s="7" t="s">
        <v>41</v>
      </c>
      <c r="E9" s="8" t="s">
        <v>42</v>
      </c>
      <c r="F9" s="7" t="s">
        <v>47</v>
      </c>
      <c r="G9" s="7" t="n">
        <v>3</v>
      </c>
      <c r="H9" s="9" t="n">
        <v>4578</v>
      </c>
    </row>
    <row r="10" customFormat="false" ht="15" hidden="false" customHeight="false" outlineLevel="0" collapsed="false">
      <c r="A10" s="7" t="n">
        <v>2019</v>
      </c>
      <c r="B10" s="7" t="n">
        <v>2</v>
      </c>
      <c r="C10" s="7" t="s">
        <v>40</v>
      </c>
      <c r="D10" s="7" t="s">
        <v>51</v>
      </c>
      <c r="E10" s="8" t="s">
        <v>52</v>
      </c>
      <c r="F10" s="7" t="s">
        <v>47</v>
      </c>
      <c r="G10" s="7" t="n">
        <v>3</v>
      </c>
      <c r="H10" s="9" t="n">
        <v>14807.02</v>
      </c>
    </row>
    <row r="11" customFormat="false" ht="15" hidden="false" customHeight="false" outlineLevel="0" collapsed="false">
      <c r="A11" s="7" t="n">
        <v>2019</v>
      </c>
      <c r="B11" s="7" t="n">
        <v>3</v>
      </c>
      <c r="C11" s="7" t="s">
        <v>53</v>
      </c>
      <c r="D11" s="7" t="s">
        <v>54</v>
      </c>
      <c r="E11" s="8" t="s">
        <v>55</v>
      </c>
      <c r="F11" s="7" t="s">
        <v>56</v>
      </c>
      <c r="G11" s="7" t="n">
        <v>2</v>
      </c>
      <c r="H11" s="9" t="n">
        <v>3141.8</v>
      </c>
    </row>
    <row r="12" customFormat="false" ht="15" hidden="false" customHeight="false" outlineLevel="0" collapsed="false">
      <c r="A12" s="7" t="n">
        <v>2019</v>
      </c>
      <c r="B12" s="7" t="n">
        <v>3</v>
      </c>
      <c r="C12" s="7" t="s">
        <v>40</v>
      </c>
      <c r="D12" s="7" t="s">
        <v>41</v>
      </c>
      <c r="E12" s="8" t="s">
        <v>42</v>
      </c>
      <c r="F12" s="7" t="s">
        <v>43</v>
      </c>
      <c r="G12" s="7" t="n">
        <v>7</v>
      </c>
      <c r="H12" s="9" t="n">
        <v>7550.34</v>
      </c>
    </row>
    <row r="13" customFormat="false" ht="15" hidden="false" customHeight="false" outlineLevel="0" collapsed="false">
      <c r="A13" s="7" t="n">
        <v>2019</v>
      </c>
      <c r="B13" s="7" t="n">
        <v>3</v>
      </c>
      <c r="C13" s="7" t="s">
        <v>40</v>
      </c>
      <c r="D13" s="7" t="s">
        <v>41</v>
      </c>
      <c r="E13" s="8" t="s">
        <v>42</v>
      </c>
      <c r="F13" s="7" t="s">
        <v>45</v>
      </c>
      <c r="G13" s="7" t="n">
        <v>1</v>
      </c>
      <c r="H13" s="9" t="n">
        <v>400</v>
      </c>
    </row>
    <row r="14" customFormat="false" ht="15" hidden="false" customHeight="false" outlineLevel="0" collapsed="false">
      <c r="A14" s="7" t="n">
        <v>2019</v>
      </c>
      <c r="B14" s="7" t="n">
        <v>3</v>
      </c>
      <c r="C14" s="7" t="s">
        <v>40</v>
      </c>
      <c r="D14" s="7" t="s">
        <v>41</v>
      </c>
      <c r="E14" s="8" t="s">
        <v>42</v>
      </c>
      <c r="F14" s="7" t="s">
        <v>47</v>
      </c>
      <c r="G14" s="7" t="n">
        <v>5</v>
      </c>
      <c r="H14" s="9" t="n">
        <v>6774.43</v>
      </c>
    </row>
    <row r="15" customFormat="false" ht="15" hidden="false" customHeight="false" outlineLevel="0" collapsed="false">
      <c r="A15" s="7" t="n">
        <v>2019</v>
      </c>
      <c r="B15" s="7" t="n">
        <v>3</v>
      </c>
      <c r="C15" s="7" t="s">
        <v>40</v>
      </c>
      <c r="D15" s="7" t="s">
        <v>51</v>
      </c>
      <c r="E15" s="8" t="s">
        <v>52</v>
      </c>
      <c r="F15" s="7" t="s">
        <v>47</v>
      </c>
      <c r="G15" s="7" t="n">
        <v>6</v>
      </c>
      <c r="H15" s="9" t="n">
        <v>24581.28</v>
      </c>
    </row>
    <row r="16" customFormat="false" ht="15" hidden="false" customHeight="false" outlineLevel="0" collapsed="false">
      <c r="A16" s="7" t="n">
        <v>2019</v>
      </c>
      <c r="B16" s="7" t="n">
        <v>4</v>
      </c>
      <c r="C16" s="7" t="s">
        <v>53</v>
      </c>
      <c r="D16" s="7" t="s">
        <v>54</v>
      </c>
      <c r="E16" s="8" t="s">
        <v>55</v>
      </c>
      <c r="F16" s="7" t="s">
        <v>56</v>
      </c>
      <c r="G16" s="7" t="n">
        <v>1</v>
      </c>
      <c r="H16" s="9" t="n">
        <v>3286</v>
      </c>
    </row>
    <row r="17" customFormat="false" ht="15" hidden="false" customHeight="false" outlineLevel="0" collapsed="false">
      <c r="A17" s="7" t="n">
        <v>2019</v>
      </c>
      <c r="B17" s="7" t="n">
        <v>4</v>
      </c>
      <c r="C17" s="7" t="s">
        <v>40</v>
      </c>
      <c r="D17" s="7" t="s">
        <v>41</v>
      </c>
      <c r="E17" s="8" t="s">
        <v>42</v>
      </c>
      <c r="F17" s="7" t="s">
        <v>43</v>
      </c>
      <c r="G17" s="7" t="n">
        <v>5</v>
      </c>
      <c r="H17" s="9" t="n">
        <v>3178.3</v>
      </c>
    </row>
    <row r="18" customFormat="false" ht="15" hidden="false" customHeight="false" outlineLevel="0" collapsed="false">
      <c r="A18" s="7" t="n">
        <v>2019</v>
      </c>
      <c r="B18" s="7" t="n">
        <v>4</v>
      </c>
      <c r="C18" s="7" t="s">
        <v>40</v>
      </c>
      <c r="D18" s="7" t="s">
        <v>41</v>
      </c>
      <c r="E18" s="8" t="s">
        <v>42</v>
      </c>
      <c r="F18" s="7" t="s">
        <v>45</v>
      </c>
      <c r="G18" s="7" t="n">
        <v>4</v>
      </c>
      <c r="H18" s="9" t="n">
        <v>2026</v>
      </c>
    </row>
    <row r="19" customFormat="false" ht="15" hidden="false" customHeight="false" outlineLevel="0" collapsed="false">
      <c r="A19" s="7" t="n">
        <v>2019</v>
      </c>
      <c r="B19" s="7" t="n">
        <v>4</v>
      </c>
      <c r="C19" s="7" t="s">
        <v>40</v>
      </c>
      <c r="D19" s="7" t="s">
        <v>41</v>
      </c>
      <c r="E19" s="8" t="s">
        <v>42</v>
      </c>
      <c r="F19" s="7" t="s">
        <v>47</v>
      </c>
      <c r="G19" s="7" t="n">
        <v>5</v>
      </c>
      <c r="H19" s="9" t="n">
        <v>5595.34</v>
      </c>
    </row>
    <row r="20" customFormat="false" ht="15" hidden="false" customHeight="false" outlineLevel="0" collapsed="false">
      <c r="A20" s="7" t="n">
        <v>2019</v>
      </c>
      <c r="B20" s="7" t="n">
        <v>4</v>
      </c>
      <c r="C20" s="7" t="s">
        <v>40</v>
      </c>
      <c r="D20" s="7" t="s">
        <v>41</v>
      </c>
      <c r="E20" s="8" t="s">
        <v>42</v>
      </c>
      <c r="F20" s="7" t="s">
        <v>49</v>
      </c>
      <c r="G20" s="7" t="n">
        <v>2</v>
      </c>
      <c r="H20" s="9" t="n">
        <v>3017.16</v>
      </c>
    </row>
    <row r="21" customFormat="false" ht="15" hidden="false" customHeight="false" outlineLevel="0" collapsed="false">
      <c r="A21" s="7" t="n">
        <v>2019</v>
      </c>
      <c r="B21" s="7" t="n">
        <v>4</v>
      </c>
      <c r="C21" s="7" t="s">
        <v>40</v>
      </c>
      <c r="D21" s="7" t="s">
        <v>51</v>
      </c>
      <c r="E21" s="8" t="s">
        <v>52</v>
      </c>
      <c r="F21" s="7" t="s">
        <v>47</v>
      </c>
      <c r="G21" s="7" t="n">
        <v>2</v>
      </c>
      <c r="H21" s="9" t="n">
        <v>4985.86</v>
      </c>
    </row>
    <row r="22" customFormat="false" ht="15" hidden="false" customHeight="false" outlineLevel="0" collapsed="false">
      <c r="A22" s="7" t="n">
        <v>2019</v>
      </c>
      <c r="B22" s="7" t="n">
        <v>5</v>
      </c>
      <c r="C22" s="7" t="s">
        <v>53</v>
      </c>
      <c r="D22" s="7" t="s">
        <v>54</v>
      </c>
      <c r="E22" s="8" t="s">
        <v>55</v>
      </c>
      <c r="F22" s="7" t="s">
        <v>56</v>
      </c>
      <c r="G22" s="7" t="n">
        <v>1</v>
      </c>
      <c r="H22" s="9" t="n">
        <v>3348</v>
      </c>
    </row>
    <row r="23" customFormat="false" ht="15" hidden="false" customHeight="false" outlineLevel="0" collapsed="false">
      <c r="A23" s="7" t="n">
        <v>2019</v>
      </c>
      <c r="B23" s="7" t="n">
        <v>5</v>
      </c>
      <c r="C23" s="7" t="s">
        <v>40</v>
      </c>
      <c r="D23" s="7" t="s">
        <v>41</v>
      </c>
      <c r="E23" s="8" t="s">
        <v>42</v>
      </c>
      <c r="F23" s="7" t="s">
        <v>43</v>
      </c>
      <c r="G23" s="7" t="n">
        <v>12</v>
      </c>
      <c r="H23" s="9" t="n">
        <v>13226</v>
      </c>
    </row>
    <row r="24" customFormat="false" ht="15" hidden="false" customHeight="false" outlineLevel="0" collapsed="false">
      <c r="A24" s="7" t="n">
        <v>2019</v>
      </c>
      <c r="B24" s="7" t="n">
        <v>5</v>
      </c>
      <c r="C24" s="7" t="s">
        <v>40</v>
      </c>
      <c r="D24" s="7" t="s">
        <v>41</v>
      </c>
      <c r="E24" s="8" t="s">
        <v>42</v>
      </c>
      <c r="F24" s="7" t="s">
        <v>45</v>
      </c>
      <c r="G24" s="7" t="n">
        <v>2</v>
      </c>
      <c r="H24" s="9" t="n">
        <v>1074.4</v>
      </c>
    </row>
    <row r="25" customFormat="false" ht="15" hidden="false" customHeight="false" outlineLevel="0" collapsed="false">
      <c r="A25" s="7" t="n">
        <v>2019</v>
      </c>
      <c r="B25" s="7" t="n">
        <v>5</v>
      </c>
      <c r="C25" s="7" t="s">
        <v>40</v>
      </c>
      <c r="D25" s="7" t="s">
        <v>41</v>
      </c>
      <c r="E25" s="8" t="s">
        <v>42</v>
      </c>
      <c r="F25" s="7" t="s">
        <v>47</v>
      </c>
      <c r="G25" s="7" t="n">
        <v>3</v>
      </c>
      <c r="H25" s="9" t="n">
        <v>3111.18</v>
      </c>
    </row>
    <row r="26" customFormat="false" ht="15" hidden="false" customHeight="false" outlineLevel="0" collapsed="false">
      <c r="A26" s="7" t="n">
        <v>2019</v>
      </c>
      <c r="B26" s="7" t="n">
        <v>5</v>
      </c>
      <c r="C26" s="7" t="s">
        <v>40</v>
      </c>
      <c r="D26" s="7" t="s">
        <v>51</v>
      </c>
      <c r="E26" s="8" t="s">
        <v>52</v>
      </c>
      <c r="F26" s="7" t="s">
        <v>47</v>
      </c>
      <c r="G26" s="7" t="n">
        <v>1</v>
      </c>
      <c r="H26" s="9" t="n">
        <v>767.75</v>
      </c>
    </row>
    <row r="27" customFormat="false" ht="15" hidden="false" customHeight="false" outlineLevel="0" collapsed="false">
      <c r="A27" s="7" t="n">
        <v>2019</v>
      </c>
      <c r="B27" s="7" t="n">
        <v>6</v>
      </c>
      <c r="C27" s="7" t="s">
        <v>53</v>
      </c>
      <c r="D27" s="7" t="s">
        <v>54</v>
      </c>
      <c r="E27" s="8" t="s">
        <v>55</v>
      </c>
      <c r="F27" s="7" t="s">
        <v>56</v>
      </c>
      <c r="G27" s="7" t="n">
        <v>1</v>
      </c>
      <c r="H27" s="9" t="n">
        <v>3472</v>
      </c>
    </row>
    <row r="28" customFormat="false" ht="15" hidden="false" customHeight="false" outlineLevel="0" collapsed="false">
      <c r="A28" s="7" t="n">
        <v>2019</v>
      </c>
      <c r="B28" s="7" t="n">
        <v>6</v>
      </c>
      <c r="C28" s="7" t="s">
        <v>40</v>
      </c>
      <c r="D28" s="7" t="s">
        <v>41</v>
      </c>
      <c r="E28" s="8" t="s">
        <v>42</v>
      </c>
      <c r="F28" s="7" t="s">
        <v>43</v>
      </c>
      <c r="G28" s="7" t="n">
        <v>3</v>
      </c>
      <c r="H28" s="9" t="n">
        <v>1860</v>
      </c>
    </row>
    <row r="29" customFormat="false" ht="15" hidden="false" customHeight="false" outlineLevel="0" collapsed="false">
      <c r="A29" s="7" t="n">
        <v>2019</v>
      </c>
      <c r="B29" s="7" t="n">
        <v>6</v>
      </c>
      <c r="C29" s="7" t="s">
        <v>40</v>
      </c>
      <c r="D29" s="7" t="s">
        <v>41</v>
      </c>
      <c r="E29" s="8" t="s">
        <v>42</v>
      </c>
      <c r="F29" s="7" t="s">
        <v>45</v>
      </c>
      <c r="G29" s="7" t="n">
        <v>1</v>
      </c>
      <c r="H29" s="9" t="n">
        <v>300</v>
      </c>
    </row>
    <row r="30" customFormat="false" ht="15" hidden="false" customHeight="false" outlineLevel="0" collapsed="false">
      <c r="A30" s="7" t="n">
        <v>2019</v>
      </c>
      <c r="B30" s="7" t="n">
        <v>6</v>
      </c>
      <c r="C30" s="7" t="s">
        <v>40</v>
      </c>
      <c r="D30" s="7" t="s">
        <v>41</v>
      </c>
      <c r="E30" s="8" t="s">
        <v>42</v>
      </c>
      <c r="F30" s="7" t="s">
        <v>47</v>
      </c>
      <c r="G30" s="7" t="n">
        <v>3</v>
      </c>
      <c r="H30" s="9" t="n">
        <v>2560.46</v>
      </c>
    </row>
    <row r="31" customFormat="false" ht="15" hidden="false" customHeight="false" outlineLevel="0" collapsed="false">
      <c r="A31" s="7" t="n">
        <v>2019</v>
      </c>
      <c r="B31" s="7" t="n">
        <v>6</v>
      </c>
      <c r="C31" s="7" t="s">
        <v>40</v>
      </c>
      <c r="D31" s="7" t="s">
        <v>41</v>
      </c>
      <c r="E31" s="8" t="s">
        <v>42</v>
      </c>
      <c r="F31" s="7" t="s">
        <v>49</v>
      </c>
      <c r="G31" s="7" t="n">
        <v>5</v>
      </c>
      <c r="H31" s="9" t="n">
        <v>3278.75</v>
      </c>
    </row>
    <row r="32" customFormat="false" ht="15" hidden="false" customHeight="false" outlineLevel="0" collapsed="false">
      <c r="A32" s="7" t="n">
        <v>2019</v>
      </c>
      <c r="B32" s="7" t="n">
        <v>6</v>
      </c>
      <c r="C32" s="7" t="s">
        <v>40</v>
      </c>
      <c r="D32" s="7" t="s">
        <v>41</v>
      </c>
      <c r="E32" s="8" t="s">
        <v>42</v>
      </c>
      <c r="F32" s="7" t="s">
        <v>57</v>
      </c>
      <c r="G32" s="7" t="n">
        <v>1</v>
      </c>
      <c r="H32" s="9" t="n">
        <v>500</v>
      </c>
    </row>
    <row r="33" customFormat="false" ht="15" hidden="false" customHeight="false" outlineLevel="0" collapsed="false">
      <c r="A33" s="7" t="n">
        <v>2019</v>
      </c>
      <c r="B33" s="7" t="n">
        <v>6</v>
      </c>
      <c r="C33" s="7" t="s">
        <v>40</v>
      </c>
      <c r="D33" s="7" t="s">
        <v>51</v>
      </c>
      <c r="E33" s="8" t="s">
        <v>52</v>
      </c>
      <c r="F33" s="7" t="s">
        <v>47</v>
      </c>
      <c r="G33" s="7" t="n">
        <v>1</v>
      </c>
      <c r="H33" s="9" t="n">
        <v>1200</v>
      </c>
    </row>
    <row r="34" customFormat="false" ht="15" hidden="false" customHeight="false" outlineLevel="0" collapsed="false">
      <c r="A34" s="7" t="n">
        <v>2019</v>
      </c>
      <c r="B34" s="7" t="n">
        <v>7</v>
      </c>
      <c r="C34" s="7" t="s">
        <v>53</v>
      </c>
      <c r="D34" s="7" t="s">
        <v>54</v>
      </c>
      <c r="E34" s="8" t="s">
        <v>55</v>
      </c>
      <c r="F34" s="7" t="s">
        <v>56</v>
      </c>
      <c r="G34" s="7" t="n">
        <v>1</v>
      </c>
      <c r="H34" s="9" t="n">
        <v>3720</v>
      </c>
    </row>
    <row r="35" customFormat="false" ht="15" hidden="false" customHeight="false" outlineLevel="0" collapsed="false">
      <c r="A35" s="7" t="n">
        <v>2019</v>
      </c>
      <c r="B35" s="7" t="n">
        <v>7</v>
      </c>
      <c r="C35" s="7" t="s">
        <v>40</v>
      </c>
      <c r="D35" s="7" t="s">
        <v>41</v>
      </c>
      <c r="E35" s="8" t="s">
        <v>42</v>
      </c>
      <c r="F35" s="7" t="s">
        <v>43</v>
      </c>
      <c r="G35" s="7" t="n">
        <v>9</v>
      </c>
      <c r="H35" s="9" t="n">
        <v>13463.1</v>
      </c>
    </row>
    <row r="36" customFormat="false" ht="15" hidden="false" customHeight="false" outlineLevel="0" collapsed="false">
      <c r="A36" s="7" t="n">
        <v>2019</v>
      </c>
      <c r="B36" s="7" t="n">
        <v>7</v>
      </c>
      <c r="C36" s="7" t="s">
        <v>40</v>
      </c>
      <c r="D36" s="7" t="s">
        <v>41</v>
      </c>
      <c r="E36" s="8" t="s">
        <v>42</v>
      </c>
      <c r="F36" s="7" t="s">
        <v>45</v>
      </c>
      <c r="G36" s="7" t="n">
        <v>2</v>
      </c>
      <c r="H36" s="9" t="n">
        <v>2862</v>
      </c>
    </row>
    <row r="37" customFormat="false" ht="15" hidden="false" customHeight="false" outlineLevel="0" collapsed="false">
      <c r="A37" s="7" t="n">
        <v>2019</v>
      </c>
      <c r="B37" s="7" t="n">
        <v>7</v>
      </c>
      <c r="C37" s="7" t="s">
        <v>40</v>
      </c>
      <c r="D37" s="7" t="s">
        <v>41</v>
      </c>
      <c r="E37" s="8" t="s">
        <v>42</v>
      </c>
      <c r="F37" s="7" t="s">
        <v>47</v>
      </c>
      <c r="G37" s="7" t="n">
        <v>1</v>
      </c>
      <c r="H37" s="9" t="n">
        <v>1433.5</v>
      </c>
    </row>
    <row r="38" customFormat="false" ht="15" hidden="false" customHeight="false" outlineLevel="0" collapsed="false">
      <c r="A38" s="7" t="n">
        <v>2019</v>
      </c>
      <c r="B38" s="7" t="n">
        <v>7</v>
      </c>
      <c r="C38" s="7" t="s">
        <v>40</v>
      </c>
      <c r="D38" s="7" t="s">
        <v>41</v>
      </c>
      <c r="E38" s="8" t="s">
        <v>42</v>
      </c>
      <c r="F38" s="7" t="s">
        <v>49</v>
      </c>
      <c r="G38" s="7" t="n">
        <v>1</v>
      </c>
      <c r="H38" s="9" t="n">
        <v>441</v>
      </c>
    </row>
    <row r="39" customFormat="false" ht="15" hidden="false" customHeight="false" outlineLevel="0" collapsed="false">
      <c r="A39" s="7" t="n">
        <v>2019</v>
      </c>
      <c r="B39" s="7" t="n">
        <v>7</v>
      </c>
      <c r="C39" s="7" t="s">
        <v>40</v>
      </c>
      <c r="D39" s="7" t="s">
        <v>51</v>
      </c>
      <c r="E39" s="8" t="s">
        <v>52</v>
      </c>
      <c r="F39" s="7" t="s">
        <v>47</v>
      </c>
      <c r="G39" s="7" t="n">
        <v>2</v>
      </c>
      <c r="H39" s="9" t="n">
        <v>9500</v>
      </c>
    </row>
    <row r="40" customFormat="false" ht="15" hidden="false" customHeight="false" outlineLevel="0" collapsed="false">
      <c r="A40" s="7" t="n">
        <v>2019</v>
      </c>
      <c r="B40" s="7" t="n">
        <v>8</v>
      </c>
      <c r="C40" s="7" t="s">
        <v>40</v>
      </c>
      <c r="D40" s="7" t="s">
        <v>41</v>
      </c>
      <c r="E40" s="8" t="s">
        <v>42</v>
      </c>
      <c r="F40" s="7" t="s">
        <v>43</v>
      </c>
      <c r="G40" s="7" t="n">
        <v>3</v>
      </c>
      <c r="H40" s="9" t="n">
        <v>2680</v>
      </c>
    </row>
    <row r="41" customFormat="false" ht="15" hidden="false" customHeight="false" outlineLevel="0" collapsed="false">
      <c r="A41" s="7" t="n">
        <v>2019</v>
      </c>
      <c r="B41" s="7" t="n">
        <v>8</v>
      </c>
      <c r="C41" s="7" t="s">
        <v>40</v>
      </c>
      <c r="D41" s="7" t="s">
        <v>41</v>
      </c>
      <c r="E41" s="8" t="s">
        <v>42</v>
      </c>
      <c r="F41" s="7" t="s">
        <v>45</v>
      </c>
      <c r="G41" s="7" t="n">
        <v>2</v>
      </c>
      <c r="H41" s="9" t="n">
        <v>1030</v>
      </c>
    </row>
    <row r="42" customFormat="false" ht="15" hidden="false" customHeight="false" outlineLevel="0" collapsed="false">
      <c r="A42" s="7" t="n">
        <v>2019</v>
      </c>
      <c r="B42" s="7" t="n">
        <v>8</v>
      </c>
      <c r="C42" s="7" t="s">
        <v>40</v>
      </c>
      <c r="D42" s="7" t="s">
        <v>41</v>
      </c>
      <c r="E42" s="8" t="s">
        <v>42</v>
      </c>
      <c r="F42" s="7" t="s">
        <v>47</v>
      </c>
      <c r="G42" s="7" t="n">
        <v>3</v>
      </c>
      <c r="H42" s="9" t="n">
        <v>3537.51</v>
      </c>
    </row>
    <row r="43" customFormat="false" ht="15" hidden="false" customHeight="false" outlineLevel="0" collapsed="false">
      <c r="A43" s="7" t="n">
        <v>2019</v>
      </c>
      <c r="B43" s="7" t="n">
        <v>8</v>
      </c>
      <c r="C43" s="7" t="s">
        <v>40</v>
      </c>
      <c r="D43" s="7" t="s">
        <v>41</v>
      </c>
      <c r="E43" s="8" t="s">
        <v>42</v>
      </c>
      <c r="F43" s="7" t="s">
        <v>49</v>
      </c>
      <c r="G43" s="7" t="n">
        <v>2</v>
      </c>
      <c r="H43" s="9" t="n">
        <v>520</v>
      </c>
    </row>
    <row r="44" customFormat="false" ht="15" hidden="false" customHeight="false" outlineLevel="0" collapsed="false">
      <c r="A44" s="7" t="n">
        <v>2019</v>
      </c>
      <c r="B44" s="7" t="n">
        <v>8</v>
      </c>
      <c r="C44" s="7" t="s">
        <v>40</v>
      </c>
      <c r="D44" s="7" t="s">
        <v>51</v>
      </c>
      <c r="E44" s="8" t="s">
        <v>52</v>
      </c>
      <c r="F44" s="7" t="s">
        <v>47</v>
      </c>
      <c r="G44" s="7" t="n">
        <v>2</v>
      </c>
      <c r="H44" s="9" t="n">
        <v>11990</v>
      </c>
    </row>
    <row r="45" customFormat="false" ht="15" hidden="false" customHeight="false" outlineLevel="0" collapsed="false">
      <c r="A45" s="7" t="n">
        <v>2019</v>
      </c>
      <c r="B45" s="7" t="n">
        <v>9</v>
      </c>
      <c r="C45" s="7" t="s">
        <v>40</v>
      </c>
      <c r="D45" s="7" t="s">
        <v>41</v>
      </c>
      <c r="E45" s="8" t="s">
        <v>42</v>
      </c>
      <c r="F45" s="7" t="s">
        <v>43</v>
      </c>
      <c r="G45" s="7" t="n">
        <v>6</v>
      </c>
      <c r="H45" s="9" t="n">
        <v>4573.57</v>
      </c>
    </row>
    <row r="46" customFormat="false" ht="15" hidden="false" customHeight="false" outlineLevel="0" collapsed="false">
      <c r="A46" s="7" t="n">
        <v>2019</v>
      </c>
      <c r="B46" s="7" t="n">
        <v>9</v>
      </c>
      <c r="C46" s="7" t="s">
        <v>40</v>
      </c>
      <c r="D46" s="7" t="s">
        <v>41</v>
      </c>
      <c r="E46" s="8" t="s">
        <v>42</v>
      </c>
      <c r="F46" s="7" t="s">
        <v>45</v>
      </c>
      <c r="G46" s="7" t="n">
        <v>1</v>
      </c>
      <c r="H46" s="9" t="n">
        <v>621</v>
      </c>
    </row>
    <row r="47" customFormat="false" ht="15" hidden="false" customHeight="false" outlineLevel="0" collapsed="false">
      <c r="A47" s="7" t="n">
        <v>2019</v>
      </c>
      <c r="B47" s="7" t="n">
        <v>9</v>
      </c>
      <c r="C47" s="7" t="s">
        <v>40</v>
      </c>
      <c r="D47" s="7" t="s">
        <v>41</v>
      </c>
      <c r="E47" s="8" t="s">
        <v>42</v>
      </c>
      <c r="F47" s="7" t="s">
        <v>47</v>
      </c>
      <c r="G47" s="7" t="n">
        <v>2</v>
      </c>
      <c r="H47" s="9" t="n">
        <v>5155.03</v>
      </c>
    </row>
    <row r="48" customFormat="false" ht="15" hidden="false" customHeight="false" outlineLevel="0" collapsed="false">
      <c r="A48" s="7" t="n">
        <v>2019</v>
      </c>
      <c r="B48" s="7" t="n">
        <v>9</v>
      </c>
      <c r="C48" s="7" t="s">
        <v>40</v>
      </c>
      <c r="D48" s="7" t="s">
        <v>41</v>
      </c>
      <c r="E48" s="8" t="s">
        <v>42</v>
      </c>
      <c r="F48" s="7" t="s">
        <v>49</v>
      </c>
      <c r="G48" s="7" t="n">
        <v>1</v>
      </c>
      <c r="H48" s="9" t="n">
        <v>234</v>
      </c>
    </row>
    <row r="49" customFormat="false" ht="15" hidden="false" customHeight="false" outlineLevel="0" collapsed="false">
      <c r="A49" s="7" t="n">
        <v>2019</v>
      </c>
      <c r="B49" s="7" t="n">
        <v>10</v>
      </c>
      <c r="C49" s="7" t="s">
        <v>40</v>
      </c>
      <c r="D49" s="7" t="s">
        <v>41</v>
      </c>
      <c r="E49" s="8" t="s">
        <v>42</v>
      </c>
      <c r="F49" s="7" t="s">
        <v>43</v>
      </c>
      <c r="G49" s="7" t="n">
        <v>6</v>
      </c>
      <c r="H49" s="9" t="n">
        <v>4956</v>
      </c>
    </row>
    <row r="50" customFormat="false" ht="15" hidden="false" customHeight="false" outlineLevel="0" collapsed="false">
      <c r="A50" s="7" t="n">
        <v>2019</v>
      </c>
      <c r="B50" s="7" t="n">
        <v>10</v>
      </c>
      <c r="C50" s="7" t="s">
        <v>40</v>
      </c>
      <c r="D50" s="7" t="s">
        <v>41</v>
      </c>
      <c r="E50" s="8" t="s">
        <v>42</v>
      </c>
      <c r="F50" s="7" t="s">
        <v>45</v>
      </c>
      <c r="G50" s="7" t="n">
        <v>2</v>
      </c>
      <c r="H50" s="9" t="n">
        <v>1405</v>
      </c>
    </row>
    <row r="51" customFormat="false" ht="15" hidden="false" customHeight="false" outlineLevel="0" collapsed="false">
      <c r="A51" s="7" t="n">
        <v>2019</v>
      </c>
      <c r="B51" s="7" t="n">
        <v>10</v>
      </c>
      <c r="C51" s="7" t="s">
        <v>40</v>
      </c>
      <c r="D51" s="7" t="s">
        <v>41</v>
      </c>
      <c r="E51" s="8" t="s">
        <v>42</v>
      </c>
      <c r="F51" s="7" t="s">
        <v>58</v>
      </c>
      <c r="G51" s="7" t="n">
        <v>1</v>
      </c>
      <c r="H51" s="9" t="n">
        <v>140</v>
      </c>
    </row>
    <row r="52" customFormat="false" ht="15" hidden="false" customHeight="false" outlineLevel="0" collapsed="false">
      <c r="A52" s="7" t="n">
        <v>2019</v>
      </c>
      <c r="B52" s="7" t="n">
        <v>10</v>
      </c>
      <c r="C52" s="7" t="s">
        <v>40</v>
      </c>
      <c r="D52" s="7" t="s">
        <v>41</v>
      </c>
      <c r="E52" s="8" t="s">
        <v>42</v>
      </c>
      <c r="F52" s="7" t="s">
        <v>47</v>
      </c>
      <c r="G52" s="7" t="n">
        <v>1</v>
      </c>
      <c r="H52" s="9" t="n">
        <v>1155.6</v>
      </c>
    </row>
    <row r="53" customFormat="false" ht="15" hidden="false" customHeight="false" outlineLevel="0" collapsed="false">
      <c r="A53" s="7" t="n">
        <v>2019</v>
      </c>
      <c r="B53" s="7" t="n">
        <v>10</v>
      </c>
      <c r="C53" s="7" t="s">
        <v>40</v>
      </c>
      <c r="D53" s="7" t="s">
        <v>41</v>
      </c>
      <c r="E53" s="8" t="s">
        <v>42</v>
      </c>
      <c r="F53" s="7" t="s">
        <v>49</v>
      </c>
      <c r="G53" s="7" t="n">
        <v>18</v>
      </c>
      <c r="H53" s="9" t="n">
        <v>17911.41</v>
      </c>
    </row>
    <row r="54" customFormat="false" ht="15" hidden="false" customHeight="false" outlineLevel="0" collapsed="false">
      <c r="A54" s="7" t="n">
        <v>2019</v>
      </c>
      <c r="B54" s="7" t="n">
        <v>10</v>
      </c>
      <c r="C54" s="7" t="s">
        <v>40</v>
      </c>
      <c r="D54" s="7" t="s">
        <v>51</v>
      </c>
      <c r="E54" s="8" t="s">
        <v>52</v>
      </c>
      <c r="F54" s="7" t="s">
        <v>47</v>
      </c>
      <c r="G54" s="7" t="n">
        <v>1</v>
      </c>
      <c r="H54" s="9" t="n">
        <v>1000</v>
      </c>
    </row>
    <row r="55" customFormat="false" ht="15" hidden="false" customHeight="false" outlineLevel="0" collapsed="false">
      <c r="A55" s="7" t="n">
        <v>2019</v>
      </c>
      <c r="B55" s="7" t="n">
        <v>11</v>
      </c>
      <c r="C55" s="7" t="s">
        <v>40</v>
      </c>
      <c r="D55" s="7" t="s">
        <v>41</v>
      </c>
      <c r="E55" s="8" t="s">
        <v>42</v>
      </c>
      <c r="F55" s="7" t="s">
        <v>43</v>
      </c>
      <c r="G55" s="7" t="n">
        <v>5</v>
      </c>
      <c r="H55" s="9" t="n">
        <v>2826.6</v>
      </c>
    </row>
    <row r="56" customFormat="false" ht="15" hidden="false" customHeight="false" outlineLevel="0" collapsed="false">
      <c r="A56" s="7" t="n">
        <v>2019</v>
      </c>
      <c r="B56" s="7" t="n">
        <v>11</v>
      </c>
      <c r="C56" s="7" t="s">
        <v>40</v>
      </c>
      <c r="D56" s="7" t="s">
        <v>41</v>
      </c>
      <c r="E56" s="8" t="s">
        <v>42</v>
      </c>
      <c r="F56" s="7" t="s">
        <v>45</v>
      </c>
      <c r="G56" s="7" t="n">
        <v>3</v>
      </c>
      <c r="H56" s="9" t="n">
        <v>3826</v>
      </c>
    </row>
    <row r="57" customFormat="false" ht="15" hidden="false" customHeight="false" outlineLevel="0" collapsed="false">
      <c r="A57" s="7" t="n">
        <v>2019</v>
      </c>
      <c r="B57" s="7" t="n">
        <v>11</v>
      </c>
      <c r="C57" s="7" t="s">
        <v>40</v>
      </c>
      <c r="D57" s="7" t="s">
        <v>41</v>
      </c>
      <c r="E57" s="8" t="s">
        <v>42</v>
      </c>
      <c r="F57" s="7" t="s">
        <v>58</v>
      </c>
      <c r="G57" s="7" t="n">
        <v>2</v>
      </c>
      <c r="H57" s="9" t="n">
        <v>396</v>
      </c>
    </row>
    <row r="58" customFormat="false" ht="15" hidden="false" customHeight="false" outlineLevel="0" collapsed="false">
      <c r="A58" s="7" t="n">
        <v>2019</v>
      </c>
      <c r="B58" s="7" t="n">
        <v>11</v>
      </c>
      <c r="C58" s="7" t="s">
        <v>40</v>
      </c>
      <c r="D58" s="7" t="s">
        <v>41</v>
      </c>
      <c r="E58" s="8" t="s">
        <v>42</v>
      </c>
      <c r="F58" s="7" t="s">
        <v>47</v>
      </c>
      <c r="G58" s="7" t="n">
        <v>2</v>
      </c>
      <c r="H58" s="9" t="n">
        <v>1300</v>
      </c>
    </row>
    <row r="59" customFormat="false" ht="15" hidden="false" customHeight="false" outlineLevel="0" collapsed="false">
      <c r="A59" s="7" t="n">
        <v>2019</v>
      </c>
      <c r="B59" s="7" t="n">
        <v>11</v>
      </c>
      <c r="C59" s="7" t="s">
        <v>40</v>
      </c>
      <c r="D59" s="7" t="s">
        <v>41</v>
      </c>
      <c r="E59" s="8" t="s">
        <v>42</v>
      </c>
      <c r="F59" s="7" t="s">
        <v>49</v>
      </c>
      <c r="G59" s="7" t="n">
        <v>7</v>
      </c>
      <c r="H59" s="9" t="n">
        <v>9844.03</v>
      </c>
    </row>
    <row r="60" customFormat="false" ht="15" hidden="false" customHeight="false" outlineLevel="0" collapsed="false">
      <c r="A60" s="7" t="n">
        <v>2019</v>
      </c>
      <c r="B60" s="7" t="n">
        <v>11</v>
      </c>
      <c r="C60" s="7" t="s">
        <v>40</v>
      </c>
      <c r="D60" s="7" t="s">
        <v>51</v>
      </c>
      <c r="E60" s="8" t="s">
        <v>52</v>
      </c>
      <c r="F60" s="7" t="s">
        <v>47</v>
      </c>
      <c r="G60" s="7" t="n">
        <v>3</v>
      </c>
      <c r="H60" s="9" t="n">
        <v>7300</v>
      </c>
    </row>
    <row r="61" customFormat="false" ht="15" hidden="false" customHeight="false" outlineLevel="0" collapsed="false">
      <c r="A61" s="7" t="n">
        <v>2019</v>
      </c>
      <c r="B61" s="7" t="n">
        <v>12</v>
      </c>
      <c r="C61" s="7" t="s">
        <v>53</v>
      </c>
      <c r="D61" s="7" t="s">
        <v>54</v>
      </c>
      <c r="E61" s="8" t="s">
        <v>55</v>
      </c>
      <c r="F61" s="7" t="s">
        <v>56</v>
      </c>
      <c r="G61" s="7" t="n">
        <v>2</v>
      </c>
      <c r="H61" s="9" t="n">
        <v>3410</v>
      </c>
    </row>
    <row r="62" customFormat="false" ht="15" hidden="false" customHeight="false" outlineLevel="0" collapsed="false">
      <c r="A62" s="7" t="n">
        <v>2019</v>
      </c>
      <c r="B62" s="7" t="n">
        <v>12</v>
      </c>
      <c r="C62" s="7" t="s">
        <v>40</v>
      </c>
      <c r="D62" s="7" t="s">
        <v>41</v>
      </c>
      <c r="E62" s="8" t="s">
        <v>42</v>
      </c>
      <c r="F62" s="7" t="s">
        <v>43</v>
      </c>
      <c r="G62" s="7" t="n">
        <v>1</v>
      </c>
      <c r="H62" s="9" t="n">
        <v>700</v>
      </c>
    </row>
    <row r="63" customFormat="false" ht="15" hidden="false" customHeight="false" outlineLevel="0" collapsed="false">
      <c r="A63" s="7" t="n">
        <v>2019</v>
      </c>
      <c r="B63" s="7" t="n">
        <v>12</v>
      </c>
      <c r="C63" s="7" t="s">
        <v>40</v>
      </c>
      <c r="D63" s="7" t="s">
        <v>41</v>
      </c>
      <c r="E63" s="8" t="s">
        <v>42</v>
      </c>
      <c r="F63" s="7" t="s">
        <v>45</v>
      </c>
      <c r="G63" s="7" t="n">
        <v>1</v>
      </c>
      <c r="H63" s="9" t="n">
        <v>400</v>
      </c>
    </row>
    <row r="64" customFormat="false" ht="15" hidden="false" customHeight="false" outlineLevel="0" collapsed="false">
      <c r="A64" s="7" t="n">
        <v>2019</v>
      </c>
      <c r="B64" s="7" t="n">
        <v>12</v>
      </c>
      <c r="C64" s="7" t="s">
        <v>40</v>
      </c>
      <c r="D64" s="7" t="s">
        <v>41</v>
      </c>
      <c r="E64" s="8" t="s">
        <v>42</v>
      </c>
      <c r="F64" s="7" t="s">
        <v>58</v>
      </c>
      <c r="G64" s="7" t="n">
        <v>1</v>
      </c>
      <c r="H64" s="9" t="n">
        <v>165</v>
      </c>
    </row>
    <row r="65" customFormat="false" ht="15" hidden="false" customHeight="false" outlineLevel="0" collapsed="false">
      <c r="A65" s="7" t="n">
        <v>2019</v>
      </c>
      <c r="B65" s="7" t="n">
        <v>12</v>
      </c>
      <c r="C65" s="7" t="s">
        <v>40</v>
      </c>
      <c r="D65" s="7" t="s">
        <v>41</v>
      </c>
      <c r="E65" s="8" t="s">
        <v>42</v>
      </c>
      <c r="F65" s="7" t="s">
        <v>47</v>
      </c>
      <c r="G65" s="7" t="n">
        <v>3</v>
      </c>
      <c r="H65" s="9" t="n">
        <v>6000</v>
      </c>
    </row>
    <row r="66" customFormat="false" ht="15" hidden="false" customHeight="false" outlineLevel="0" collapsed="false">
      <c r="A66" s="7" t="n">
        <v>2019</v>
      </c>
      <c r="B66" s="7" t="n">
        <v>12</v>
      </c>
      <c r="C66" s="7" t="s">
        <v>40</v>
      </c>
      <c r="D66" s="7" t="s">
        <v>41</v>
      </c>
      <c r="E66" s="8" t="s">
        <v>42</v>
      </c>
      <c r="F66" s="7" t="s">
        <v>49</v>
      </c>
      <c r="G66" s="7" t="n">
        <v>10</v>
      </c>
      <c r="H66" s="9" t="n">
        <v>9851.65</v>
      </c>
    </row>
    <row r="67" customFormat="false" ht="15" hidden="false" customHeight="false" outlineLevel="0" collapsed="false">
      <c r="A67" s="7" t="n">
        <v>2019</v>
      </c>
      <c r="B67" s="7" t="n">
        <v>12</v>
      </c>
      <c r="C67" s="7" t="s">
        <v>40</v>
      </c>
      <c r="D67" s="7" t="s">
        <v>51</v>
      </c>
      <c r="E67" s="8" t="s">
        <v>52</v>
      </c>
      <c r="F67" s="7" t="s">
        <v>47</v>
      </c>
      <c r="G67" s="7" t="n">
        <v>5</v>
      </c>
      <c r="H67" s="9" t="n">
        <v>15331.6</v>
      </c>
    </row>
    <row r="68" customFormat="false" ht="15" hidden="false" customHeight="false" outlineLevel="0" collapsed="false">
      <c r="A68" s="7" t="n">
        <v>2020</v>
      </c>
      <c r="B68" s="7" t="n">
        <v>1</v>
      </c>
      <c r="C68" s="7" t="s">
        <v>40</v>
      </c>
      <c r="D68" s="7" t="s">
        <v>41</v>
      </c>
      <c r="E68" s="8" t="s">
        <v>42</v>
      </c>
      <c r="F68" s="7" t="s">
        <v>43</v>
      </c>
      <c r="G68" s="7" t="n">
        <v>8</v>
      </c>
      <c r="H68" s="9" t="n">
        <v>7620</v>
      </c>
    </row>
    <row r="69" customFormat="false" ht="15" hidden="false" customHeight="false" outlineLevel="0" collapsed="false">
      <c r="A69" s="7" t="n">
        <v>2020</v>
      </c>
      <c r="B69" s="7" t="n">
        <v>1</v>
      </c>
      <c r="C69" s="7" t="s">
        <v>40</v>
      </c>
      <c r="D69" s="7" t="s">
        <v>41</v>
      </c>
      <c r="E69" s="8" t="s">
        <v>42</v>
      </c>
      <c r="F69" s="7" t="s">
        <v>45</v>
      </c>
      <c r="G69" s="7" t="n">
        <v>3</v>
      </c>
      <c r="H69" s="9" t="n">
        <v>2996.2</v>
      </c>
    </row>
    <row r="70" customFormat="false" ht="15" hidden="false" customHeight="false" outlineLevel="0" collapsed="false">
      <c r="A70" s="7" t="n">
        <v>2020</v>
      </c>
      <c r="B70" s="7" t="n">
        <v>1</v>
      </c>
      <c r="C70" s="7" t="s">
        <v>40</v>
      </c>
      <c r="D70" s="7" t="s">
        <v>41</v>
      </c>
      <c r="E70" s="8" t="s">
        <v>42</v>
      </c>
      <c r="F70" s="7" t="s">
        <v>58</v>
      </c>
      <c r="G70" s="7" t="n">
        <v>1</v>
      </c>
      <c r="H70" s="9" t="n">
        <v>667</v>
      </c>
    </row>
    <row r="71" customFormat="false" ht="15" hidden="false" customHeight="false" outlineLevel="0" collapsed="false">
      <c r="A71" s="7" t="n">
        <v>2020</v>
      </c>
      <c r="B71" s="7" t="n">
        <v>1</v>
      </c>
      <c r="C71" s="7" t="s">
        <v>40</v>
      </c>
      <c r="D71" s="7" t="s">
        <v>41</v>
      </c>
      <c r="E71" s="8" t="s">
        <v>42</v>
      </c>
      <c r="F71" s="7" t="s">
        <v>47</v>
      </c>
      <c r="G71" s="7" t="n">
        <v>2</v>
      </c>
      <c r="H71" s="9" t="n">
        <v>290.1</v>
      </c>
    </row>
    <row r="72" customFormat="false" ht="15" hidden="false" customHeight="false" outlineLevel="0" collapsed="false">
      <c r="A72" s="7" t="n">
        <v>2020</v>
      </c>
      <c r="B72" s="7" t="n">
        <v>1</v>
      </c>
      <c r="C72" s="7" t="s">
        <v>40</v>
      </c>
      <c r="D72" s="7" t="s">
        <v>41</v>
      </c>
      <c r="E72" s="8" t="s">
        <v>42</v>
      </c>
      <c r="F72" s="7" t="s">
        <v>49</v>
      </c>
      <c r="G72" s="7" t="n">
        <v>2</v>
      </c>
      <c r="H72" s="9" t="n">
        <v>2262.8</v>
      </c>
    </row>
    <row r="73" customFormat="false" ht="15" hidden="false" customHeight="false" outlineLevel="0" collapsed="false">
      <c r="A73" s="7" t="n">
        <v>2020</v>
      </c>
      <c r="B73" s="7" t="n">
        <v>1</v>
      </c>
      <c r="C73" s="7" t="s">
        <v>40</v>
      </c>
      <c r="D73" s="7" t="s">
        <v>51</v>
      </c>
      <c r="E73" s="8" t="s">
        <v>52</v>
      </c>
      <c r="F73" s="7" t="s">
        <v>47</v>
      </c>
      <c r="G73" s="7" t="n">
        <v>3</v>
      </c>
      <c r="H73" s="9" t="n">
        <v>6630</v>
      </c>
    </row>
    <row r="74" customFormat="false" ht="15" hidden="false" customHeight="false" outlineLevel="0" collapsed="false">
      <c r="A74" s="7" t="n">
        <v>2020</v>
      </c>
      <c r="B74" s="7" t="n">
        <v>2</v>
      </c>
      <c r="C74" s="7" t="s">
        <v>53</v>
      </c>
      <c r="D74" s="7" t="s">
        <v>54</v>
      </c>
      <c r="E74" s="8" t="s">
        <v>55</v>
      </c>
      <c r="F74" s="7" t="s">
        <v>56</v>
      </c>
      <c r="G74" s="7" t="n">
        <v>1</v>
      </c>
      <c r="H74" s="9" t="n">
        <v>3098.4</v>
      </c>
    </row>
    <row r="75" customFormat="false" ht="15" hidden="false" customHeight="false" outlineLevel="0" collapsed="false">
      <c r="A75" s="7" t="n">
        <v>2020</v>
      </c>
      <c r="B75" s="7" t="n">
        <v>2</v>
      </c>
      <c r="C75" s="7" t="s">
        <v>40</v>
      </c>
      <c r="D75" s="7" t="s">
        <v>41</v>
      </c>
      <c r="E75" s="8" t="s">
        <v>42</v>
      </c>
      <c r="F75" s="7" t="s">
        <v>43</v>
      </c>
      <c r="G75" s="7" t="n">
        <v>6</v>
      </c>
      <c r="H75" s="9" t="n">
        <v>3823</v>
      </c>
    </row>
    <row r="76" customFormat="false" ht="15" hidden="false" customHeight="false" outlineLevel="0" collapsed="false">
      <c r="A76" s="7" t="n">
        <v>2020</v>
      </c>
      <c r="B76" s="7" t="n">
        <v>2</v>
      </c>
      <c r="C76" s="7" t="s">
        <v>40</v>
      </c>
      <c r="D76" s="7" t="s">
        <v>41</v>
      </c>
      <c r="E76" s="8" t="s">
        <v>42</v>
      </c>
      <c r="F76" s="7" t="s">
        <v>45</v>
      </c>
      <c r="G76" s="7" t="n">
        <v>1</v>
      </c>
      <c r="H76" s="9" t="n">
        <v>400</v>
      </c>
    </row>
    <row r="77" customFormat="false" ht="15" hidden="false" customHeight="false" outlineLevel="0" collapsed="false">
      <c r="A77" s="7" t="n">
        <v>2020</v>
      </c>
      <c r="B77" s="7" t="n">
        <v>2</v>
      </c>
      <c r="C77" s="7" t="s">
        <v>40</v>
      </c>
      <c r="D77" s="7" t="s">
        <v>41</v>
      </c>
      <c r="E77" s="8" t="s">
        <v>42</v>
      </c>
      <c r="F77" s="7" t="s">
        <v>47</v>
      </c>
      <c r="G77" s="7" t="n">
        <v>5</v>
      </c>
      <c r="H77" s="9" t="n">
        <v>6919.98</v>
      </c>
    </row>
    <row r="78" customFormat="false" ht="15" hidden="false" customHeight="false" outlineLevel="0" collapsed="false">
      <c r="A78" s="7" t="n">
        <v>2020</v>
      </c>
      <c r="B78" s="7" t="n">
        <v>2</v>
      </c>
      <c r="C78" s="7" t="s">
        <v>40</v>
      </c>
      <c r="D78" s="7" t="s">
        <v>41</v>
      </c>
      <c r="E78" s="8" t="s">
        <v>42</v>
      </c>
      <c r="F78" s="7" t="s">
        <v>49</v>
      </c>
      <c r="G78" s="7" t="n">
        <v>1</v>
      </c>
      <c r="H78" s="9" t="n">
        <v>608.1</v>
      </c>
    </row>
    <row r="79" customFormat="false" ht="15" hidden="false" customHeight="false" outlineLevel="0" collapsed="false">
      <c r="A79" s="7" t="n">
        <v>2020</v>
      </c>
      <c r="B79" s="7" t="n">
        <v>2</v>
      </c>
      <c r="C79" s="7" t="s">
        <v>40</v>
      </c>
      <c r="D79" s="7" t="s">
        <v>51</v>
      </c>
      <c r="E79" s="8" t="s">
        <v>52</v>
      </c>
      <c r="F79" s="7" t="s">
        <v>47</v>
      </c>
      <c r="G79" s="7" t="n">
        <v>5</v>
      </c>
      <c r="H79" s="9" t="n">
        <v>15200</v>
      </c>
    </row>
    <row r="80" customFormat="false" ht="15" hidden="false" customHeight="false" outlineLevel="0" collapsed="false">
      <c r="A80" s="7" t="n">
        <v>2020</v>
      </c>
      <c r="B80" s="7" t="n">
        <v>3</v>
      </c>
      <c r="C80" s="7" t="s">
        <v>53</v>
      </c>
      <c r="D80" s="7" t="s">
        <v>54</v>
      </c>
      <c r="E80" s="8" t="s">
        <v>55</v>
      </c>
      <c r="F80" s="7" t="s">
        <v>56</v>
      </c>
      <c r="G80" s="7" t="n">
        <v>1</v>
      </c>
      <c r="H80" s="9" t="n">
        <v>1478.8</v>
      </c>
    </row>
    <row r="81" customFormat="false" ht="15" hidden="false" customHeight="false" outlineLevel="0" collapsed="false">
      <c r="A81" s="7" t="n">
        <v>2020</v>
      </c>
      <c r="B81" s="7" t="n">
        <v>3</v>
      </c>
      <c r="C81" s="7" t="s">
        <v>40</v>
      </c>
      <c r="D81" s="7" t="s">
        <v>41</v>
      </c>
      <c r="E81" s="8" t="s">
        <v>42</v>
      </c>
      <c r="F81" s="7" t="s">
        <v>43</v>
      </c>
      <c r="G81" s="7" t="n">
        <v>5</v>
      </c>
      <c r="H81" s="9" t="n">
        <v>3970</v>
      </c>
    </row>
    <row r="82" customFormat="false" ht="15" hidden="false" customHeight="false" outlineLevel="0" collapsed="false">
      <c r="A82" s="7" t="n">
        <v>2020</v>
      </c>
      <c r="B82" s="7" t="n">
        <v>3</v>
      </c>
      <c r="C82" s="7" t="s">
        <v>40</v>
      </c>
      <c r="D82" s="7" t="s">
        <v>41</v>
      </c>
      <c r="E82" s="8" t="s">
        <v>42</v>
      </c>
      <c r="F82" s="7" t="s">
        <v>45</v>
      </c>
      <c r="G82" s="7" t="n">
        <v>2</v>
      </c>
      <c r="H82" s="9" t="n">
        <v>860</v>
      </c>
    </row>
    <row r="83" customFormat="false" ht="15" hidden="false" customHeight="false" outlineLevel="0" collapsed="false">
      <c r="A83" s="7" t="n">
        <v>2020</v>
      </c>
      <c r="B83" s="7" t="n">
        <v>3</v>
      </c>
      <c r="C83" s="7" t="s">
        <v>40</v>
      </c>
      <c r="D83" s="7" t="s">
        <v>41</v>
      </c>
      <c r="E83" s="8" t="s">
        <v>42</v>
      </c>
      <c r="F83" s="7" t="s">
        <v>47</v>
      </c>
      <c r="G83" s="7" t="n">
        <v>2</v>
      </c>
      <c r="H83" s="9" t="n">
        <v>2720</v>
      </c>
    </row>
    <row r="84" customFormat="false" ht="15" hidden="false" customHeight="false" outlineLevel="0" collapsed="false">
      <c r="A84" s="7" t="n">
        <v>2020</v>
      </c>
      <c r="B84" s="7" t="n">
        <v>3</v>
      </c>
      <c r="C84" s="7" t="s">
        <v>40</v>
      </c>
      <c r="D84" s="7" t="s">
        <v>41</v>
      </c>
      <c r="E84" s="8" t="s">
        <v>42</v>
      </c>
      <c r="F84" s="7" t="s">
        <v>49</v>
      </c>
      <c r="G84" s="7" t="n">
        <v>1</v>
      </c>
      <c r="H84" s="9" t="n">
        <v>336</v>
      </c>
    </row>
    <row r="85" customFormat="false" ht="15" hidden="false" customHeight="false" outlineLevel="0" collapsed="false">
      <c r="A85" s="7" t="n">
        <v>2020</v>
      </c>
      <c r="B85" s="7" t="n">
        <v>3</v>
      </c>
      <c r="C85" s="7" t="s">
        <v>40</v>
      </c>
      <c r="D85" s="7" t="s">
        <v>51</v>
      </c>
      <c r="E85" s="8" t="s">
        <v>52</v>
      </c>
      <c r="F85" s="7" t="s">
        <v>47</v>
      </c>
      <c r="G85" s="7" t="n">
        <v>2</v>
      </c>
      <c r="H85" s="9" t="n">
        <v>9223</v>
      </c>
    </row>
    <row r="86" customFormat="false" ht="15" hidden="false" customHeight="false" outlineLevel="0" collapsed="false">
      <c r="A86" s="7" t="n">
        <v>2020</v>
      </c>
      <c r="B86" s="7" t="n">
        <v>4</v>
      </c>
      <c r="C86" s="7" t="s">
        <v>53</v>
      </c>
      <c r="D86" s="7" t="s">
        <v>54</v>
      </c>
      <c r="E86" s="8" t="s">
        <v>55</v>
      </c>
      <c r="F86" s="7" t="s">
        <v>56</v>
      </c>
      <c r="G86" s="7" t="n">
        <v>1</v>
      </c>
      <c r="H86" s="9" t="n">
        <v>3410</v>
      </c>
    </row>
    <row r="87" customFormat="false" ht="15" hidden="false" customHeight="false" outlineLevel="0" collapsed="false">
      <c r="A87" s="7" t="n">
        <v>2020</v>
      </c>
      <c r="B87" s="7" t="n">
        <v>4</v>
      </c>
      <c r="C87" s="7" t="s">
        <v>40</v>
      </c>
      <c r="D87" s="7" t="s">
        <v>41</v>
      </c>
      <c r="E87" s="8" t="s">
        <v>42</v>
      </c>
      <c r="F87" s="7" t="s">
        <v>43</v>
      </c>
      <c r="G87" s="7" t="n">
        <v>7</v>
      </c>
      <c r="H87" s="9" t="n">
        <v>7688</v>
      </c>
    </row>
    <row r="88" customFormat="false" ht="15" hidden="false" customHeight="false" outlineLevel="0" collapsed="false">
      <c r="A88" s="7" t="n">
        <v>2020</v>
      </c>
      <c r="B88" s="7" t="n">
        <v>4</v>
      </c>
      <c r="C88" s="7" t="s">
        <v>40</v>
      </c>
      <c r="D88" s="7" t="s">
        <v>41</v>
      </c>
      <c r="E88" s="8" t="s">
        <v>42</v>
      </c>
      <c r="F88" s="7" t="s">
        <v>45</v>
      </c>
      <c r="G88" s="7" t="n">
        <v>2</v>
      </c>
      <c r="H88" s="9" t="n">
        <v>2085</v>
      </c>
    </row>
    <row r="89" customFormat="false" ht="15" hidden="false" customHeight="false" outlineLevel="0" collapsed="false">
      <c r="A89" s="7" t="n">
        <v>2020</v>
      </c>
      <c r="B89" s="7" t="n">
        <v>4</v>
      </c>
      <c r="C89" s="7" t="s">
        <v>40</v>
      </c>
      <c r="D89" s="7" t="s">
        <v>51</v>
      </c>
      <c r="E89" s="8" t="s">
        <v>52</v>
      </c>
      <c r="F89" s="7" t="s">
        <v>47</v>
      </c>
      <c r="G89" s="7" t="n">
        <v>2</v>
      </c>
      <c r="H89" s="9" t="n">
        <v>12086.05</v>
      </c>
    </row>
    <row r="90" customFormat="false" ht="15" hidden="false" customHeight="false" outlineLevel="0" collapsed="false">
      <c r="A90" s="7" t="n">
        <v>2020</v>
      </c>
      <c r="B90" s="7" t="n">
        <v>5</v>
      </c>
      <c r="C90" s="7" t="s">
        <v>53</v>
      </c>
      <c r="D90" s="7" t="s">
        <v>54</v>
      </c>
      <c r="E90" s="8" t="s">
        <v>55</v>
      </c>
      <c r="F90" s="7" t="s">
        <v>56</v>
      </c>
      <c r="G90" s="7" t="n">
        <v>1</v>
      </c>
      <c r="H90" s="9" t="n">
        <v>247.5</v>
      </c>
    </row>
    <row r="91" customFormat="false" ht="15" hidden="false" customHeight="false" outlineLevel="0" collapsed="false">
      <c r="A91" s="7" t="n">
        <v>2020</v>
      </c>
      <c r="B91" s="7" t="n">
        <v>5</v>
      </c>
      <c r="C91" s="7" t="s">
        <v>40</v>
      </c>
      <c r="D91" s="7" t="s">
        <v>41</v>
      </c>
      <c r="E91" s="8" t="s">
        <v>42</v>
      </c>
      <c r="F91" s="7" t="s">
        <v>43</v>
      </c>
      <c r="G91" s="7" t="n">
        <v>5</v>
      </c>
      <c r="H91" s="9" t="n">
        <v>3829</v>
      </c>
    </row>
    <row r="92" customFormat="false" ht="15" hidden="false" customHeight="false" outlineLevel="0" collapsed="false">
      <c r="A92" s="7" t="n">
        <v>2020</v>
      </c>
      <c r="B92" s="7" t="n">
        <v>5</v>
      </c>
      <c r="C92" s="7" t="s">
        <v>40</v>
      </c>
      <c r="D92" s="7" t="s">
        <v>41</v>
      </c>
      <c r="E92" s="8" t="s">
        <v>42</v>
      </c>
      <c r="F92" s="7" t="s">
        <v>45</v>
      </c>
      <c r="G92" s="7" t="n">
        <v>1</v>
      </c>
      <c r="H92" s="9" t="n">
        <v>360</v>
      </c>
    </row>
    <row r="93" customFormat="false" ht="15" hidden="false" customHeight="false" outlineLevel="0" collapsed="false">
      <c r="A93" s="7" t="n">
        <v>2020</v>
      </c>
      <c r="B93" s="7" t="n">
        <v>5</v>
      </c>
      <c r="C93" s="7" t="s">
        <v>40</v>
      </c>
      <c r="D93" s="7" t="s">
        <v>41</v>
      </c>
      <c r="E93" s="8" t="s">
        <v>42</v>
      </c>
      <c r="F93" s="7" t="s">
        <v>47</v>
      </c>
      <c r="G93" s="7" t="n">
        <v>5</v>
      </c>
      <c r="H93" s="9" t="n">
        <v>7824.41</v>
      </c>
    </row>
    <row r="94" customFormat="false" ht="15" hidden="false" customHeight="false" outlineLevel="0" collapsed="false">
      <c r="A94" s="7" t="n">
        <v>2020</v>
      </c>
      <c r="B94" s="7" t="n">
        <v>5</v>
      </c>
      <c r="C94" s="7" t="s">
        <v>40</v>
      </c>
      <c r="D94" s="7" t="s">
        <v>41</v>
      </c>
      <c r="E94" s="8" t="s">
        <v>42</v>
      </c>
      <c r="F94" s="7" t="s">
        <v>49</v>
      </c>
      <c r="G94" s="7" t="n">
        <v>3</v>
      </c>
      <c r="H94" s="9" t="n">
        <v>1775.71</v>
      </c>
    </row>
    <row r="95" customFormat="false" ht="15" hidden="false" customHeight="false" outlineLevel="0" collapsed="false">
      <c r="A95" s="7" t="n">
        <v>2020</v>
      </c>
      <c r="B95" s="7" t="n">
        <v>5</v>
      </c>
      <c r="C95" s="7" t="s">
        <v>40</v>
      </c>
      <c r="D95" s="7" t="s">
        <v>51</v>
      </c>
      <c r="E95" s="8" t="s">
        <v>52</v>
      </c>
      <c r="F95" s="7" t="s">
        <v>47</v>
      </c>
      <c r="G95" s="7" t="n">
        <v>1</v>
      </c>
      <c r="H95" s="9" t="n">
        <v>3610</v>
      </c>
    </row>
    <row r="96" customFormat="false" ht="15" hidden="false" customHeight="false" outlineLevel="0" collapsed="false">
      <c r="A96" s="7" t="n">
        <v>2020</v>
      </c>
      <c r="B96" s="7" t="n">
        <v>6</v>
      </c>
      <c r="C96" s="7" t="s">
        <v>53</v>
      </c>
      <c r="D96" s="7" t="s">
        <v>54</v>
      </c>
      <c r="E96" s="8" t="s">
        <v>55</v>
      </c>
      <c r="F96" s="7" t="s">
        <v>56</v>
      </c>
      <c r="G96" s="7" t="n">
        <v>1</v>
      </c>
      <c r="H96" s="9" t="n">
        <v>247.5</v>
      </c>
    </row>
    <row r="97" customFormat="false" ht="15" hidden="false" customHeight="false" outlineLevel="0" collapsed="false">
      <c r="A97" s="7" t="n">
        <v>2020</v>
      </c>
      <c r="B97" s="7" t="n">
        <v>6</v>
      </c>
      <c r="C97" s="7" t="s">
        <v>40</v>
      </c>
      <c r="D97" s="7" t="s">
        <v>41</v>
      </c>
      <c r="E97" s="8" t="s">
        <v>42</v>
      </c>
      <c r="F97" s="7" t="s">
        <v>43</v>
      </c>
      <c r="G97" s="7" t="n">
        <v>10</v>
      </c>
      <c r="H97" s="9" t="n">
        <v>8451.62</v>
      </c>
    </row>
    <row r="98" customFormat="false" ht="15" hidden="false" customHeight="false" outlineLevel="0" collapsed="false">
      <c r="A98" s="7" t="n">
        <v>2020</v>
      </c>
      <c r="B98" s="7" t="n">
        <v>6</v>
      </c>
      <c r="C98" s="7" t="s">
        <v>40</v>
      </c>
      <c r="D98" s="7" t="s">
        <v>41</v>
      </c>
      <c r="E98" s="8" t="s">
        <v>42</v>
      </c>
      <c r="F98" s="7" t="s">
        <v>47</v>
      </c>
      <c r="G98" s="7" t="n">
        <v>5</v>
      </c>
      <c r="H98" s="9" t="n">
        <v>5844.956</v>
      </c>
    </row>
    <row r="99" customFormat="false" ht="15" hidden="false" customHeight="false" outlineLevel="0" collapsed="false">
      <c r="A99" s="7" t="n">
        <v>2020</v>
      </c>
      <c r="B99" s="7" t="n">
        <v>6</v>
      </c>
      <c r="C99" s="7" t="s">
        <v>40</v>
      </c>
      <c r="D99" s="7" t="s">
        <v>41</v>
      </c>
      <c r="E99" s="8" t="s">
        <v>42</v>
      </c>
      <c r="F99" s="7" t="s">
        <v>49</v>
      </c>
      <c r="G99" s="7" t="n">
        <v>2</v>
      </c>
      <c r="H99" s="9" t="n">
        <v>2114.3</v>
      </c>
    </row>
    <row r="100" customFormat="false" ht="15" hidden="false" customHeight="false" outlineLevel="0" collapsed="false">
      <c r="A100" s="7" t="n">
        <v>2020</v>
      </c>
      <c r="B100" s="7" t="n">
        <v>6</v>
      </c>
      <c r="C100" s="7" t="s">
        <v>40</v>
      </c>
      <c r="D100" s="7" t="s">
        <v>51</v>
      </c>
      <c r="E100" s="8" t="s">
        <v>52</v>
      </c>
      <c r="F100" s="7" t="s">
        <v>47</v>
      </c>
      <c r="G100" s="7" t="n">
        <v>2</v>
      </c>
      <c r="H100" s="9" t="n">
        <v>6321.5</v>
      </c>
    </row>
    <row r="101" customFormat="false" ht="15" hidden="false" customHeight="false" outlineLevel="0" collapsed="false">
      <c r="A101" s="7" t="n">
        <v>2020</v>
      </c>
      <c r="B101" s="7" t="n">
        <v>7</v>
      </c>
      <c r="C101" s="7" t="s">
        <v>53</v>
      </c>
      <c r="D101" s="7" t="s">
        <v>54</v>
      </c>
      <c r="E101" s="8" t="s">
        <v>55</v>
      </c>
      <c r="F101" s="7" t="s">
        <v>56</v>
      </c>
      <c r="G101" s="7" t="n">
        <v>1</v>
      </c>
      <c r="H101" s="9" t="n">
        <v>4092</v>
      </c>
    </row>
    <row r="102" customFormat="false" ht="15" hidden="false" customHeight="false" outlineLevel="0" collapsed="false">
      <c r="A102" s="7" t="n">
        <v>2020</v>
      </c>
      <c r="B102" s="7" t="n">
        <v>7</v>
      </c>
      <c r="C102" s="7" t="s">
        <v>40</v>
      </c>
      <c r="D102" s="7" t="s">
        <v>41</v>
      </c>
      <c r="E102" s="8" t="s">
        <v>42</v>
      </c>
      <c r="F102" s="7" t="s">
        <v>43</v>
      </c>
      <c r="G102" s="7" t="n">
        <v>7</v>
      </c>
      <c r="H102" s="9" t="n">
        <v>6165</v>
      </c>
    </row>
    <row r="103" customFormat="false" ht="15" hidden="false" customHeight="false" outlineLevel="0" collapsed="false">
      <c r="A103" s="7" t="n">
        <v>2020</v>
      </c>
      <c r="B103" s="7" t="n">
        <v>7</v>
      </c>
      <c r="C103" s="7" t="s">
        <v>40</v>
      </c>
      <c r="D103" s="7" t="s">
        <v>41</v>
      </c>
      <c r="E103" s="8" t="s">
        <v>42</v>
      </c>
      <c r="F103" s="7" t="s">
        <v>45</v>
      </c>
      <c r="G103" s="7" t="n">
        <v>1</v>
      </c>
      <c r="H103" s="9" t="n">
        <v>410</v>
      </c>
    </row>
    <row r="104" customFormat="false" ht="15" hidden="false" customHeight="false" outlineLevel="0" collapsed="false">
      <c r="A104" s="7" t="n">
        <v>2020</v>
      </c>
      <c r="B104" s="7" t="n">
        <v>7</v>
      </c>
      <c r="C104" s="7" t="s">
        <v>40</v>
      </c>
      <c r="D104" s="7" t="s">
        <v>41</v>
      </c>
      <c r="E104" s="8" t="s">
        <v>42</v>
      </c>
      <c r="F104" s="7" t="s">
        <v>47</v>
      </c>
      <c r="G104" s="7" t="n">
        <v>3</v>
      </c>
      <c r="H104" s="9" t="n">
        <v>4256.85</v>
      </c>
    </row>
    <row r="105" customFormat="false" ht="15" hidden="false" customHeight="false" outlineLevel="0" collapsed="false">
      <c r="A105" s="7" t="n">
        <v>2020</v>
      </c>
      <c r="B105" s="7" t="n">
        <v>7</v>
      </c>
      <c r="C105" s="7" t="s">
        <v>40</v>
      </c>
      <c r="D105" s="7" t="s">
        <v>41</v>
      </c>
      <c r="E105" s="8" t="s">
        <v>42</v>
      </c>
      <c r="F105" s="7" t="s">
        <v>49</v>
      </c>
      <c r="G105" s="7" t="n">
        <v>3</v>
      </c>
      <c r="H105" s="9" t="n">
        <v>1158</v>
      </c>
    </row>
    <row r="106" customFormat="false" ht="15" hidden="false" customHeight="false" outlineLevel="0" collapsed="false">
      <c r="A106" s="7" t="n">
        <v>2020</v>
      </c>
      <c r="B106" s="7" t="n">
        <v>7</v>
      </c>
      <c r="C106" s="7" t="s">
        <v>40</v>
      </c>
      <c r="D106" s="7" t="s">
        <v>51</v>
      </c>
      <c r="E106" s="8" t="s">
        <v>52</v>
      </c>
      <c r="F106" s="7" t="s">
        <v>47</v>
      </c>
      <c r="G106" s="7" t="n">
        <v>3</v>
      </c>
      <c r="H106" s="9" t="n">
        <v>8906.82</v>
      </c>
    </row>
    <row r="107" customFormat="false" ht="15" hidden="false" customHeight="false" outlineLevel="0" collapsed="false">
      <c r="A107" s="7" t="n">
        <v>2020</v>
      </c>
      <c r="B107" s="7" t="n">
        <v>8</v>
      </c>
      <c r="C107" s="7" t="s">
        <v>40</v>
      </c>
      <c r="D107" s="7" t="s">
        <v>41</v>
      </c>
      <c r="E107" s="8" t="s">
        <v>42</v>
      </c>
      <c r="F107" s="7" t="s">
        <v>43</v>
      </c>
      <c r="G107" s="7" t="n">
        <v>9</v>
      </c>
      <c r="H107" s="9" t="n">
        <v>5536.7</v>
      </c>
    </row>
    <row r="108" customFormat="false" ht="15" hidden="false" customHeight="false" outlineLevel="0" collapsed="false">
      <c r="A108" s="7" t="n">
        <v>2020</v>
      </c>
      <c r="B108" s="7" t="n">
        <v>8</v>
      </c>
      <c r="C108" s="7" t="s">
        <v>40</v>
      </c>
      <c r="D108" s="7" t="s">
        <v>41</v>
      </c>
      <c r="E108" s="8" t="s">
        <v>42</v>
      </c>
      <c r="F108" s="7" t="s">
        <v>45</v>
      </c>
      <c r="G108" s="7" t="n">
        <v>1</v>
      </c>
      <c r="H108" s="9" t="n">
        <v>400</v>
      </c>
    </row>
    <row r="109" customFormat="false" ht="15" hidden="false" customHeight="false" outlineLevel="0" collapsed="false">
      <c r="A109" s="7" t="n">
        <v>2020</v>
      </c>
      <c r="B109" s="7" t="n">
        <v>8</v>
      </c>
      <c r="C109" s="7" t="s">
        <v>40</v>
      </c>
      <c r="D109" s="7" t="s">
        <v>41</v>
      </c>
      <c r="E109" s="8" t="s">
        <v>42</v>
      </c>
      <c r="F109" s="7" t="s">
        <v>47</v>
      </c>
      <c r="G109" s="7" t="n">
        <v>4</v>
      </c>
      <c r="H109" s="9" t="n">
        <v>3988.41</v>
      </c>
    </row>
    <row r="110" customFormat="false" ht="15" hidden="false" customHeight="false" outlineLevel="0" collapsed="false">
      <c r="A110" s="7" t="n">
        <v>2020</v>
      </c>
      <c r="B110" s="7" t="n">
        <v>8</v>
      </c>
      <c r="C110" s="7" t="s">
        <v>40</v>
      </c>
      <c r="D110" s="7" t="s">
        <v>41</v>
      </c>
      <c r="E110" s="8" t="s">
        <v>42</v>
      </c>
      <c r="F110" s="7" t="s">
        <v>49</v>
      </c>
      <c r="G110" s="7" t="n">
        <v>1</v>
      </c>
      <c r="H110" s="9" t="n">
        <v>300.1</v>
      </c>
    </row>
    <row r="111" customFormat="false" ht="15" hidden="false" customHeight="false" outlineLevel="0" collapsed="false">
      <c r="A111" s="7" t="n">
        <v>2020</v>
      </c>
      <c r="B111" s="7" t="n">
        <v>8</v>
      </c>
      <c r="C111" s="7" t="s">
        <v>40</v>
      </c>
      <c r="D111" s="7" t="s">
        <v>51</v>
      </c>
      <c r="E111" s="8" t="s">
        <v>52</v>
      </c>
      <c r="F111" s="7" t="s">
        <v>47</v>
      </c>
      <c r="G111" s="7" t="n">
        <v>1</v>
      </c>
      <c r="H111" s="9" t="n">
        <v>4000</v>
      </c>
    </row>
    <row r="112" customFormat="false" ht="15" hidden="false" customHeight="false" outlineLevel="0" collapsed="false">
      <c r="A112" s="7" t="n">
        <v>2020</v>
      </c>
      <c r="B112" s="7" t="n">
        <v>9</v>
      </c>
      <c r="C112" s="7" t="s">
        <v>53</v>
      </c>
      <c r="D112" s="7" t="s">
        <v>54</v>
      </c>
      <c r="E112" s="8" t="s">
        <v>55</v>
      </c>
      <c r="F112" s="7" t="s">
        <v>56</v>
      </c>
      <c r="G112" s="7" t="n">
        <v>1</v>
      </c>
      <c r="H112" s="9" t="n">
        <v>4774</v>
      </c>
    </row>
    <row r="113" customFormat="false" ht="15" hidden="false" customHeight="false" outlineLevel="0" collapsed="false">
      <c r="A113" s="7" t="n">
        <v>2020</v>
      </c>
      <c r="B113" s="7" t="n">
        <v>9</v>
      </c>
      <c r="C113" s="7" t="s">
        <v>40</v>
      </c>
      <c r="D113" s="7" t="s">
        <v>41</v>
      </c>
      <c r="E113" s="8" t="s">
        <v>42</v>
      </c>
      <c r="F113" s="7" t="s">
        <v>43</v>
      </c>
      <c r="G113" s="7" t="n">
        <v>5</v>
      </c>
      <c r="H113" s="9" t="n">
        <v>5250</v>
      </c>
    </row>
    <row r="114" customFormat="false" ht="15" hidden="false" customHeight="false" outlineLevel="0" collapsed="false">
      <c r="A114" s="7" t="n">
        <v>2020</v>
      </c>
      <c r="B114" s="7" t="n">
        <v>9</v>
      </c>
      <c r="C114" s="7" t="s">
        <v>40</v>
      </c>
      <c r="D114" s="7" t="s">
        <v>41</v>
      </c>
      <c r="E114" s="8" t="s">
        <v>42</v>
      </c>
      <c r="F114" s="7" t="s">
        <v>45</v>
      </c>
      <c r="G114" s="7" t="n">
        <v>2</v>
      </c>
      <c r="H114" s="9" t="n">
        <v>689.5</v>
      </c>
    </row>
    <row r="115" customFormat="false" ht="15" hidden="false" customHeight="false" outlineLevel="0" collapsed="false">
      <c r="A115" s="7" t="n">
        <v>2020</v>
      </c>
      <c r="B115" s="7" t="n">
        <v>9</v>
      </c>
      <c r="C115" s="7" t="s">
        <v>40</v>
      </c>
      <c r="D115" s="7" t="s">
        <v>41</v>
      </c>
      <c r="E115" s="8" t="s">
        <v>42</v>
      </c>
      <c r="F115" s="7" t="s">
        <v>58</v>
      </c>
      <c r="G115" s="7" t="n">
        <v>2</v>
      </c>
      <c r="H115" s="9" t="n">
        <v>732.7</v>
      </c>
    </row>
    <row r="116" customFormat="false" ht="15" hidden="false" customHeight="false" outlineLevel="0" collapsed="false">
      <c r="A116" s="7" t="n">
        <v>2020</v>
      </c>
      <c r="B116" s="7" t="n">
        <v>9</v>
      </c>
      <c r="C116" s="7" t="s">
        <v>40</v>
      </c>
      <c r="D116" s="7" t="s">
        <v>41</v>
      </c>
      <c r="E116" s="8" t="s">
        <v>42</v>
      </c>
      <c r="F116" s="7" t="s">
        <v>49</v>
      </c>
      <c r="G116" s="7" t="n">
        <v>3</v>
      </c>
      <c r="H116" s="9" t="n">
        <v>1693.9</v>
      </c>
    </row>
    <row r="117" customFormat="false" ht="15" hidden="false" customHeight="false" outlineLevel="0" collapsed="false">
      <c r="A117" s="7" t="n">
        <v>2020</v>
      </c>
      <c r="B117" s="7" t="n">
        <v>10</v>
      </c>
      <c r="C117" s="7" t="s">
        <v>53</v>
      </c>
      <c r="D117" s="7" t="s">
        <v>54</v>
      </c>
      <c r="E117" s="8" t="s">
        <v>55</v>
      </c>
      <c r="F117" s="7" t="s">
        <v>56</v>
      </c>
      <c r="G117" s="7" t="n">
        <v>1</v>
      </c>
      <c r="H117" s="9" t="n">
        <v>425.25</v>
      </c>
    </row>
    <row r="118" customFormat="false" ht="15" hidden="false" customHeight="false" outlineLevel="0" collapsed="false">
      <c r="A118" s="7" t="n">
        <v>2020</v>
      </c>
      <c r="B118" s="7" t="n">
        <v>10</v>
      </c>
      <c r="C118" s="7" t="s">
        <v>40</v>
      </c>
      <c r="D118" s="7" t="s">
        <v>41</v>
      </c>
      <c r="E118" s="8" t="s">
        <v>42</v>
      </c>
      <c r="F118" s="7" t="s">
        <v>43</v>
      </c>
      <c r="G118" s="7" t="n">
        <v>12</v>
      </c>
      <c r="H118" s="9" t="n">
        <v>7279</v>
      </c>
    </row>
    <row r="119" customFormat="false" ht="15" hidden="false" customHeight="false" outlineLevel="0" collapsed="false">
      <c r="A119" s="7" t="n">
        <v>2020</v>
      </c>
      <c r="B119" s="7" t="n">
        <v>10</v>
      </c>
      <c r="C119" s="7" t="s">
        <v>40</v>
      </c>
      <c r="D119" s="7" t="s">
        <v>41</v>
      </c>
      <c r="E119" s="8" t="s">
        <v>42</v>
      </c>
      <c r="F119" s="7" t="s">
        <v>45</v>
      </c>
      <c r="G119" s="7" t="n">
        <v>1</v>
      </c>
      <c r="H119" s="9" t="n">
        <v>1340</v>
      </c>
    </row>
    <row r="120" customFormat="false" ht="15" hidden="false" customHeight="false" outlineLevel="0" collapsed="false">
      <c r="A120" s="7" t="n">
        <v>2020</v>
      </c>
      <c r="B120" s="7" t="n">
        <v>10</v>
      </c>
      <c r="C120" s="7" t="s">
        <v>40</v>
      </c>
      <c r="D120" s="7" t="s">
        <v>41</v>
      </c>
      <c r="E120" s="8" t="s">
        <v>42</v>
      </c>
      <c r="F120" s="7" t="s">
        <v>58</v>
      </c>
      <c r="G120" s="7" t="n">
        <v>2</v>
      </c>
      <c r="H120" s="9" t="n">
        <v>762.75</v>
      </c>
    </row>
    <row r="121" customFormat="false" ht="15" hidden="false" customHeight="false" outlineLevel="0" collapsed="false">
      <c r="A121" s="7" t="n">
        <v>2020</v>
      </c>
      <c r="B121" s="7" t="n">
        <v>10</v>
      </c>
      <c r="C121" s="7" t="s">
        <v>40</v>
      </c>
      <c r="D121" s="7" t="s">
        <v>41</v>
      </c>
      <c r="E121" s="8" t="s">
        <v>42</v>
      </c>
      <c r="F121" s="7" t="s">
        <v>49</v>
      </c>
      <c r="G121" s="7" t="n">
        <v>17</v>
      </c>
      <c r="H121" s="9" t="n">
        <v>18701.98</v>
      </c>
    </row>
    <row r="122" customFormat="false" ht="15" hidden="false" customHeight="false" outlineLevel="0" collapsed="false">
      <c r="A122" s="7" t="n">
        <v>2020</v>
      </c>
      <c r="B122" s="7" t="n">
        <v>11</v>
      </c>
      <c r="C122" s="7" t="s">
        <v>53</v>
      </c>
      <c r="D122" s="7" t="s">
        <v>41</v>
      </c>
      <c r="E122" s="8" t="s">
        <v>42</v>
      </c>
      <c r="F122" s="7" t="s">
        <v>45</v>
      </c>
      <c r="G122" s="7" t="n">
        <v>1</v>
      </c>
      <c r="H122" s="9" t="n">
        <v>1540.4</v>
      </c>
    </row>
    <row r="123" customFormat="false" ht="15" hidden="false" customHeight="false" outlineLevel="0" collapsed="false">
      <c r="A123" s="7" t="n">
        <v>2020</v>
      </c>
      <c r="B123" s="7" t="n">
        <v>11</v>
      </c>
      <c r="C123" s="7" t="s">
        <v>53</v>
      </c>
      <c r="D123" s="7" t="s">
        <v>54</v>
      </c>
      <c r="E123" s="8" t="s">
        <v>55</v>
      </c>
      <c r="F123" s="7" t="s">
        <v>56</v>
      </c>
      <c r="G123" s="7" t="n">
        <v>2</v>
      </c>
      <c r="H123" s="9" t="n">
        <v>11321</v>
      </c>
    </row>
    <row r="124" customFormat="false" ht="15" hidden="false" customHeight="false" outlineLevel="0" collapsed="false">
      <c r="A124" s="7" t="n">
        <v>2020</v>
      </c>
      <c r="B124" s="7" t="n">
        <v>11</v>
      </c>
      <c r="C124" s="7" t="s">
        <v>40</v>
      </c>
      <c r="D124" s="7" t="s">
        <v>41</v>
      </c>
      <c r="E124" s="8" t="s">
        <v>42</v>
      </c>
      <c r="F124" s="7" t="s">
        <v>43</v>
      </c>
      <c r="G124" s="7" t="n">
        <v>6</v>
      </c>
      <c r="H124" s="9" t="n">
        <v>6025</v>
      </c>
    </row>
    <row r="125" customFormat="false" ht="15" hidden="false" customHeight="false" outlineLevel="0" collapsed="false">
      <c r="A125" s="7" t="n">
        <v>2020</v>
      </c>
      <c r="B125" s="7" t="n">
        <v>11</v>
      </c>
      <c r="C125" s="7" t="s">
        <v>40</v>
      </c>
      <c r="D125" s="7" t="s">
        <v>41</v>
      </c>
      <c r="E125" s="8" t="s">
        <v>42</v>
      </c>
      <c r="F125" s="7" t="s">
        <v>45</v>
      </c>
      <c r="G125" s="7" t="n">
        <v>2</v>
      </c>
      <c r="H125" s="9" t="n">
        <v>750</v>
      </c>
    </row>
    <row r="126" customFormat="false" ht="15" hidden="false" customHeight="false" outlineLevel="0" collapsed="false">
      <c r="A126" s="7" t="n">
        <v>2020</v>
      </c>
      <c r="B126" s="7" t="n">
        <v>11</v>
      </c>
      <c r="C126" s="7" t="s">
        <v>40</v>
      </c>
      <c r="D126" s="7" t="s">
        <v>41</v>
      </c>
      <c r="E126" s="8" t="s">
        <v>42</v>
      </c>
      <c r="F126" s="7" t="s">
        <v>47</v>
      </c>
      <c r="G126" s="7" t="n">
        <v>4</v>
      </c>
      <c r="H126" s="9" t="n">
        <v>3750.7</v>
      </c>
    </row>
    <row r="127" customFormat="false" ht="15" hidden="false" customHeight="false" outlineLevel="0" collapsed="false">
      <c r="A127" s="7" t="n">
        <v>2020</v>
      </c>
      <c r="B127" s="7" t="n">
        <v>11</v>
      </c>
      <c r="C127" s="7" t="s">
        <v>40</v>
      </c>
      <c r="D127" s="7" t="s">
        <v>41</v>
      </c>
      <c r="E127" s="8" t="s">
        <v>42</v>
      </c>
      <c r="F127" s="7" t="s">
        <v>49</v>
      </c>
      <c r="G127" s="7" t="n">
        <v>14</v>
      </c>
      <c r="H127" s="9" t="n">
        <v>16630.86</v>
      </c>
    </row>
    <row r="128" customFormat="false" ht="15" hidden="false" customHeight="false" outlineLevel="0" collapsed="false">
      <c r="A128" s="7" t="n">
        <v>2020</v>
      </c>
      <c r="B128" s="7" t="n">
        <v>12</v>
      </c>
      <c r="C128" s="7" t="s">
        <v>53</v>
      </c>
      <c r="D128" s="7" t="s">
        <v>54</v>
      </c>
      <c r="E128" s="8" t="s">
        <v>55</v>
      </c>
      <c r="F128" s="7" t="s">
        <v>56</v>
      </c>
      <c r="G128" s="7" t="n">
        <v>1</v>
      </c>
      <c r="H128" s="9" t="n">
        <v>94.5</v>
      </c>
    </row>
    <row r="129" customFormat="false" ht="15" hidden="false" customHeight="false" outlineLevel="0" collapsed="false">
      <c r="A129" s="7" t="n">
        <v>2020</v>
      </c>
      <c r="B129" s="7" t="n">
        <v>12</v>
      </c>
      <c r="C129" s="7" t="s">
        <v>40</v>
      </c>
      <c r="D129" s="7" t="s">
        <v>41</v>
      </c>
      <c r="E129" s="8" t="s">
        <v>42</v>
      </c>
      <c r="F129" s="7" t="s">
        <v>43</v>
      </c>
      <c r="G129" s="7" t="n">
        <v>9</v>
      </c>
      <c r="H129" s="9" t="n">
        <v>12017.99</v>
      </c>
    </row>
    <row r="130" customFormat="false" ht="15" hidden="false" customHeight="false" outlineLevel="0" collapsed="false">
      <c r="A130" s="7" t="n">
        <v>2020</v>
      </c>
      <c r="B130" s="7" t="n">
        <v>12</v>
      </c>
      <c r="C130" s="7" t="s">
        <v>40</v>
      </c>
      <c r="D130" s="7" t="s">
        <v>41</v>
      </c>
      <c r="E130" s="8" t="s">
        <v>42</v>
      </c>
      <c r="F130" s="7" t="s">
        <v>45</v>
      </c>
      <c r="G130" s="7" t="n">
        <v>2</v>
      </c>
      <c r="H130" s="9" t="n">
        <v>3410</v>
      </c>
    </row>
    <row r="131" customFormat="false" ht="15" hidden="false" customHeight="false" outlineLevel="0" collapsed="false">
      <c r="A131" s="7" t="n">
        <v>2020</v>
      </c>
      <c r="B131" s="7" t="n">
        <v>12</v>
      </c>
      <c r="C131" s="7" t="s">
        <v>40</v>
      </c>
      <c r="D131" s="7" t="s">
        <v>41</v>
      </c>
      <c r="E131" s="8" t="s">
        <v>42</v>
      </c>
      <c r="F131" s="7" t="s">
        <v>58</v>
      </c>
      <c r="G131" s="7" t="n">
        <v>1</v>
      </c>
      <c r="H131" s="9" t="n">
        <v>191</v>
      </c>
    </row>
    <row r="132" customFormat="false" ht="15" hidden="false" customHeight="false" outlineLevel="0" collapsed="false">
      <c r="A132" s="7" t="n">
        <v>2020</v>
      </c>
      <c r="B132" s="7" t="n">
        <v>12</v>
      </c>
      <c r="C132" s="7" t="s">
        <v>40</v>
      </c>
      <c r="D132" s="7" t="s">
        <v>41</v>
      </c>
      <c r="E132" s="8" t="s">
        <v>42</v>
      </c>
      <c r="F132" s="7" t="s">
        <v>47</v>
      </c>
      <c r="G132" s="7" t="n">
        <v>2</v>
      </c>
      <c r="H132" s="9" t="n">
        <v>2030.54</v>
      </c>
    </row>
    <row r="133" customFormat="false" ht="15" hidden="false" customHeight="false" outlineLevel="0" collapsed="false">
      <c r="A133" s="7" t="n">
        <v>2020</v>
      </c>
      <c r="B133" s="7" t="n">
        <v>12</v>
      </c>
      <c r="C133" s="7" t="s">
        <v>40</v>
      </c>
      <c r="D133" s="7" t="s">
        <v>41</v>
      </c>
      <c r="E133" s="8" t="s">
        <v>42</v>
      </c>
      <c r="F133" s="7" t="s">
        <v>49</v>
      </c>
      <c r="G133" s="7" t="n">
        <v>11</v>
      </c>
      <c r="H133" s="9" t="n">
        <v>8459.7</v>
      </c>
    </row>
    <row r="134" customFormat="false" ht="15" hidden="false" customHeight="false" outlineLevel="0" collapsed="false">
      <c r="A134" s="7" t="n">
        <v>2020</v>
      </c>
      <c r="B134" s="7" t="n">
        <v>12</v>
      </c>
      <c r="C134" s="7" t="s">
        <v>40</v>
      </c>
      <c r="D134" s="7" t="s">
        <v>51</v>
      </c>
      <c r="E134" s="8" t="s">
        <v>52</v>
      </c>
      <c r="F134" s="7" t="s">
        <v>47</v>
      </c>
      <c r="G134" s="7" t="n">
        <v>3</v>
      </c>
      <c r="H134" s="9" t="n">
        <v>11500</v>
      </c>
    </row>
    <row r="135" customFormat="false" ht="15" hidden="false" customHeight="false" outlineLevel="0" collapsed="false">
      <c r="A135" s="7" t="n">
        <v>2021</v>
      </c>
      <c r="B135" s="7" t="n">
        <v>1</v>
      </c>
      <c r="C135" s="7" t="s">
        <v>40</v>
      </c>
      <c r="D135" s="7" t="s">
        <v>41</v>
      </c>
      <c r="E135" s="8" t="s">
        <v>42</v>
      </c>
      <c r="F135" s="7" t="s">
        <v>43</v>
      </c>
      <c r="G135" s="7" t="n">
        <v>12</v>
      </c>
      <c r="H135" s="9" t="n">
        <v>7215</v>
      </c>
    </row>
    <row r="136" customFormat="false" ht="15" hidden="false" customHeight="false" outlineLevel="0" collapsed="false">
      <c r="A136" s="7" t="n">
        <v>2021</v>
      </c>
      <c r="B136" s="7" t="n">
        <v>1</v>
      </c>
      <c r="C136" s="7" t="s">
        <v>40</v>
      </c>
      <c r="D136" s="7" t="s">
        <v>41</v>
      </c>
      <c r="E136" s="8" t="s">
        <v>42</v>
      </c>
      <c r="F136" s="7" t="s">
        <v>47</v>
      </c>
      <c r="G136" s="7" t="n">
        <v>4</v>
      </c>
      <c r="H136" s="9" t="n">
        <v>1910.17</v>
      </c>
    </row>
    <row r="137" customFormat="false" ht="15" hidden="false" customHeight="false" outlineLevel="0" collapsed="false">
      <c r="A137" s="7" t="n">
        <v>2021</v>
      </c>
      <c r="B137" s="7" t="n">
        <v>1</v>
      </c>
      <c r="C137" s="7" t="s">
        <v>40</v>
      </c>
      <c r="D137" s="7" t="s">
        <v>41</v>
      </c>
      <c r="E137" s="8" t="s">
        <v>42</v>
      </c>
      <c r="F137" s="7" t="s">
        <v>49</v>
      </c>
      <c r="G137" s="7" t="n">
        <v>1</v>
      </c>
      <c r="H137" s="9" t="n">
        <v>479</v>
      </c>
    </row>
    <row r="138" customFormat="false" ht="15" hidden="false" customHeight="false" outlineLevel="0" collapsed="false">
      <c r="A138" s="7" t="n">
        <v>2021</v>
      </c>
      <c r="B138" s="7" t="n">
        <v>1</v>
      </c>
      <c r="C138" s="7" t="s">
        <v>40</v>
      </c>
      <c r="D138" s="7" t="s">
        <v>51</v>
      </c>
      <c r="E138" s="8" t="s">
        <v>52</v>
      </c>
      <c r="F138" s="7" t="s">
        <v>47</v>
      </c>
      <c r="G138" s="7" t="n">
        <v>5</v>
      </c>
      <c r="H138" s="9" t="n">
        <v>23775</v>
      </c>
    </row>
    <row r="139" customFormat="false" ht="15" hidden="false" customHeight="false" outlineLevel="0" collapsed="false">
      <c r="A139" s="7" t="n">
        <v>2021</v>
      </c>
      <c r="B139" s="7" t="n">
        <v>2</v>
      </c>
      <c r="C139" s="7" t="s">
        <v>40</v>
      </c>
      <c r="D139" s="7" t="s">
        <v>41</v>
      </c>
      <c r="E139" s="8" t="s">
        <v>42</v>
      </c>
      <c r="F139" s="7" t="s">
        <v>43</v>
      </c>
      <c r="G139" s="7" t="n">
        <v>4</v>
      </c>
      <c r="H139" s="9" t="n">
        <v>2346.36</v>
      </c>
    </row>
    <row r="140" customFormat="false" ht="15" hidden="false" customHeight="false" outlineLevel="0" collapsed="false">
      <c r="A140" s="7" t="n">
        <v>2021</v>
      </c>
      <c r="B140" s="7" t="n">
        <v>2</v>
      </c>
      <c r="C140" s="7" t="s">
        <v>40</v>
      </c>
      <c r="D140" s="7" t="s">
        <v>41</v>
      </c>
      <c r="E140" s="8" t="s">
        <v>42</v>
      </c>
      <c r="F140" s="7" t="s">
        <v>45</v>
      </c>
      <c r="G140" s="7" t="n">
        <v>1</v>
      </c>
      <c r="H140" s="9" t="n">
        <v>400</v>
      </c>
    </row>
    <row r="141" customFormat="false" ht="15" hidden="false" customHeight="false" outlineLevel="0" collapsed="false">
      <c r="A141" s="7" t="n">
        <v>2021</v>
      </c>
      <c r="B141" s="7" t="n">
        <v>2</v>
      </c>
      <c r="C141" s="7" t="s">
        <v>40</v>
      </c>
      <c r="D141" s="7" t="s">
        <v>41</v>
      </c>
      <c r="E141" s="8" t="s">
        <v>42</v>
      </c>
      <c r="F141" s="7" t="s">
        <v>47</v>
      </c>
      <c r="G141" s="7" t="n">
        <v>1</v>
      </c>
      <c r="H141" s="9" t="n">
        <v>1278.38</v>
      </c>
    </row>
    <row r="142" customFormat="false" ht="15" hidden="false" customHeight="false" outlineLevel="0" collapsed="false">
      <c r="A142" s="7" t="n">
        <v>2021</v>
      </c>
      <c r="B142" s="7" t="n">
        <v>2</v>
      </c>
      <c r="C142" s="7" t="s">
        <v>40</v>
      </c>
      <c r="D142" s="7" t="s">
        <v>41</v>
      </c>
      <c r="E142" s="8" t="s">
        <v>42</v>
      </c>
      <c r="F142" s="7" t="s">
        <v>49</v>
      </c>
      <c r="G142" s="7" t="n">
        <v>2</v>
      </c>
      <c r="H142" s="9" t="n">
        <v>2179.75</v>
      </c>
    </row>
    <row r="143" customFormat="false" ht="15" hidden="false" customHeight="false" outlineLevel="0" collapsed="false">
      <c r="A143" s="7" t="n">
        <v>2021</v>
      </c>
      <c r="B143" s="7" t="n">
        <v>2</v>
      </c>
      <c r="C143" s="7" t="s">
        <v>40</v>
      </c>
      <c r="D143" s="7" t="s">
        <v>51</v>
      </c>
      <c r="E143" s="8" t="s">
        <v>52</v>
      </c>
      <c r="F143" s="7" t="s">
        <v>47</v>
      </c>
      <c r="G143" s="7" t="n">
        <v>2</v>
      </c>
      <c r="H143" s="9" t="n">
        <v>6300</v>
      </c>
    </row>
    <row r="144" customFormat="false" ht="15" hidden="false" customHeight="false" outlineLevel="0" collapsed="false">
      <c r="A144" s="7" t="n">
        <v>2021</v>
      </c>
      <c r="B144" s="7" t="n">
        <v>3</v>
      </c>
      <c r="C144" s="7" t="s">
        <v>53</v>
      </c>
      <c r="D144" s="7" t="s">
        <v>54</v>
      </c>
      <c r="E144" s="8" t="s">
        <v>55</v>
      </c>
      <c r="F144" s="7" t="s">
        <v>59</v>
      </c>
      <c r="G144" s="7" t="n">
        <v>1</v>
      </c>
      <c r="H144" s="9" t="n">
        <v>576</v>
      </c>
    </row>
    <row r="145" customFormat="false" ht="15" hidden="false" customHeight="false" outlineLevel="0" collapsed="false">
      <c r="A145" s="7" t="n">
        <v>2021</v>
      </c>
      <c r="B145" s="7" t="n">
        <v>3</v>
      </c>
      <c r="C145" s="7" t="s">
        <v>40</v>
      </c>
      <c r="D145" s="7" t="s">
        <v>41</v>
      </c>
      <c r="E145" s="8" t="s">
        <v>42</v>
      </c>
      <c r="F145" s="7" t="s">
        <v>43</v>
      </c>
      <c r="G145" s="7" t="n">
        <v>9</v>
      </c>
      <c r="H145" s="9" t="n">
        <v>7977</v>
      </c>
    </row>
    <row r="146" customFormat="false" ht="15" hidden="false" customHeight="false" outlineLevel="0" collapsed="false">
      <c r="A146" s="7" t="n">
        <v>2021</v>
      </c>
      <c r="B146" s="7" t="n">
        <v>3</v>
      </c>
      <c r="C146" s="7" t="s">
        <v>40</v>
      </c>
      <c r="D146" s="7" t="s">
        <v>41</v>
      </c>
      <c r="E146" s="8" t="s">
        <v>42</v>
      </c>
      <c r="F146" s="7" t="s">
        <v>45</v>
      </c>
      <c r="G146" s="7" t="n">
        <v>1</v>
      </c>
      <c r="H146" s="9" t="n">
        <v>2800</v>
      </c>
    </row>
    <row r="147" customFormat="false" ht="15" hidden="false" customHeight="false" outlineLevel="0" collapsed="false">
      <c r="A147" s="7" t="n">
        <v>2021</v>
      </c>
      <c r="B147" s="7" t="n">
        <v>3</v>
      </c>
      <c r="C147" s="7" t="s">
        <v>40</v>
      </c>
      <c r="D147" s="7" t="s">
        <v>41</v>
      </c>
      <c r="E147" s="8" t="s">
        <v>42</v>
      </c>
      <c r="F147" s="7" t="s">
        <v>47</v>
      </c>
      <c r="G147" s="7" t="n">
        <v>5</v>
      </c>
      <c r="H147" s="9" t="n">
        <v>4667.63</v>
      </c>
    </row>
    <row r="148" customFormat="false" ht="15" hidden="false" customHeight="false" outlineLevel="0" collapsed="false">
      <c r="A148" s="7" t="n">
        <v>2021</v>
      </c>
      <c r="B148" s="7" t="n">
        <v>3</v>
      </c>
      <c r="C148" s="7" t="s">
        <v>40</v>
      </c>
      <c r="D148" s="7" t="s">
        <v>41</v>
      </c>
      <c r="E148" s="8" t="s">
        <v>42</v>
      </c>
      <c r="F148" s="7" t="s">
        <v>49</v>
      </c>
      <c r="G148" s="7" t="n">
        <v>1</v>
      </c>
      <c r="H148" s="9" t="n">
        <v>981</v>
      </c>
    </row>
    <row r="149" customFormat="false" ht="15" hidden="false" customHeight="false" outlineLevel="0" collapsed="false">
      <c r="A149" s="7" t="n">
        <v>2021</v>
      </c>
      <c r="B149" s="7" t="n">
        <v>4</v>
      </c>
      <c r="C149" s="7" t="s">
        <v>53</v>
      </c>
      <c r="D149" s="7" t="s">
        <v>54</v>
      </c>
      <c r="E149" s="8" t="s">
        <v>55</v>
      </c>
      <c r="F149" s="7" t="s">
        <v>56</v>
      </c>
      <c r="G149" s="7" t="n">
        <v>2</v>
      </c>
      <c r="H149" s="9" t="n">
        <v>702.75</v>
      </c>
    </row>
    <row r="150" customFormat="false" ht="15" hidden="false" customHeight="false" outlineLevel="0" collapsed="false">
      <c r="A150" s="7" t="n">
        <v>2021</v>
      </c>
      <c r="B150" s="7" t="n">
        <v>4</v>
      </c>
      <c r="C150" s="7" t="s">
        <v>40</v>
      </c>
      <c r="D150" s="7" t="s">
        <v>41</v>
      </c>
      <c r="E150" s="8" t="s">
        <v>42</v>
      </c>
      <c r="F150" s="7" t="s">
        <v>43</v>
      </c>
      <c r="G150" s="7" t="n">
        <v>4</v>
      </c>
      <c r="H150" s="9" t="n">
        <v>5300</v>
      </c>
    </row>
    <row r="151" customFormat="false" ht="15" hidden="false" customHeight="false" outlineLevel="0" collapsed="false">
      <c r="A151" s="7" t="n">
        <v>2021</v>
      </c>
      <c r="B151" s="7" t="n">
        <v>4</v>
      </c>
      <c r="C151" s="7" t="s">
        <v>40</v>
      </c>
      <c r="D151" s="7" t="s">
        <v>41</v>
      </c>
      <c r="E151" s="8" t="s">
        <v>42</v>
      </c>
      <c r="F151" s="7" t="s">
        <v>45</v>
      </c>
      <c r="G151" s="7" t="n">
        <v>1</v>
      </c>
      <c r="H151" s="9" t="n">
        <v>400</v>
      </c>
    </row>
    <row r="152" customFormat="false" ht="15" hidden="false" customHeight="false" outlineLevel="0" collapsed="false">
      <c r="A152" s="7" t="n">
        <v>2021</v>
      </c>
      <c r="B152" s="7" t="n">
        <v>4</v>
      </c>
      <c r="C152" s="7" t="s">
        <v>40</v>
      </c>
      <c r="D152" s="7" t="s">
        <v>41</v>
      </c>
      <c r="E152" s="8" t="s">
        <v>42</v>
      </c>
      <c r="F152" s="7" t="s">
        <v>47</v>
      </c>
      <c r="G152" s="7" t="n">
        <v>2</v>
      </c>
      <c r="H152" s="9" t="n">
        <v>2408.74</v>
      </c>
    </row>
    <row r="153" customFormat="false" ht="15" hidden="false" customHeight="false" outlineLevel="0" collapsed="false">
      <c r="A153" s="7" t="n">
        <v>2021</v>
      </c>
      <c r="B153" s="7" t="n">
        <v>4</v>
      </c>
      <c r="C153" s="7" t="s">
        <v>40</v>
      </c>
      <c r="D153" s="7" t="s">
        <v>41</v>
      </c>
      <c r="E153" s="8" t="s">
        <v>42</v>
      </c>
      <c r="F153" s="7" t="s">
        <v>49</v>
      </c>
      <c r="G153" s="7" t="n">
        <v>1</v>
      </c>
      <c r="H153" s="9" t="n">
        <v>313</v>
      </c>
    </row>
    <row r="154" customFormat="false" ht="15" hidden="false" customHeight="false" outlineLevel="0" collapsed="false">
      <c r="A154" s="7" t="n">
        <v>2021</v>
      </c>
      <c r="B154" s="7" t="n">
        <v>4</v>
      </c>
      <c r="C154" s="7" t="s">
        <v>40</v>
      </c>
      <c r="D154" s="7" t="s">
        <v>51</v>
      </c>
      <c r="E154" s="8" t="s">
        <v>52</v>
      </c>
      <c r="F154" s="7" t="s">
        <v>47</v>
      </c>
      <c r="G154" s="7" t="n">
        <v>4</v>
      </c>
      <c r="H154" s="9" t="n">
        <v>15700</v>
      </c>
    </row>
    <row r="155" customFormat="false" ht="15" hidden="false" customHeight="false" outlineLevel="0" collapsed="false">
      <c r="A155" s="7" t="n">
        <v>2021</v>
      </c>
      <c r="B155" s="7" t="n">
        <v>5</v>
      </c>
      <c r="C155" s="7" t="s">
        <v>53</v>
      </c>
      <c r="D155" s="7" t="s">
        <v>54</v>
      </c>
      <c r="E155" s="8" t="s">
        <v>55</v>
      </c>
      <c r="F155" s="7" t="s">
        <v>59</v>
      </c>
      <c r="G155" s="7" t="n">
        <v>1</v>
      </c>
      <c r="H155" s="9" t="n">
        <v>682</v>
      </c>
    </row>
    <row r="156" customFormat="false" ht="15" hidden="false" customHeight="false" outlineLevel="0" collapsed="false">
      <c r="A156" s="7" t="n">
        <v>2021</v>
      </c>
      <c r="B156" s="7" t="n">
        <v>5</v>
      </c>
      <c r="C156" s="7" t="s">
        <v>53</v>
      </c>
      <c r="D156" s="7" t="s">
        <v>54</v>
      </c>
      <c r="E156" s="8" t="s">
        <v>55</v>
      </c>
      <c r="F156" s="7" t="s">
        <v>56</v>
      </c>
      <c r="G156" s="7" t="n">
        <v>2</v>
      </c>
      <c r="H156" s="9" t="n">
        <v>4638.5</v>
      </c>
    </row>
    <row r="157" customFormat="false" ht="15" hidden="false" customHeight="false" outlineLevel="0" collapsed="false">
      <c r="A157" s="7" t="n">
        <v>2021</v>
      </c>
      <c r="B157" s="7" t="n">
        <v>5</v>
      </c>
      <c r="C157" s="7" t="s">
        <v>40</v>
      </c>
      <c r="D157" s="7" t="s">
        <v>41</v>
      </c>
      <c r="E157" s="8" t="s">
        <v>42</v>
      </c>
      <c r="F157" s="7" t="s">
        <v>43</v>
      </c>
      <c r="G157" s="7" t="n">
        <v>9</v>
      </c>
      <c r="H157" s="9" t="n">
        <v>8900</v>
      </c>
    </row>
    <row r="158" customFormat="false" ht="15" hidden="false" customHeight="false" outlineLevel="0" collapsed="false">
      <c r="A158" s="7" t="n">
        <v>2021</v>
      </c>
      <c r="B158" s="7" t="n">
        <v>5</v>
      </c>
      <c r="C158" s="7" t="s">
        <v>40</v>
      </c>
      <c r="D158" s="7" t="s">
        <v>41</v>
      </c>
      <c r="E158" s="8" t="s">
        <v>42</v>
      </c>
      <c r="F158" s="7" t="s">
        <v>45</v>
      </c>
      <c r="G158" s="7" t="n">
        <v>2</v>
      </c>
      <c r="H158" s="9" t="n">
        <v>1785.8</v>
      </c>
    </row>
    <row r="159" customFormat="false" ht="15" hidden="false" customHeight="false" outlineLevel="0" collapsed="false">
      <c r="A159" s="7" t="n">
        <v>2021</v>
      </c>
      <c r="B159" s="7" t="n">
        <v>5</v>
      </c>
      <c r="C159" s="7" t="s">
        <v>40</v>
      </c>
      <c r="D159" s="7" t="s">
        <v>41</v>
      </c>
      <c r="E159" s="8" t="s">
        <v>42</v>
      </c>
      <c r="F159" s="7" t="s">
        <v>47</v>
      </c>
      <c r="G159" s="7" t="n">
        <v>4</v>
      </c>
      <c r="H159" s="9" t="n">
        <v>4557.59</v>
      </c>
    </row>
    <row r="160" customFormat="false" ht="15" hidden="false" customHeight="false" outlineLevel="0" collapsed="false">
      <c r="A160" s="7" t="n">
        <v>2021</v>
      </c>
      <c r="B160" s="7" t="n">
        <v>5</v>
      </c>
      <c r="C160" s="7" t="s">
        <v>40</v>
      </c>
      <c r="D160" s="7" t="s">
        <v>41</v>
      </c>
      <c r="E160" s="8" t="s">
        <v>42</v>
      </c>
      <c r="F160" s="7" t="s">
        <v>49</v>
      </c>
      <c r="G160" s="7" t="n">
        <v>2</v>
      </c>
      <c r="H160" s="9" t="n">
        <v>1068</v>
      </c>
    </row>
    <row r="161" customFormat="false" ht="15" hidden="false" customHeight="false" outlineLevel="0" collapsed="false">
      <c r="A161" s="7" t="n">
        <v>2021</v>
      </c>
      <c r="B161" s="7" t="n">
        <v>5</v>
      </c>
      <c r="C161" s="7" t="s">
        <v>40</v>
      </c>
      <c r="D161" s="7" t="s">
        <v>51</v>
      </c>
      <c r="E161" s="8" t="s">
        <v>52</v>
      </c>
      <c r="F161" s="7" t="s">
        <v>47</v>
      </c>
      <c r="G161" s="7" t="n">
        <v>2</v>
      </c>
      <c r="H161" s="9" t="n">
        <v>5500</v>
      </c>
    </row>
    <row r="162" customFormat="false" ht="15" hidden="false" customHeight="false" outlineLevel="0" collapsed="false">
      <c r="A162" s="7" t="n">
        <v>2021</v>
      </c>
      <c r="B162" s="7" t="n">
        <v>6</v>
      </c>
      <c r="C162" s="7" t="s">
        <v>53</v>
      </c>
      <c r="D162" s="7" t="s">
        <v>54</v>
      </c>
      <c r="E162" s="8" t="s">
        <v>55</v>
      </c>
      <c r="F162" s="7" t="s">
        <v>56</v>
      </c>
      <c r="G162" s="7" t="n">
        <v>2</v>
      </c>
      <c r="H162" s="9" t="n">
        <v>120</v>
      </c>
    </row>
    <row r="163" customFormat="false" ht="15" hidden="false" customHeight="false" outlineLevel="0" collapsed="false">
      <c r="A163" s="7" t="n">
        <v>2021</v>
      </c>
      <c r="B163" s="7" t="n">
        <v>6</v>
      </c>
      <c r="C163" s="7" t="s">
        <v>40</v>
      </c>
      <c r="D163" s="7" t="s">
        <v>41</v>
      </c>
      <c r="E163" s="8" t="s">
        <v>42</v>
      </c>
      <c r="F163" s="7" t="s">
        <v>45</v>
      </c>
      <c r="G163" s="7" t="n">
        <v>1</v>
      </c>
      <c r="H163" s="9" t="n">
        <v>400</v>
      </c>
    </row>
    <row r="164" customFormat="false" ht="15" hidden="false" customHeight="false" outlineLevel="0" collapsed="false">
      <c r="A164" s="7" t="n">
        <v>2021</v>
      </c>
      <c r="B164" s="7" t="n">
        <v>6</v>
      </c>
      <c r="C164" s="7" t="s">
        <v>40</v>
      </c>
      <c r="D164" s="7" t="s">
        <v>41</v>
      </c>
      <c r="E164" s="8" t="s">
        <v>42</v>
      </c>
      <c r="F164" s="7" t="s">
        <v>47</v>
      </c>
      <c r="G164" s="7" t="n">
        <v>3</v>
      </c>
      <c r="H164" s="9" t="n">
        <v>3735.66</v>
      </c>
    </row>
    <row r="165" customFormat="false" ht="15" hidden="false" customHeight="false" outlineLevel="0" collapsed="false">
      <c r="A165" s="7" t="n">
        <v>2021</v>
      </c>
      <c r="B165" s="7" t="n">
        <v>6</v>
      </c>
      <c r="C165" s="7" t="s">
        <v>40</v>
      </c>
      <c r="D165" s="7" t="s">
        <v>51</v>
      </c>
      <c r="E165" s="8" t="s">
        <v>52</v>
      </c>
      <c r="F165" s="7" t="s">
        <v>47</v>
      </c>
      <c r="G165" s="7" t="n">
        <v>2</v>
      </c>
      <c r="H165" s="9" t="n">
        <v>7222.14</v>
      </c>
    </row>
    <row r="166" customFormat="false" ht="15" hidden="false" customHeight="false" outlineLevel="0" collapsed="false">
      <c r="A166" s="7" t="n">
        <v>2021</v>
      </c>
      <c r="B166" s="7" t="n">
        <v>7</v>
      </c>
      <c r="C166" s="7" t="s">
        <v>53</v>
      </c>
      <c r="D166" s="7" t="s">
        <v>54</v>
      </c>
      <c r="E166" s="8" t="s">
        <v>55</v>
      </c>
      <c r="F166" s="7" t="s">
        <v>59</v>
      </c>
      <c r="G166" s="7" t="n">
        <v>1</v>
      </c>
      <c r="H166" s="9" t="n">
        <v>180</v>
      </c>
    </row>
    <row r="167" customFormat="false" ht="15" hidden="false" customHeight="false" outlineLevel="0" collapsed="false">
      <c r="A167" s="7" t="n">
        <v>2021</v>
      </c>
      <c r="B167" s="7" t="n">
        <v>7</v>
      </c>
      <c r="C167" s="7" t="s">
        <v>40</v>
      </c>
      <c r="D167" s="7" t="s">
        <v>41</v>
      </c>
      <c r="E167" s="8" t="s">
        <v>42</v>
      </c>
      <c r="F167" s="7" t="s">
        <v>43</v>
      </c>
      <c r="G167" s="7" t="n">
        <v>3</v>
      </c>
      <c r="H167" s="9" t="n">
        <v>2050</v>
      </c>
    </row>
    <row r="168" customFormat="false" ht="15" hidden="false" customHeight="false" outlineLevel="0" collapsed="false">
      <c r="A168" s="7" t="n">
        <v>2021</v>
      </c>
      <c r="B168" s="7" t="n">
        <v>7</v>
      </c>
      <c r="C168" s="7" t="s">
        <v>40</v>
      </c>
      <c r="D168" s="7" t="s">
        <v>41</v>
      </c>
      <c r="E168" s="8" t="s">
        <v>42</v>
      </c>
      <c r="F168" s="7" t="s">
        <v>47</v>
      </c>
      <c r="G168" s="7" t="n">
        <v>2</v>
      </c>
      <c r="H168" s="9" t="n">
        <v>1938.22</v>
      </c>
    </row>
    <row r="169" customFormat="false" ht="15" hidden="false" customHeight="false" outlineLevel="0" collapsed="false">
      <c r="A169" s="7" t="n">
        <v>2021</v>
      </c>
      <c r="B169" s="7" t="n">
        <v>7</v>
      </c>
      <c r="C169" s="7" t="s">
        <v>40</v>
      </c>
      <c r="D169" s="7" t="s">
        <v>41</v>
      </c>
      <c r="E169" s="8" t="s">
        <v>42</v>
      </c>
      <c r="F169" s="7" t="s">
        <v>49</v>
      </c>
      <c r="G169" s="7" t="n">
        <v>1</v>
      </c>
      <c r="H169" s="9" t="n">
        <v>111.25</v>
      </c>
    </row>
    <row r="170" customFormat="false" ht="15" hidden="false" customHeight="false" outlineLevel="0" collapsed="false">
      <c r="A170" s="7" t="n">
        <v>2021</v>
      </c>
      <c r="B170" s="7" t="n">
        <v>7</v>
      </c>
      <c r="C170" s="7" t="s">
        <v>40</v>
      </c>
      <c r="D170" s="7" t="s">
        <v>51</v>
      </c>
      <c r="E170" s="8" t="s">
        <v>52</v>
      </c>
      <c r="F170" s="7" t="s">
        <v>47</v>
      </c>
      <c r="G170" s="7" t="n">
        <v>2</v>
      </c>
      <c r="H170" s="9" t="n">
        <v>5500</v>
      </c>
    </row>
    <row r="171" customFormat="false" ht="15" hidden="false" customHeight="false" outlineLevel="0" collapsed="false">
      <c r="A171" s="7" t="n">
        <v>2021</v>
      </c>
      <c r="B171" s="7" t="n">
        <v>8</v>
      </c>
      <c r="C171" s="7" t="s">
        <v>53</v>
      </c>
      <c r="D171" s="7" t="s">
        <v>54</v>
      </c>
      <c r="E171" s="8" t="s">
        <v>55</v>
      </c>
      <c r="F171" s="7" t="s">
        <v>59</v>
      </c>
      <c r="G171" s="7" t="n">
        <v>1</v>
      </c>
      <c r="H171" s="9" t="n">
        <v>192</v>
      </c>
    </row>
    <row r="172" customFormat="false" ht="15" hidden="false" customHeight="false" outlineLevel="0" collapsed="false">
      <c r="A172" s="7" t="n">
        <v>2021</v>
      </c>
      <c r="B172" s="7" t="n">
        <v>8</v>
      </c>
      <c r="C172" s="7" t="s">
        <v>53</v>
      </c>
      <c r="D172" s="7" t="s">
        <v>54</v>
      </c>
      <c r="E172" s="8" t="s">
        <v>55</v>
      </c>
      <c r="F172" s="7" t="s">
        <v>56</v>
      </c>
      <c r="G172" s="7" t="n">
        <v>1</v>
      </c>
      <c r="H172" s="9" t="n">
        <v>3410</v>
      </c>
    </row>
    <row r="173" customFormat="false" ht="15" hidden="false" customHeight="false" outlineLevel="0" collapsed="false">
      <c r="A173" s="7" t="n">
        <v>2021</v>
      </c>
      <c r="B173" s="7" t="n">
        <v>8</v>
      </c>
      <c r="C173" s="7" t="s">
        <v>40</v>
      </c>
      <c r="D173" s="7" t="s">
        <v>41</v>
      </c>
      <c r="E173" s="8" t="s">
        <v>42</v>
      </c>
      <c r="F173" s="7" t="s">
        <v>43</v>
      </c>
      <c r="G173" s="7" t="n">
        <v>6</v>
      </c>
      <c r="H173" s="9" t="n">
        <v>10141.9</v>
      </c>
    </row>
    <row r="174" customFormat="false" ht="15" hidden="false" customHeight="false" outlineLevel="0" collapsed="false">
      <c r="A174" s="7" t="n">
        <v>2021</v>
      </c>
      <c r="B174" s="7" t="n">
        <v>8</v>
      </c>
      <c r="C174" s="7" t="s">
        <v>40</v>
      </c>
      <c r="D174" s="7" t="s">
        <v>41</v>
      </c>
      <c r="E174" s="8" t="s">
        <v>42</v>
      </c>
      <c r="F174" s="7" t="s">
        <v>45</v>
      </c>
      <c r="G174" s="7" t="n">
        <v>2</v>
      </c>
      <c r="H174" s="9" t="n">
        <v>800</v>
      </c>
    </row>
    <row r="175" customFormat="false" ht="15" hidden="false" customHeight="false" outlineLevel="0" collapsed="false">
      <c r="A175" s="7" t="n">
        <v>2021</v>
      </c>
      <c r="B175" s="7" t="n">
        <v>8</v>
      </c>
      <c r="C175" s="7" t="s">
        <v>40</v>
      </c>
      <c r="D175" s="7" t="s">
        <v>41</v>
      </c>
      <c r="E175" s="8" t="s">
        <v>42</v>
      </c>
      <c r="F175" s="7" t="s">
        <v>47</v>
      </c>
      <c r="G175" s="7" t="n">
        <v>2</v>
      </c>
      <c r="H175" s="9" t="n">
        <v>3466.04</v>
      </c>
    </row>
    <row r="176" customFormat="false" ht="15" hidden="false" customHeight="false" outlineLevel="0" collapsed="false">
      <c r="A176" s="7" t="n">
        <v>2021</v>
      </c>
      <c r="B176" s="7" t="n">
        <v>8</v>
      </c>
      <c r="C176" s="7" t="s">
        <v>40</v>
      </c>
      <c r="D176" s="7" t="s">
        <v>41</v>
      </c>
      <c r="E176" s="8" t="s">
        <v>42</v>
      </c>
      <c r="F176" s="7" t="s">
        <v>49</v>
      </c>
      <c r="G176" s="7" t="n">
        <v>1</v>
      </c>
      <c r="H176" s="9" t="n">
        <v>711.75</v>
      </c>
    </row>
    <row r="177" customFormat="false" ht="15" hidden="false" customHeight="false" outlineLevel="0" collapsed="false">
      <c r="A177" s="7" t="n">
        <v>2021</v>
      </c>
      <c r="B177" s="7" t="n">
        <v>9</v>
      </c>
      <c r="C177" s="7" t="s">
        <v>53</v>
      </c>
      <c r="D177" s="7" t="s">
        <v>41</v>
      </c>
      <c r="E177" s="8" t="s">
        <v>42</v>
      </c>
      <c r="F177" s="7" t="s">
        <v>43</v>
      </c>
      <c r="G177" s="7" t="n">
        <v>1</v>
      </c>
      <c r="H177" s="9" t="n">
        <v>10</v>
      </c>
    </row>
    <row r="178" customFormat="false" ht="15" hidden="false" customHeight="false" outlineLevel="0" collapsed="false">
      <c r="A178" s="7" t="n">
        <v>2021</v>
      </c>
      <c r="B178" s="7" t="n">
        <v>9</v>
      </c>
      <c r="C178" s="7" t="s">
        <v>53</v>
      </c>
      <c r="D178" s="7" t="s">
        <v>54</v>
      </c>
      <c r="E178" s="8" t="s">
        <v>55</v>
      </c>
      <c r="F178" s="7" t="s">
        <v>59</v>
      </c>
      <c r="G178" s="7" t="n">
        <v>1</v>
      </c>
      <c r="H178" s="9" t="n">
        <v>180</v>
      </c>
    </row>
    <row r="179" customFormat="false" ht="15" hidden="false" customHeight="false" outlineLevel="0" collapsed="false">
      <c r="A179" s="7" t="n">
        <v>2021</v>
      </c>
      <c r="B179" s="7" t="n">
        <v>9</v>
      </c>
      <c r="C179" s="7" t="s">
        <v>53</v>
      </c>
      <c r="D179" s="7" t="s">
        <v>54</v>
      </c>
      <c r="E179" s="8" t="s">
        <v>55</v>
      </c>
      <c r="F179" s="7" t="s">
        <v>56</v>
      </c>
      <c r="G179" s="7" t="n">
        <v>2</v>
      </c>
      <c r="H179" s="9" t="n">
        <v>1281</v>
      </c>
    </row>
    <row r="180" customFormat="false" ht="15" hidden="false" customHeight="false" outlineLevel="0" collapsed="false">
      <c r="A180" s="7" t="n">
        <v>2021</v>
      </c>
      <c r="B180" s="7" t="n">
        <v>9</v>
      </c>
      <c r="C180" s="7" t="s">
        <v>40</v>
      </c>
      <c r="D180" s="7" t="s">
        <v>41</v>
      </c>
      <c r="E180" s="8" t="s">
        <v>42</v>
      </c>
      <c r="F180" s="7" t="s">
        <v>43</v>
      </c>
      <c r="G180" s="7" t="n">
        <v>5</v>
      </c>
      <c r="H180" s="9" t="n">
        <v>6330</v>
      </c>
    </row>
    <row r="181" customFormat="false" ht="15" hidden="false" customHeight="false" outlineLevel="0" collapsed="false">
      <c r="A181" s="7" t="n">
        <v>2021</v>
      </c>
      <c r="B181" s="7" t="n">
        <v>9</v>
      </c>
      <c r="C181" s="7" t="s">
        <v>40</v>
      </c>
      <c r="D181" s="7" t="s">
        <v>41</v>
      </c>
      <c r="E181" s="8" t="s">
        <v>42</v>
      </c>
      <c r="F181" s="7" t="s">
        <v>45</v>
      </c>
      <c r="G181" s="7" t="n">
        <v>2</v>
      </c>
      <c r="H181" s="9" t="n">
        <v>2350</v>
      </c>
    </row>
    <row r="182" customFormat="false" ht="15" hidden="false" customHeight="false" outlineLevel="0" collapsed="false">
      <c r="A182" s="7" t="n">
        <v>2021</v>
      </c>
      <c r="B182" s="7" t="n">
        <v>9</v>
      </c>
      <c r="C182" s="7" t="s">
        <v>40</v>
      </c>
      <c r="D182" s="7" t="s">
        <v>41</v>
      </c>
      <c r="E182" s="8" t="s">
        <v>42</v>
      </c>
      <c r="F182" s="7" t="s">
        <v>58</v>
      </c>
      <c r="G182" s="7" t="n">
        <v>3</v>
      </c>
      <c r="H182" s="9" t="n">
        <v>1288</v>
      </c>
    </row>
    <row r="183" customFormat="false" ht="15" hidden="false" customHeight="false" outlineLevel="0" collapsed="false">
      <c r="A183" s="7" t="n">
        <v>2021</v>
      </c>
      <c r="B183" s="7" t="n">
        <v>9</v>
      </c>
      <c r="C183" s="7" t="s">
        <v>40</v>
      </c>
      <c r="D183" s="7" t="s">
        <v>41</v>
      </c>
      <c r="E183" s="8" t="s">
        <v>42</v>
      </c>
      <c r="F183" s="7" t="s">
        <v>49</v>
      </c>
      <c r="G183" s="7" t="n">
        <v>3</v>
      </c>
      <c r="H183" s="9" t="n">
        <v>1829</v>
      </c>
    </row>
    <row r="184" customFormat="false" ht="15" hidden="false" customHeight="false" outlineLevel="0" collapsed="false">
      <c r="A184" s="7" t="n">
        <v>2021</v>
      </c>
      <c r="B184" s="7" t="n">
        <v>10</v>
      </c>
      <c r="C184" s="7" t="s">
        <v>53</v>
      </c>
      <c r="D184" s="7" t="s">
        <v>41</v>
      </c>
      <c r="E184" s="8" t="s">
        <v>42</v>
      </c>
      <c r="F184" s="7" t="s">
        <v>45</v>
      </c>
      <c r="G184" s="7" t="n">
        <v>1</v>
      </c>
      <c r="H184" s="9" t="n">
        <v>1772.06</v>
      </c>
    </row>
    <row r="185" customFormat="false" ht="15" hidden="false" customHeight="false" outlineLevel="0" collapsed="false">
      <c r="A185" s="7" t="n">
        <v>2021</v>
      </c>
      <c r="B185" s="7" t="n">
        <v>10</v>
      </c>
      <c r="C185" s="7" t="s">
        <v>53</v>
      </c>
      <c r="D185" s="7" t="s">
        <v>54</v>
      </c>
      <c r="E185" s="8" t="s">
        <v>55</v>
      </c>
      <c r="F185" s="7" t="s">
        <v>56</v>
      </c>
      <c r="G185" s="7" t="n">
        <v>5</v>
      </c>
      <c r="H185" s="9" t="n">
        <v>13383.25</v>
      </c>
    </row>
    <row r="186" customFormat="false" ht="15" hidden="false" customHeight="false" outlineLevel="0" collapsed="false">
      <c r="A186" s="7" t="n">
        <v>2021</v>
      </c>
      <c r="B186" s="7" t="n">
        <v>10</v>
      </c>
      <c r="C186" s="7" t="s">
        <v>40</v>
      </c>
      <c r="D186" s="7" t="s">
        <v>41</v>
      </c>
      <c r="E186" s="8" t="s">
        <v>42</v>
      </c>
      <c r="F186" s="7" t="s">
        <v>43</v>
      </c>
      <c r="G186" s="7" t="n">
        <v>6</v>
      </c>
      <c r="H186" s="9" t="n">
        <v>5008.89</v>
      </c>
    </row>
    <row r="187" customFormat="false" ht="15" hidden="false" customHeight="false" outlineLevel="0" collapsed="false">
      <c r="A187" s="7" t="n">
        <v>2021</v>
      </c>
      <c r="B187" s="7" t="n">
        <v>10</v>
      </c>
      <c r="C187" s="7" t="s">
        <v>40</v>
      </c>
      <c r="D187" s="7" t="s">
        <v>41</v>
      </c>
      <c r="E187" s="8" t="s">
        <v>42</v>
      </c>
      <c r="F187" s="7" t="s">
        <v>45</v>
      </c>
      <c r="G187" s="7" t="n">
        <v>3</v>
      </c>
      <c r="H187" s="9" t="n">
        <v>9097</v>
      </c>
    </row>
    <row r="188" customFormat="false" ht="15" hidden="false" customHeight="false" outlineLevel="0" collapsed="false">
      <c r="A188" s="7" t="n">
        <v>2021</v>
      </c>
      <c r="B188" s="7" t="n">
        <v>10</v>
      </c>
      <c r="C188" s="7" t="s">
        <v>40</v>
      </c>
      <c r="D188" s="7" t="s">
        <v>41</v>
      </c>
      <c r="E188" s="8" t="s">
        <v>42</v>
      </c>
      <c r="F188" s="7" t="s">
        <v>58</v>
      </c>
      <c r="G188" s="7" t="n">
        <v>1</v>
      </c>
      <c r="H188" s="9" t="n">
        <v>140</v>
      </c>
    </row>
    <row r="189" customFormat="false" ht="15" hidden="false" customHeight="false" outlineLevel="0" collapsed="false">
      <c r="A189" s="7" t="n">
        <v>2021</v>
      </c>
      <c r="B189" s="7" t="n">
        <v>10</v>
      </c>
      <c r="C189" s="7" t="s">
        <v>40</v>
      </c>
      <c r="D189" s="7" t="s">
        <v>41</v>
      </c>
      <c r="E189" s="8" t="s">
        <v>42</v>
      </c>
      <c r="F189" s="7" t="s">
        <v>47</v>
      </c>
      <c r="G189" s="7" t="n">
        <v>1</v>
      </c>
      <c r="H189" s="9" t="n">
        <v>1.5</v>
      </c>
    </row>
    <row r="190" customFormat="false" ht="15" hidden="false" customHeight="false" outlineLevel="0" collapsed="false">
      <c r="A190" s="7" t="n">
        <v>2021</v>
      </c>
      <c r="B190" s="7" t="n">
        <v>10</v>
      </c>
      <c r="C190" s="7" t="s">
        <v>40</v>
      </c>
      <c r="D190" s="7" t="s">
        <v>41</v>
      </c>
      <c r="E190" s="8" t="s">
        <v>42</v>
      </c>
      <c r="F190" s="7" t="s">
        <v>49</v>
      </c>
      <c r="G190" s="7" t="n">
        <v>14</v>
      </c>
      <c r="H190" s="9" t="n">
        <v>24864.6</v>
      </c>
    </row>
    <row r="191" customFormat="false" ht="15" hidden="false" customHeight="false" outlineLevel="0" collapsed="false">
      <c r="A191" s="7" t="n">
        <v>2021</v>
      </c>
      <c r="B191" s="7" t="n">
        <v>10</v>
      </c>
      <c r="C191" s="7" t="s">
        <v>40</v>
      </c>
      <c r="D191" s="7" t="s">
        <v>51</v>
      </c>
      <c r="E191" s="8" t="s">
        <v>52</v>
      </c>
      <c r="F191" s="7" t="s">
        <v>47</v>
      </c>
      <c r="G191" s="7" t="n">
        <v>2</v>
      </c>
      <c r="H191" s="9" t="n">
        <v>7377</v>
      </c>
    </row>
    <row r="192" customFormat="false" ht="15" hidden="false" customHeight="false" outlineLevel="0" collapsed="false">
      <c r="A192" s="7" t="n">
        <v>2021</v>
      </c>
      <c r="B192" s="7" t="n">
        <v>11</v>
      </c>
      <c r="C192" s="7" t="s">
        <v>53</v>
      </c>
      <c r="D192" s="7" t="s">
        <v>41</v>
      </c>
      <c r="E192" s="8" t="s">
        <v>42</v>
      </c>
      <c r="F192" s="7" t="s">
        <v>45</v>
      </c>
      <c r="G192" s="7" t="n">
        <v>1</v>
      </c>
      <c r="H192" s="9" t="n">
        <v>2003.64</v>
      </c>
    </row>
    <row r="193" customFormat="false" ht="15" hidden="false" customHeight="false" outlineLevel="0" collapsed="false">
      <c r="A193" s="7" t="n">
        <v>2021</v>
      </c>
      <c r="B193" s="7" t="n">
        <v>11</v>
      </c>
      <c r="C193" s="7" t="s">
        <v>53</v>
      </c>
      <c r="D193" s="7" t="s">
        <v>54</v>
      </c>
      <c r="E193" s="8" t="s">
        <v>55</v>
      </c>
      <c r="F193" s="7" t="s">
        <v>56</v>
      </c>
      <c r="G193" s="7" t="n">
        <v>1</v>
      </c>
      <c r="H193" s="9" t="n">
        <v>36</v>
      </c>
    </row>
    <row r="194" customFormat="false" ht="15" hidden="false" customHeight="false" outlineLevel="0" collapsed="false">
      <c r="A194" s="7" t="n">
        <v>2021</v>
      </c>
      <c r="B194" s="7" t="n">
        <v>11</v>
      </c>
      <c r="C194" s="7" t="s">
        <v>40</v>
      </c>
      <c r="D194" s="7" t="s">
        <v>41</v>
      </c>
      <c r="E194" s="8" t="s">
        <v>42</v>
      </c>
      <c r="F194" s="7" t="s">
        <v>43</v>
      </c>
      <c r="G194" s="7" t="n">
        <v>6</v>
      </c>
      <c r="H194" s="9" t="n">
        <v>8377.425</v>
      </c>
    </row>
    <row r="195" customFormat="false" ht="15" hidden="false" customHeight="false" outlineLevel="0" collapsed="false">
      <c r="A195" s="7" t="n">
        <v>2021</v>
      </c>
      <c r="B195" s="7" t="n">
        <v>11</v>
      </c>
      <c r="C195" s="7" t="s">
        <v>40</v>
      </c>
      <c r="D195" s="7" t="s">
        <v>41</v>
      </c>
      <c r="E195" s="8" t="s">
        <v>42</v>
      </c>
      <c r="F195" s="7" t="s">
        <v>45</v>
      </c>
      <c r="G195" s="7" t="n">
        <v>3</v>
      </c>
      <c r="H195" s="9" t="n">
        <v>1638.875</v>
      </c>
    </row>
    <row r="196" customFormat="false" ht="15" hidden="false" customHeight="false" outlineLevel="0" collapsed="false">
      <c r="A196" s="7" t="n">
        <v>2021</v>
      </c>
      <c r="B196" s="7" t="n">
        <v>11</v>
      </c>
      <c r="C196" s="7" t="s">
        <v>40</v>
      </c>
      <c r="D196" s="7" t="s">
        <v>41</v>
      </c>
      <c r="E196" s="8" t="s">
        <v>42</v>
      </c>
      <c r="F196" s="7" t="s">
        <v>47</v>
      </c>
      <c r="G196" s="7" t="n">
        <v>2</v>
      </c>
      <c r="H196" s="9" t="n">
        <v>160</v>
      </c>
    </row>
    <row r="197" customFormat="false" ht="15" hidden="false" customHeight="false" outlineLevel="0" collapsed="false">
      <c r="A197" s="7" t="n">
        <v>2021</v>
      </c>
      <c r="B197" s="7" t="n">
        <v>11</v>
      </c>
      <c r="C197" s="7" t="s">
        <v>40</v>
      </c>
      <c r="D197" s="7" t="s">
        <v>41</v>
      </c>
      <c r="E197" s="8" t="s">
        <v>42</v>
      </c>
      <c r="F197" s="7" t="s">
        <v>49</v>
      </c>
      <c r="G197" s="7" t="n">
        <v>13</v>
      </c>
      <c r="H197" s="9" t="n">
        <v>17976.79</v>
      </c>
    </row>
    <row r="198" customFormat="false" ht="15" hidden="false" customHeight="false" outlineLevel="0" collapsed="false">
      <c r="A198" s="7" t="n">
        <v>2021</v>
      </c>
      <c r="B198" s="7" t="n">
        <v>11</v>
      </c>
      <c r="C198" s="7" t="s">
        <v>40</v>
      </c>
      <c r="D198" s="7" t="s">
        <v>51</v>
      </c>
      <c r="E198" s="8" t="s">
        <v>52</v>
      </c>
      <c r="F198" s="7" t="s">
        <v>47</v>
      </c>
      <c r="G198" s="7" t="n">
        <v>2</v>
      </c>
      <c r="H198" s="9" t="n">
        <v>4500</v>
      </c>
    </row>
    <row r="199" customFormat="false" ht="15" hidden="false" customHeight="false" outlineLevel="0" collapsed="false">
      <c r="A199" s="7" t="n">
        <v>2021</v>
      </c>
      <c r="B199" s="7" t="n">
        <v>12</v>
      </c>
      <c r="C199" s="7" t="s">
        <v>53</v>
      </c>
      <c r="D199" s="7" t="s">
        <v>54</v>
      </c>
      <c r="E199" s="8" t="s">
        <v>55</v>
      </c>
      <c r="F199" s="7" t="s">
        <v>56</v>
      </c>
      <c r="G199" s="7" t="n">
        <v>1</v>
      </c>
      <c r="H199" s="9" t="n">
        <v>270</v>
      </c>
    </row>
    <row r="200" customFormat="false" ht="15" hidden="false" customHeight="false" outlineLevel="0" collapsed="false">
      <c r="A200" s="7" t="n">
        <v>2021</v>
      </c>
      <c r="B200" s="7" t="n">
        <v>12</v>
      </c>
      <c r="C200" s="7" t="s">
        <v>40</v>
      </c>
      <c r="D200" s="7" t="s">
        <v>41</v>
      </c>
      <c r="E200" s="8" t="s">
        <v>42</v>
      </c>
      <c r="F200" s="7" t="s">
        <v>43</v>
      </c>
      <c r="G200" s="7" t="n">
        <v>8</v>
      </c>
      <c r="H200" s="9" t="n">
        <v>8839.25</v>
      </c>
    </row>
    <row r="201" customFormat="false" ht="15" hidden="false" customHeight="false" outlineLevel="0" collapsed="false">
      <c r="A201" s="7" t="n">
        <v>2021</v>
      </c>
      <c r="B201" s="7" t="n">
        <v>12</v>
      </c>
      <c r="C201" s="7" t="s">
        <v>40</v>
      </c>
      <c r="D201" s="7" t="s">
        <v>41</v>
      </c>
      <c r="E201" s="8" t="s">
        <v>42</v>
      </c>
      <c r="F201" s="7" t="s">
        <v>45</v>
      </c>
      <c r="G201" s="7" t="n">
        <v>3</v>
      </c>
      <c r="H201" s="9" t="n">
        <v>2700</v>
      </c>
    </row>
    <row r="202" customFormat="false" ht="15" hidden="false" customHeight="false" outlineLevel="0" collapsed="false">
      <c r="A202" s="7" t="n">
        <v>2021</v>
      </c>
      <c r="B202" s="7" t="n">
        <v>12</v>
      </c>
      <c r="C202" s="7" t="s">
        <v>40</v>
      </c>
      <c r="D202" s="7" t="s">
        <v>41</v>
      </c>
      <c r="E202" s="8" t="s">
        <v>42</v>
      </c>
      <c r="F202" s="7" t="s">
        <v>49</v>
      </c>
      <c r="G202" s="7" t="n">
        <v>5</v>
      </c>
      <c r="H202" s="9" t="n">
        <v>5466.05</v>
      </c>
    </row>
    <row r="203" customFormat="false" ht="15" hidden="false" customHeight="false" outlineLevel="0" collapsed="false">
      <c r="A203" s="7" t="n">
        <v>2021</v>
      </c>
      <c r="B203" s="7" t="n">
        <v>12</v>
      </c>
      <c r="C203" s="7" t="s">
        <v>40</v>
      </c>
      <c r="D203" s="7" t="s">
        <v>51</v>
      </c>
      <c r="E203" s="8" t="s">
        <v>52</v>
      </c>
      <c r="F203" s="7" t="s">
        <v>47</v>
      </c>
      <c r="G203" s="7" t="n">
        <v>4</v>
      </c>
      <c r="H203" s="9" t="n">
        <v>16000</v>
      </c>
    </row>
    <row r="204" customFormat="false" ht="15" hidden="false" customHeight="false" outlineLevel="0" collapsed="false">
      <c r="A204" s="7" t="n">
        <v>2022</v>
      </c>
      <c r="B204" s="7" t="n">
        <v>1</v>
      </c>
      <c r="C204" s="7" t="s">
        <v>53</v>
      </c>
      <c r="D204" s="7" t="s">
        <v>54</v>
      </c>
      <c r="E204" s="8" t="s">
        <v>55</v>
      </c>
      <c r="F204" s="7" t="s">
        <v>59</v>
      </c>
      <c r="G204" s="7" t="n">
        <v>1</v>
      </c>
      <c r="H204" s="9" t="n">
        <v>460</v>
      </c>
    </row>
    <row r="205" customFormat="false" ht="15" hidden="false" customHeight="false" outlineLevel="0" collapsed="false">
      <c r="A205" s="7" t="n">
        <v>2022</v>
      </c>
      <c r="B205" s="7" t="n">
        <v>1</v>
      </c>
      <c r="C205" s="7" t="s">
        <v>53</v>
      </c>
      <c r="D205" s="7" t="s">
        <v>54</v>
      </c>
      <c r="E205" s="8" t="s">
        <v>55</v>
      </c>
      <c r="F205" s="7" t="s">
        <v>56</v>
      </c>
      <c r="G205" s="7" t="n">
        <v>2</v>
      </c>
      <c r="H205" s="9" t="n">
        <v>829</v>
      </c>
    </row>
    <row r="206" customFormat="false" ht="15" hidden="false" customHeight="false" outlineLevel="0" collapsed="false">
      <c r="A206" s="7" t="n">
        <v>2022</v>
      </c>
      <c r="B206" s="7" t="n">
        <v>1</v>
      </c>
      <c r="C206" s="7" t="s">
        <v>40</v>
      </c>
      <c r="D206" s="7" t="s">
        <v>41</v>
      </c>
      <c r="E206" s="8" t="s">
        <v>42</v>
      </c>
      <c r="F206" s="7" t="s">
        <v>43</v>
      </c>
      <c r="G206" s="7" t="n">
        <v>4</v>
      </c>
      <c r="H206" s="9" t="n">
        <v>5600</v>
      </c>
    </row>
    <row r="207" customFormat="false" ht="15" hidden="false" customHeight="false" outlineLevel="0" collapsed="false">
      <c r="A207" s="7" t="n">
        <v>2022</v>
      </c>
      <c r="B207" s="7" t="n">
        <v>1</v>
      </c>
      <c r="C207" s="7" t="s">
        <v>40</v>
      </c>
      <c r="D207" s="7" t="s">
        <v>41</v>
      </c>
      <c r="E207" s="8" t="s">
        <v>42</v>
      </c>
      <c r="F207" s="7" t="s">
        <v>49</v>
      </c>
      <c r="G207" s="7" t="n">
        <v>1</v>
      </c>
      <c r="H207" s="9" t="n">
        <v>1171.44</v>
      </c>
    </row>
    <row r="208" customFormat="false" ht="15" hidden="false" customHeight="false" outlineLevel="0" collapsed="false">
      <c r="A208" s="7" t="n">
        <v>2022</v>
      </c>
      <c r="B208" s="7" t="n">
        <v>1</v>
      </c>
      <c r="C208" s="7" t="s">
        <v>40</v>
      </c>
      <c r="D208" s="7" t="s">
        <v>51</v>
      </c>
      <c r="E208" s="8" t="s">
        <v>52</v>
      </c>
      <c r="F208" s="7" t="s">
        <v>47</v>
      </c>
      <c r="G208" s="7" t="n">
        <v>9</v>
      </c>
      <c r="H208" s="9" t="n">
        <v>33397.5</v>
      </c>
    </row>
    <row r="209" customFormat="false" ht="15" hidden="false" customHeight="false" outlineLevel="0" collapsed="false">
      <c r="A209" s="7" t="n">
        <v>2022</v>
      </c>
      <c r="B209" s="7" t="n">
        <v>2</v>
      </c>
      <c r="C209" s="7" t="s">
        <v>53</v>
      </c>
      <c r="D209" s="7" t="s">
        <v>54</v>
      </c>
      <c r="E209" s="8" t="s">
        <v>55</v>
      </c>
      <c r="F209" s="7" t="s">
        <v>56</v>
      </c>
      <c r="G209" s="7" t="n">
        <v>3</v>
      </c>
      <c r="H209" s="9" t="n">
        <v>2341.4</v>
      </c>
    </row>
    <row r="210" customFormat="false" ht="15" hidden="false" customHeight="false" outlineLevel="0" collapsed="false">
      <c r="A210" s="7" t="n">
        <v>2022</v>
      </c>
      <c r="B210" s="7" t="n">
        <v>2</v>
      </c>
      <c r="C210" s="7" t="s">
        <v>40</v>
      </c>
      <c r="D210" s="7" t="s">
        <v>41</v>
      </c>
      <c r="E210" s="8" t="s">
        <v>42</v>
      </c>
      <c r="F210" s="7" t="s">
        <v>43</v>
      </c>
      <c r="G210" s="7" t="n">
        <v>4</v>
      </c>
      <c r="H210" s="9" t="n">
        <v>4548.6</v>
      </c>
    </row>
    <row r="211" customFormat="false" ht="15" hidden="false" customHeight="false" outlineLevel="0" collapsed="false">
      <c r="A211" s="7" t="n">
        <v>2022</v>
      </c>
      <c r="B211" s="7" t="n">
        <v>2</v>
      </c>
      <c r="C211" s="7" t="s">
        <v>40</v>
      </c>
      <c r="D211" s="7" t="s">
        <v>41</v>
      </c>
      <c r="E211" s="8" t="s">
        <v>42</v>
      </c>
      <c r="F211" s="7" t="s">
        <v>45</v>
      </c>
      <c r="G211" s="7" t="n">
        <v>2</v>
      </c>
      <c r="H211" s="9" t="n">
        <v>3400</v>
      </c>
    </row>
    <row r="212" customFormat="false" ht="15" hidden="false" customHeight="false" outlineLevel="0" collapsed="false">
      <c r="A212" s="7" t="n">
        <v>2022</v>
      </c>
      <c r="B212" s="7" t="n">
        <v>2</v>
      </c>
      <c r="C212" s="7" t="s">
        <v>40</v>
      </c>
      <c r="D212" s="7" t="s">
        <v>41</v>
      </c>
      <c r="E212" s="8" t="s">
        <v>42</v>
      </c>
      <c r="F212" s="7" t="s">
        <v>47</v>
      </c>
      <c r="G212" s="7" t="n">
        <v>4</v>
      </c>
      <c r="H212" s="9" t="n">
        <v>4561.89</v>
      </c>
    </row>
    <row r="213" customFormat="false" ht="15" hidden="false" customHeight="false" outlineLevel="0" collapsed="false">
      <c r="A213" s="7" t="n">
        <v>2022</v>
      </c>
      <c r="B213" s="7" t="n">
        <v>2</v>
      </c>
      <c r="C213" s="7" t="s">
        <v>40</v>
      </c>
      <c r="D213" s="7" t="s">
        <v>41</v>
      </c>
      <c r="E213" s="8" t="s">
        <v>42</v>
      </c>
      <c r="F213" s="7" t="s">
        <v>49</v>
      </c>
      <c r="G213" s="7" t="n">
        <v>1</v>
      </c>
      <c r="H213" s="9" t="n">
        <v>60</v>
      </c>
    </row>
    <row r="214" customFormat="false" ht="15" hidden="false" customHeight="false" outlineLevel="0" collapsed="false">
      <c r="A214" s="7" t="n">
        <v>2022</v>
      </c>
      <c r="B214" s="7" t="n">
        <v>2</v>
      </c>
      <c r="C214" s="7" t="s">
        <v>40</v>
      </c>
      <c r="D214" s="7" t="s">
        <v>51</v>
      </c>
      <c r="E214" s="8" t="s">
        <v>52</v>
      </c>
      <c r="F214" s="7" t="s">
        <v>47</v>
      </c>
      <c r="G214" s="7" t="n">
        <v>4</v>
      </c>
      <c r="H214" s="9" t="n">
        <v>26000</v>
      </c>
    </row>
    <row r="215" customFormat="false" ht="15" hidden="false" customHeight="false" outlineLevel="0" collapsed="false">
      <c r="A215" s="7" t="n">
        <v>2022</v>
      </c>
      <c r="B215" s="7" t="n">
        <v>3</v>
      </c>
      <c r="C215" s="7" t="s">
        <v>53</v>
      </c>
      <c r="D215" s="7" t="s">
        <v>54</v>
      </c>
      <c r="E215" s="8" t="s">
        <v>55</v>
      </c>
      <c r="F215" s="7" t="s">
        <v>56</v>
      </c>
      <c r="G215" s="7" t="n">
        <v>2</v>
      </c>
      <c r="H215" s="9" t="n">
        <v>6941.8</v>
      </c>
    </row>
    <row r="216" customFormat="false" ht="15" hidden="false" customHeight="false" outlineLevel="0" collapsed="false">
      <c r="A216" s="7" t="n">
        <v>2022</v>
      </c>
      <c r="B216" s="7" t="n">
        <v>3</v>
      </c>
      <c r="C216" s="7" t="s">
        <v>40</v>
      </c>
      <c r="D216" s="7" t="s">
        <v>41</v>
      </c>
      <c r="E216" s="8" t="s">
        <v>42</v>
      </c>
      <c r="F216" s="7" t="s">
        <v>43</v>
      </c>
      <c r="G216" s="7" t="n">
        <v>2</v>
      </c>
      <c r="H216" s="9" t="n">
        <v>1080.258</v>
      </c>
    </row>
    <row r="217" customFormat="false" ht="15" hidden="false" customHeight="false" outlineLevel="0" collapsed="false">
      <c r="A217" s="7" t="n">
        <v>2022</v>
      </c>
      <c r="B217" s="7" t="n">
        <v>3</v>
      </c>
      <c r="C217" s="7" t="s">
        <v>40</v>
      </c>
      <c r="D217" s="7" t="s">
        <v>41</v>
      </c>
      <c r="E217" s="8" t="s">
        <v>42</v>
      </c>
      <c r="F217" s="7" t="s">
        <v>45</v>
      </c>
      <c r="G217" s="7" t="n">
        <v>6</v>
      </c>
      <c r="H217" s="9" t="n">
        <v>12223.1</v>
      </c>
    </row>
    <row r="218" customFormat="false" ht="15" hidden="false" customHeight="false" outlineLevel="0" collapsed="false">
      <c r="A218" s="7" t="n">
        <v>2022</v>
      </c>
      <c r="B218" s="7" t="n">
        <v>3</v>
      </c>
      <c r="C218" s="7" t="s">
        <v>40</v>
      </c>
      <c r="D218" s="7" t="s">
        <v>41</v>
      </c>
      <c r="E218" s="8" t="s">
        <v>42</v>
      </c>
      <c r="F218" s="7" t="s">
        <v>47</v>
      </c>
      <c r="G218" s="7" t="n">
        <v>3</v>
      </c>
      <c r="H218" s="9" t="n">
        <v>5305.64</v>
      </c>
    </row>
    <row r="219" customFormat="false" ht="15" hidden="false" customHeight="false" outlineLevel="0" collapsed="false">
      <c r="A219" s="7" t="n">
        <v>2022</v>
      </c>
      <c r="B219" s="7" t="n">
        <v>3</v>
      </c>
      <c r="C219" s="7" t="s">
        <v>40</v>
      </c>
      <c r="D219" s="7" t="s">
        <v>41</v>
      </c>
      <c r="E219" s="8" t="s">
        <v>42</v>
      </c>
      <c r="F219" s="7" t="s">
        <v>49</v>
      </c>
      <c r="G219" s="7" t="n">
        <v>1</v>
      </c>
      <c r="H219" s="9" t="n">
        <v>775</v>
      </c>
    </row>
    <row r="220" customFormat="false" ht="15" hidden="false" customHeight="false" outlineLevel="0" collapsed="false">
      <c r="A220" s="7" t="n">
        <v>2022</v>
      </c>
      <c r="B220" s="7" t="n">
        <v>3</v>
      </c>
      <c r="C220" s="7" t="s">
        <v>40</v>
      </c>
      <c r="D220" s="7" t="s">
        <v>51</v>
      </c>
      <c r="E220" s="8" t="s">
        <v>52</v>
      </c>
      <c r="F220" s="7" t="s">
        <v>47</v>
      </c>
      <c r="G220" s="7" t="n">
        <v>3</v>
      </c>
      <c r="H220" s="9" t="n">
        <v>2670.61</v>
      </c>
    </row>
    <row r="221" customFormat="false" ht="15" hidden="false" customHeight="false" outlineLevel="0" collapsed="false">
      <c r="A221" s="7" t="n">
        <v>2022</v>
      </c>
      <c r="B221" s="7" t="n">
        <v>4</v>
      </c>
      <c r="C221" s="7" t="s">
        <v>53</v>
      </c>
      <c r="D221" s="7" t="s">
        <v>41</v>
      </c>
      <c r="E221" s="8" t="s">
        <v>42</v>
      </c>
      <c r="F221" s="7" t="s">
        <v>60</v>
      </c>
      <c r="G221" s="7" t="n">
        <v>1</v>
      </c>
      <c r="H221" s="9" t="n">
        <v>220</v>
      </c>
    </row>
    <row r="222" customFormat="false" ht="15" hidden="false" customHeight="false" outlineLevel="0" collapsed="false">
      <c r="A222" s="7" t="n">
        <v>2022</v>
      </c>
      <c r="B222" s="7" t="n">
        <v>4</v>
      </c>
      <c r="C222" s="7" t="s">
        <v>53</v>
      </c>
      <c r="D222" s="7" t="s">
        <v>54</v>
      </c>
      <c r="E222" s="8" t="s">
        <v>55</v>
      </c>
      <c r="F222" s="7" t="s">
        <v>56</v>
      </c>
      <c r="G222" s="7" t="n">
        <v>2</v>
      </c>
      <c r="H222" s="9" t="n">
        <v>3412.8</v>
      </c>
    </row>
    <row r="223" customFormat="false" ht="15" hidden="false" customHeight="false" outlineLevel="0" collapsed="false">
      <c r="A223" s="7" t="n">
        <v>2022</v>
      </c>
      <c r="B223" s="7" t="n">
        <v>4</v>
      </c>
      <c r="C223" s="7" t="s">
        <v>40</v>
      </c>
      <c r="D223" s="7" t="s">
        <v>41</v>
      </c>
      <c r="E223" s="8" t="s">
        <v>42</v>
      </c>
      <c r="F223" s="7" t="s">
        <v>43</v>
      </c>
      <c r="G223" s="7" t="n">
        <v>6</v>
      </c>
      <c r="H223" s="9" t="n">
        <v>9020</v>
      </c>
    </row>
    <row r="224" customFormat="false" ht="15" hidden="false" customHeight="false" outlineLevel="0" collapsed="false">
      <c r="A224" s="7" t="n">
        <v>2022</v>
      </c>
      <c r="B224" s="7" t="n">
        <v>4</v>
      </c>
      <c r="C224" s="7" t="s">
        <v>40</v>
      </c>
      <c r="D224" s="7" t="s">
        <v>41</v>
      </c>
      <c r="E224" s="8" t="s">
        <v>42</v>
      </c>
      <c r="F224" s="7" t="s">
        <v>45</v>
      </c>
      <c r="G224" s="7" t="n">
        <v>2</v>
      </c>
      <c r="H224" s="9" t="n">
        <v>2430</v>
      </c>
    </row>
    <row r="225" customFormat="false" ht="15" hidden="false" customHeight="false" outlineLevel="0" collapsed="false">
      <c r="A225" s="7" t="n">
        <v>2022</v>
      </c>
      <c r="B225" s="7" t="n">
        <v>4</v>
      </c>
      <c r="C225" s="7" t="s">
        <v>40</v>
      </c>
      <c r="D225" s="7" t="s">
        <v>41</v>
      </c>
      <c r="E225" s="8" t="s">
        <v>42</v>
      </c>
      <c r="F225" s="7" t="s">
        <v>47</v>
      </c>
      <c r="G225" s="7" t="n">
        <v>6</v>
      </c>
      <c r="H225" s="9" t="n">
        <v>5928.71</v>
      </c>
    </row>
    <row r="226" customFormat="false" ht="15" hidden="false" customHeight="false" outlineLevel="0" collapsed="false">
      <c r="A226" s="7" t="n">
        <v>2022</v>
      </c>
      <c r="B226" s="7" t="n">
        <v>4</v>
      </c>
      <c r="C226" s="7" t="s">
        <v>40</v>
      </c>
      <c r="D226" s="7" t="s">
        <v>51</v>
      </c>
      <c r="E226" s="8" t="s">
        <v>52</v>
      </c>
      <c r="F226" s="7" t="s">
        <v>47</v>
      </c>
      <c r="G226" s="7" t="n">
        <v>1</v>
      </c>
      <c r="H226" s="9" t="n">
        <v>1000</v>
      </c>
    </row>
    <row r="227" customFormat="false" ht="15" hidden="false" customHeight="false" outlineLevel="0" collapsed="false">
      <c r="A227" s="7" t="n">
        <v>2022</v>
      </c>
      <c r="B227" s="7" t="n">
        <v>5</v>
      </c>
      <c r="C227" s="7" t="s">
        <v>53</v>
      </c>
      <c r="D227" s="7" t="s">
        <v>54</v>
      </c>
      <c r="E227" s="8" t="s">
        <v>55</v>
      </c>
      <c r="F227" s="7" t="s">
        <v>56</v>
      </c>
      <c r="G227" s="7" t="n">
        <v>3</v>
      </c>
      <c r="H227" s="9" t="n">
        <v>6597.375</v>
      </c>
    </row>
    <row r="228" customFormat="false" ht="15" hidden="false" customHeight="false" outlineLevel="0" collapsed="false">
      <c r="A228" s="7" t="n">
        <v>2022</v>
      </c>
      <c r="B228" s="7" t="n">
        <v>5</v>
      </c>
      <c r="C228" s="7" t="s">
        <v>40</v>
      </c>
      <c r="D228" s="7" t="s">
        <v>41</v>
      </c>
      <c r="E228" s="8" t="s">
        <v>42</v>
      </c>
      <c r="F228" s="7" t="s">
        <v>43</v>
      </c>
      <c r="G228" s="7" t="n">
        <v>7</v>
      </c>
      <c r="H228" s="9" t="n">
        <v>6053.175</v>
      </c>
    </row>
    <row r="229" customFormat="false" ht="15" hidden="false" customHeight="false" outlineLevel="0" collapsed="false">
      <c r="A229" s="7" t="n">
        <v>2022</v>
      </c>
      <c r="B229" s="7" t="n">
        <v>5</v>
      </c>
      <c r="C229" s="7" t="s">
        <v>40</v>
      </c>
      <c r="D229" s="7" t="s">
        <v>41</v>
      </c>
      <c r="E229" s="8" t="s">
        <v>42</v>
      </c>
      <c r="F229" s="7" t="s">
        <v>45</v>
      </c>
      <c r="G229" s="7" t="n">
        <v>2</v>
      </c>
      <c r="H229" s="9" t="n">
        <v>1131.5</v>
      </c>
    </row>
    <row r="230" customFormat="false" ht="15" hidden="false" customHeight="false" outlineLevel="0" collapsed="false">
      <c r="A230" s="7" t="n">
        <v>2022</v>
      </c>
      <c r="B230" s="7" t="n">
        <v>5</v>
      </c>
      <c r="C230" s="7" t="s">
        <v>40</v>
      </c>
      <c r="D230" s="7" t="s">
        <v>41</v>
      </c>
      <c r="E230" s="8" t="s">
        <v>42</v>
      </c>
      <c r="F230" s="7" t="s">
        <v>47</v>
      </c>
      <c r="G230" s="7" t="n">
        <v>2</v>
      </c>
      <c r="H230" s="9" t="n">
        <v>3094.24</v>
      </c>
    </row>
    <row r="231" customFormat="false" ht="15" hidden="false" customHeight="false" outlineLevel="0" collapsed="false">
      <c r="A231" s="7" t="n">
        <v>2022</v>
      </c>
      <c r="B231" s="7" t="n">
        <v>5</v>
      </c>
      <c r="C231" s="7" t="s">
        <v>40</v>
      </c>
      <c r="D231" s="7" t="s">
        <v>41</v>
      </c>
      <c r="E231" s="8" t="s">
        <v>42</v>
      </c>
      <c r="F231" s="7" t="s">
        <v>49</v>
      </c>
      <c r="G231" s="7" t="n">
        <v>1</v>
      </c>
      <c r="H231" s="9" t="n">
        <v>344</v>
      </c>
    </row>
    <row r="232" customFormat="false" ht="15" hidden="false" customHeight="false" outlineLevel="0" collapsed="false">
      <c r="A232" s="7" t="n">
        <v>2022</v>
      </c>
      <c r="B232" s="7" t="n">
        <v>5</v>
      </c>
      <c r="C232" s="7" t="s">
        <v>40</v>
      </c>
      <c r="D232" s="7" t="s">
        <v>51</v>
      </c>
      <c r="E232" s="8" t="s">
        <v>52</v>
      </c>
      <c r="F232" s="7" t="s">
        <v>47</v>
      </c>
      <c r="G232" s="7" t="n">
        <v>4</v>
      </c>
      <c r="H232" s="9" t="n">
        <v>12278.85</v>
      </c>
    </row>
    <row r="233" customFormat="false" ht="15" hidden="false" customHeight="false" outlineLevel="0" collapsed="false">
      <c r="A233" s="7" t="n">
        <v>2022</v>
      </c>
      <c r="B233" s="7" t="n">
        <v>6</v>
      </c>
      <c r="C233" s="7" t="s">
        <v>53</v>
      </c>
      <c r="D233" s="7" t="s">
        <v>54</v>
      </c>
      <c r="E233" s="8" t="s">
        <v>55</v>
      </c>
      <c r="F233" s="7" t="s">
        <v>56</v>
      </c>
      <c r="G233" s="7" t="n">
        <v>1</v>
      </c>
      <c r="H233" s="9" t="n">
        <v>2.25</v>
      </c>
    </row>
    <row r="234" customFormat="false" ht="15" hidden="false" customHeight="false" outlineLevel="0" collapsed="false">
      <c r="A234" s="7" t="n">
        <v>2022</v>
      </c>
      <c r="B234" s="7" t="n">
        <v>6</v>
      </c>
      <c r="C234" s="7" t="s">
        <v>40</v>
      </c>
      <c r="D234" s="7" t="s">
        <v>41</v>
      </c>
      <c r="E234" s="8" t="s">
        <v>42</v>
      </c>
      <c r="F234" s="7" t="s">
        <v>43</v>
      </c>
      <c r="G234" s="7" t="n">
        <v>6</v>
      </c>
      <c r="H234" s="9" t="n">
        <v>3210</v>
      </c>
    </row>
    <row r="235" customFormat="false" ht="15" hidden="false" customHeight="false" outlineLevel="0" collapsed="false">
      <c r="A235" s="7" t="n">
        <v>2022</v>
      </c>
      <c r="B235" s="7" t="n">
        <v>6</v>
      </c>
      <c r="C235" s="7" t="s">
        <v>40</v>
      </c>
      <c r="D235" s="7" t="s">
        <v>41</v>
      </c>
      <c r="E235" s="8" t="s">
        <v>42</v>
      </c>
      <c r="F235" s="7" t="s">
        <v>45</v>
      </c>
      <c r="G235" s="7" t="n">
        <v>1</v>
      </c>
      <c r="H235" s="9" t="n">
        <v>400</v>
      </c>
    </row>
    <row r="236" customFormat="false" ht="15" hidden="false" customHeight="false" outlineLevel="0" collapsed="false">
      <c r="A236" s="7" t="n">
        <v>2022</v>
      </c>
      <c r="B236" s="7" t="n">
        <v>6</v>
      </c>
      <c r="C236" s="7" t="s">
        <v>40</v>
      </c>
      <c r="D236" s="7" t="s">
        <v>41</v>
      </c>
      <c r="E236" s="8" t="s">
        <v>42</v>
      </c>
      <c r="F236" s="7" t="s">
        <v>58</v>
      </c>
      <c r="G236" s="7" t="n">
        <v>1</v>
      </c>
      <c r="H236" s="9" t="n">
        <v>356</v>
      </c>
    </row>
    <row r="237" customFormat="false" ht="15" hidden="false" customHeight="false" outlineLevel="0" collapsed="false">
      <c r="A237" s="7" t="n">
        <v>2022</v>
      </c>
      <c r="B237" s="7" t="n">
        <v>6</v>
      </c>
      <c r="C237" s="7" t="s">
        <v>40</v>
      </c>
      <c r="D237" s="7" t="s">
        <v>41</v>
      </c>
      <c r="E237" s="8" t="s">
        <v>42</v>
      </c>
      <c r="F237" s="7" t="s">
        <v>47</v>
      </c>
      <c r="G237" s="7" t="n">
        <v>3</v>
      </c>
      <c r="H237" s="9" t="n">
        <v>6086.5</v>
      </c>
    </row>
    <row r="238" customFormat="false" ht="15" hidden="false" customHeight="false" outlineLevel="0" collapsed="false">
      <c r="A238" s="7" t="n">
        <v>2022</v>
      </c>
      <c r="B238" s="7" t="n">
        <v>6</v>
      </c>
      <c r="C238" s="7" t="s">
        <v>40</v>
      </c>
      <c r="D238" s="7" t="s">
        <v>41</v>
      </c>
      <c r="E238" s="8" t="s">
        <v>42</v>
      </c>
      <c r="F238" s="7" t="s">
        <v>49</v>
      </c>
      <c r="G238" s="7" t="n">
        <v>1</v>
      </c>
      <c r="H238" s="9" t="n">
        <v>170</v>
      </c>
    </row>
    <row r="239" customFormat="false" ht="15" hidden="false" customHeight="false" outlineLevel="0" collapsed="false">
      <c r="A239" s="7" t="n">
        <v>2022</v>
      </c>
      <c r="B239" s="7" t="n">
        <v>6</v>
      </c>
      <c r="C239" s="7" t="s">
        <v>40</v>
      </c>
      <c r="D239" s="7" t="s">
        <v>51</v>
      </c>
      <c r="E239" s="8" t="s">
        <v>52</v>
      </c>
      <c r="F239" s="7" t="s">
        <v>47</v>
      </c>
      <c r="G239" s="7" t="n">
        <v>1</v>
      </c>
      <c r="H239" s="9" t="n">
        <v>1500</v>
      </c>
    </row>
    <row r="240" customFormat="false" ht="15" hidden="false" customHeight="false" outlineLevel="0" collapsed="false">
      <c r="A240" s="7" t="n">
        <v>2022</v>
      </c>
      <c r="B240" s="7" t="n">
        <v>7</v>
      </c>
      <c r="C240" s="7" t="s">
        <v>53</v>
      </c>
      <c r="D240" s="7" t="s">
        <v>54</v>
      </c>
      <c r="E240" s="8" t="s">
        <v>55</v>
      </c>
      <c r="F240" s="7" t="s">
        <v>59</v>
      </c>
      <c r="G240" s="7" t="n">
        <v>1</v>
      </c>
      <c r="H240" s="9" t="n">
        <v>276</v>
      </c>
    </row>
    <row r="241" customFormat="false" ht="15" hidden="false" customHeight="false" outlineLevel="0" collapsed="false">
      <c r="A241" s="7" t="n">
        <v>2022</v>
      </c>
      <c r="B241" s="7" t="n">
        <v>7</v>
      </c>
      <c r="C241" s="7" t="s">
        <v>53</v>
      </c>
      <c r="D241" s="7" t="s">
        <v>54</v>
      </c>
      <c r="E241" s="8" t="s">
        <v>55</v>
      </c>
      <c r="F241" s="7" t="s">
        <v>56</v>
      </c>
      <c r="G241" s="7" t="n">
        <v>2</v>
      </c>
      <c r="H241" s="9" t="n">
        <v>1226.25</v>
      </c>
    </row>
    <row r="242" customFormat="false" ht="15" hidden="false" customHeight="false" outlineLevel="0" collapsed="false">
      <c r="A242" s="7" t="n">
        <v>2022</v>
      </c>
      <c r="B242" s="7" t="n">
        <v>7</v>
      </c>
      <c r="C242" s="7" t="s">
        <v>40</v>
      </c>
      <c r="D242" s="7" t="s">
        <v>41</v>
      </c>
      <c r="E242" s="8" t="s">
        <v>42</v>
      </c>
      <c r="F242" s="7" t="s">
        <v>43</v>
      </c>
      <c r="G242" s="7" t="n">
        <v>7</v>
      </c>
      <c r="H242" s="9" t="n">
        <v>13500</v>
      </c>
    </row>
    <row r="243" customFormat="false" ht="15" hidden="false" customHeight="false" outlineLevel="0" collapsed="false">
      <c r="A243" s="7" t="n">
        <v>2022</v>
      </c>
      <c r="B243" s="7" t="n">
        <v>7</v>
      </c>
      <c r="C243" s="7" t="s">
        <v>40</v>
      </c>
      <c r="D243" s="7" t="s">
        <v>41</v>
      </c>
      <c r="E243" s="8" t="s">
        <v>42</v>
      </c>
      <c r="F243" s="7" t="s">
        <v>45</v>
      </c>
      <c r="G243" s="7" t="n">
        <v>2</v>
      </c>
      <c r="H243" s="9" t="n">
        <v>3050</v>
      </c>
    </row>
    <row r="244" customFormat="false" ht="15" hidden="false" customHeight="false" outlineLevel="0" collapsed="false">
      <c r="A244" s="7" t="n">
        <v>2022</v>
      </c>
      <c r="B244" s="7" t="n">
        <v>7</v>
      </c>
      <c r="C244" s="7" t="s">
        <v>40</v>
      </c>
      <c r="D244" s="7" t="s">
        <v>51</v>
      </c>
      <c r="E244" s="8" t="s">
        <v>52</v>
      </c>
      <c r="F244" s="7" t="s">
        <v>47</v>
      </c>
      <c r="G244" s="7" t="n">
        <v>5</v>
      </c>
      <c r="H244" s="9" t="n">
        <v>17195.15</v>
      </c>
    </row>
    <row r="245" customFormat="false" ht="15" hidden="false" customHeight="false" outlineLevel="0" collapsed="false">
      <c r="A245" s="7" t="n">
        <v>2022</v>
      </c>
      <c r="B245" s="7" t="n">
        <v>8</v>
      </c>
      <c r="C245" s="7" t="s">
        <v>53</v>
      </c>
      <c r="D245" s="7" t="s">
        <v>54</v>
      </c>
      <c r="E245" s="8" t="s">
        <v>55</v>
      </c>
      <c r="F245" s="7" t="s">
        <v>56</v>
      </c>
      <c r="G245" s="7" t="n">
        <v>4</v>
      </c>
      <c r="H245" s="9" t="n">
        <v>15550.5</v>
      </c>
    </row>
    <row r="246" customFormat="false" ht="15" hidden="false" customHeight="false" outlineLevel="0" collapsed="false">
      <c r="A246" s="7" t="n">
        <v>2022</v>
      </c>
      <c r="B246" s="7" t="n">
        <v>8</v>
      </c>
      <c r="C246" s="7" t="s">
        <v>40</v>
      </c>
      <c r="D246" s="7" t="s">
        <v>41</v>
      </c>
      <c r="E246" s="8" t="s">
        <v>42</v>
      </c>
      <c r="F246" s="7" t="s">
        <v>43</v>
      </c>
      <c r="G246" s="7" t="n">
        <v>6</v>
      </c>
      <c r="H246" s="9" t="n">
        <v>6096</v>
      </c>
    </row>
    <row r="247" customFormat="false" ht="15" hidden="false" customHeight="false" outlineLevel="0" collapsed="false">
      <c r="A247" s="7" t="n">
        <v>2022</v>
      </c>
      <c r="B247" s="7" t="n">
        <v>8</v>
      </c>
      <c r="C247" s="7" t="s">
        <v>40</v>
      </c>
      <c r="D247" s="7" t="s">
        <v>41</v>
      </c>
      <c r="E247" s="8" t="s">
        <v>42</v>
      </c>
      <c r="F247" s="7" t="s">
        <v>45</v>
      </c>
      <c r="G247" s="7" t="n">
        <v>1</v>
      </c>
      <c r="H247" s="9" t="n">
        <v>400</v>
      </c>
    </row>
    <row r="248" customFormat="false" ht="15" hidden="false" customHeight="false" outlineLevel="0" collapsed="false">
      <c r="A248" s="7" t="n">
        <v>2022</v>
      </c>
      <c r="B248" s="7" t="n">
        <v>8</v>
      </c>
      <c r="C248" s="7" t="s">
        <v>40</v>
      </c>
      <c r="D248" s="7" t="s">
        <v>41</v>
      </c>
      <c r="E248" s="8" t="s">
        <v>42</v>
      </c>
      <c r="F248" s="7" t="s">
        <v>47</v>
      </c>
      <c r="G248" s="7" t="n">
        <v>4</v>
      </c>
      <c r="H248" s="9" t="n">
        <v>5659.79</v>
      </c>
    </row>
    <row r="249" customFormat="false" ht="15" hidden="false" customHeight="false" outlineLevel="0" collapsed="false">
      <c r="A249" s="7" t="n">
        <v>2022</v>
      </c>
      <c r="B249" s="7" t="n">
        <v>8</v>
      </c>
      <c r="C249" s="7" t="s">
        <v>40</v>
      </c>
      <c r="D249" s="7" t="s">
        <v>41</v>
      </c>
      <c r="E249" s="8" t="s">
        <v>42</v>
      </c>
      <c r="F249" s="7" t="s">
        <v>49</v>
      </c>
      <c r="G249" s="7" t="n">
        <v>2</v>
      </c>
      <c r="H249" s="9" t="n">
        <v>1264</v>
      </c>
    </row>
    <row r="250" customFormat="false" ht="15" hidden="false" customHeight="false" outlineLevel="0" collapsed="false">
      <c r="A250" s="7" t="n">
        <v>2022</v>
      </c>
      <c r="B250" s="7" t="n">
        <v>8</v>
      </c>
      <c r="C250" s="7" t="s">
        <v>40</v>
      </c>
      <c r="D250" s="7" t="s">
        <v>51</v>
      </c>
      <c r="E250" s="8" t="s">
        <v>52</v>
      </c>
      <c r="F250" s="7" t="s">
        <v>47</v>
      </c>
      <c r="G250" s="7" t="n">
        <v>1</v>
      </c>
      <c r="H250" s="9" t="n">
        <v>1502.35</v>
      </c>
    </row>
    <row r="251" customFormat="false" ht="15" hidden="false" customHeight="false" outlineLevel="0" collapsed="false">
      <c r="A251" s="7" t="n">
        <v>2022</v>
      </c>
      <c r="B251" s="7" t="n">
        <v>9</v>
      </c>
      <c r="C251" s="7" t="s">
        <v>53</v>
      </c>
      <c r="D251" s="7" t="s">
        <v>54</v>
      </c>
      <c r="E251" s="8" t="s">
        <v>55</v>
      </c>
      <c r="F251" s="7" t="s">
        <v>56</v>
      </c>
      <c r="G251" s="7" t="n">
        <v>3</v>
      </c>
      <c r="H251" s="9" t="n">
        <v>1699.5</v>
      </c>
    </row>
    <row r="252" customFormat="false" ht="15" hidden="false" customHeight="false" outlineLevel="0" collapsed="false">
      <c r="A252" s="7" t="n">
        <v>2022</v>
      </c>
      <c r="B252" s="7" t="n">
        <v>9</v>
      </c>
      <c r="C252" s="7" t="s">
        <v>40</v>
      </c>
      <c r="D252" s="7" t="s">
        <v>41</v>
      </c>
      <c r="E252" s="8" t="s">
        <v>42</v>
      </c>
      <c r="F252" s="7" t="s">
        <v>43</v>
      </c>
      <c r="G252" s="7" t="n">
        <v>3</v>
      </c>
      <c r="H252" s="9" t="n">
        <v>4780</v>
      </c>
    </row>
    <row r="253" customFormat="false" ht="15" hidden="false" customHeight="false" outlineLevel="0" collapsed="false">
      <c r="A253" s="7" t="n">
        <v>2022</v>
      </c>
      <c r="B253" s="7" t="n">
        <v>9</v>
      </c>
      <c r="C253" s="7" t="s">
        <v>40</v>
      </c>
      <c r="D253" s="7" t="s">
        <v>41</v>
      </c>
      <c r="E253" s="8" t="s">
        <v>42</v>
      </c>
      <c r="F253" s="7" t="s">
        <v>45</v>
      </c>
      <c r="G253" s="7" t="n">
        <v>1</v>
      </c>
      <c r="H253" s="9" t="n">
        <v>400</v>
      </c>
    </row>
    <row r="254" customFormat="false" ht="15" hidden="false" customHeight="false" outlineLevel="0" collapsed="false">
      <c r="A254" s="7" t="n">
        <v>2022</v>
      </c>
      <c r="B254" s="7" t="n">
        <v>9</v>
      </c>
      <c r="C254" s="7" t="s">
        <v>40</v>
      </c>
      <c r="D254" s="7" t="s">
        <v>41</v>
      </c>
      <c r="E254" s="8" t="s">
        <v>42</v>
      </c>
      <c r="F254" s="7" t="s">
        <v>58</v>
      </c>
      <c r="G254" s="7" t="n">
        <v>3</v>
      </c>
      <c r="H254" s="9" t="n">
        <v>1170.1</v>
      </c>
    </row>
    <row r="255" customFormat="false" ht="15" hidden="false" customHeight="false" outlineLevel="0" collapsed="false">
      <c r="A255" s="7" t="n">
        <v>2022</v>
      </c>
      <c r="B255" s="7" t="n">
        <v>9</v>
      </c>
      <c r="C255" s="7" t="s">
        <v>40</v>
      </c>
      <c r="D255" s="7" t="s">
        <v>41</v>
      </c>
      <c r="E255" s="8" t="s">
        <v>42</v>
      </c>
      <c r="F255" s="7" t="s">
        <v>47</v>
      </c>
      <c r="G255" s="7" t="n">
        <v>3</v>
      </c>
      <c r="H255" s="9" t="n">
        <v>3578.49</v>
      </c>
    </row>
    <row r="256" customFormat="false" ht="15" hidden="false" customHeight="false" outlineLevel="0" collapsed="false">
      <c r="A256" s="7" t="n">
        <v>2022</v>
      </c>
      <c r="B256" s="7" t="n">
        <v>9</v>
      </c>
      <c r="C256" s="7" t="s">
        <v>40</v>
      </c>
      <c r="D256" s="7" t="s">
        <v>41</v>
      </c>
      <c r="E256" s="8" t="s">
        <v>42</v>
      </c>
      <c r="F256" s="7" t="s">
        <v>49</v>
      </c>
      <c r="G256" s="7" t="n">
        <v>1</v>
      </c>
      <c r="H256" s="9" t="n">
        <v>2007</v>
      </c>
    </row>
    <row r="257" customFormat="false" ht="15" hidden="false" customHeight="false" outlineLevel="0" collapsed="false">
      <c r="A257" s="7" t="n">
        <v>2022</v>
      </c>
      <c r="B257" s="7" t="n">
        <v>9</v>
      </c>
      <c r="C257" s="7" t="s">
        <v>40</v>
      </c>
      <c r="D257" s="7" t="s">
        <v>51</v>
      </c>
      <c r="E257" s="8" t="s">
        <v>52</v>
      </c>
      <c r="F257" s="7" t="s">
        <v>47</v>
      </c>
      <c r="G257" s="7" t="n">
        <v>1</v>
      </c>
      <c r="H257" s="9" t="n">
        <v>800</v>
      </c>
    </row>
    <row r="258" customFormat="false" ht="15" hidden="false" customHeight="false" outlineLevel="0" collapsed="false">
      <c r="A258" s="7" t="n">
        <v>2022</v>
      </c>
      <c r="B258" s="7" t="n">
        <v>10</v>
      </c>
      <c r="C258" s="7" t="s">
        <v>40</v>
      </c>
      <c r="D258" s="7" t="s">
        <v>41</v>
      </c>
      <c r="E258" s="8" t="s">
        <v>42</v>
      </c>
      <c r="F258" s="7" t="s">
        <v>43</v>
      </c>
      <c r="G258" s="7" t="n">
        <v>7</v>
      </c>
      <c r="H258" s="9" t="n">
        <v>14334.3</v>
      </c>
    </row>
    <row r="259" customFormat="false" ht="15" hidden="false" customHeight="false" outlineLevel="0" collapsed="false">
      <c r="A259" s="7" t="n">
        <v>2022</v>
      </c>
      <c r="B259" s="7" t="n">
        <v>10</v>
      </c>
      <c r="C259" s="7" t="s">
        <v>40</v>
      </c>
      <c r="D259" s="7" t="s">
        <v>41</v>
      </c>
      <c r="E259" s="8" t="s">
        <v>42</v>
      </c>
      <c r="F259" s="7" t="s">
        <v>47</v>
      </c>
      <c r="G259" s="7" t="n">
        <v>3</v>
      </c>
      <c r="H259" s="9" t="n">
        <v>3485.93</v>
      </c>
    </row>
    <row r="260" customFormat="false" ht="15" hidden="false" customHeight="false" outlineLevel="0" collapsed="false">
      <c r="A260" s="7" t="n">
        <v>2022</v>
      </c>
      <c r="B260" s="7" t="n">
        <v>10</v>
      </c>
      <c r="C260" s="7" t="s">
        <v>40</v>
      </c>
      <c r="D260" s="7" t="s">
        <v>41</v>
      </c>
      <c r="E260" s="8" t="s">
        <v>42</v>
      </c>
      <c r="F260" s="7" t="s">
        <v>49</v>
      </c>
      <c r="G260" s="7" t="n">
        <v>16</v>
      </c>
      <c r="H260" s="9" t="n">
        <v>21482.23</v>
      </c>
    </row>
    <row r="261" customFormat="false" ht="15" hidden="false" customHeight="false" outlineLevel="0" collapsed="false">
      <c r="A261" s="7" t="n">
        <v>2022</v>
      </c>
      <c r="B261" s="7" t="n">
        <v>10</v>
      </c>
      <c r="C261" s="7" t="s">
        <v>40</v>
      </c>
      <c r="D261" s="7" t="s">
        <v>51</v>
      </c>
      <c r="E261" s="8" t="s">
        <v>52</v>
      </c>
      <c r="F261" s="7" t="s">
        <v>47</v>
      </c>
      <c r="G261" s="7" t="n">
        <v>1</v>
      </c>
      <c r="H261" s="9" t="n">
        <v>1519.33</v>
      </c>
    </row>
    <row r="262" customFormat="false" ht="15" hidden="false" customHeight="false" outlineLevel="0" collapsed="false">
      <c r="A262" s="7" t="n">
        <v>2022</v>
      </c>
      <c r="B262" s="7" t="n">
        <v>11</v>
      </c>
      <c r="C262" s="7" t="s">
        <v>40</v>
      </c>
      <c r="D262" s="7" t="s">
        <v>41</v>
      </c>
      <c r="E262" s="8" t="s">
        <v>42</v>
      </c>
      <c r="F262" s="7" t="s">
        <v>43</v>
      </c>
      <c r="G262" s="7" t="n">
        <v>6</v>
      </c>
      <c r="H262" s="9" t="n">
        <v>11862.5</v>
      </c>
    </row>
    <row r="263" customFormat="false" ht="15" hidden="false" customHeight="false" outlineLevel="0" collapsed="false">
      <c r="A263" s="7" t="n">
        <v>2022</v>
      </c>
      <c r="B263" s="7" t="n">
        <v>11</v>
      </c>
      <c r="C263" s="7" t="s">
        <v>40</v>
      </c>
      <c r="D263" s="7" t="s">
        <v>41</v>
      </c>
      <c r="E263" s="8" t="s">
        <v>42</v>
      </c>
      <c r="F263" s="7" t="s">
        <v>58</v>
      </c>
      <c r="G263" s="7" t="n">
        <v>2</v>
      </c>
      <c r="H263" s="9" t="n">
        <v>570.7</v>
      </c>
    </row>
    <row r="264" customFormat="false" ht="15" hidden="false" customHeight="false" outlineLevel="0" collapsed="false">
      <c r="A264" s="7" t="n">
        <v>2022</v>
      </c>
      <c r="B264" s="7" t="n">
        <v>11</v>
      </c>
      <c r="C264" s="7" t="s">
        <v>40</v>
      </c>
      <c r="D264" s="7" t="s">
        <v>41</v>
      </c>
      <c r="E264" s="8" t="s">
        <v>42</v>
      </c>
      <c r="F264" s="7" t="s">
        <v>47</v>
      </c>
      <c r="G264" s="7" t="n">
        <v>1</v>
      </c>
      <c r="H264" s="9" t="n">
        <v>1750</v>
      </c>
    </row>
    <row r="265" customFormat="false" ht="15" hidden="false" customHeight="false" outlineLevel="0" collapsed="false">
      <c r="A265" s="7" t="n">
        <v>2022</v>
      </c>
      <c r="B265" s="7" t="n">
        <v>11</v>
      </c>
      <c r="C265" s="7" t="s">
        <v>40</v>
      </c>
      <c r="D265" s="7" t="s">
        <v>41</v>
      </c>
      <c r="E265" s="8" t="s">
        <v>42</v>
      </c>
      <c r="F265" s="7" t="s">
        <v>49</v>
      </c>
      <c r="G265" s="7" t="n">
        <v>5</v>
      </c>
      <c r="H265" s="9" t="n">
        <v>11937.34</v>
      </c>
    </row>
    <row r="266" customFormat="false" ht="15" hidden="false" customHeight="false" outlineLevel="0" collapsed="false">
      <c r="A266" s="7" t="n">
        <v>2022</v>
      </c>
      <c r="B266" s="7" t="n">
        <v>11</v>
      </c>
      <c r="C266" s="7" t="s">
        <v>40</v>
      </c>
      <c r="D266" s="7" t="s">
        <v>51</v>
      </c>
      <c r="E266" s="8" t="s">
        <v>52</v>
      </c>
      <c r="F266" s="7" t="s">
        <v>47</v>
      </c>
      <c r="G266" s="7" t="n">
        <v>1</v>
      </c>
      <c r="H266" s="9" t="n">
        <v>5000</v>
      </c>
    </row>
    <row r="267" customFormat="false" ht="15" hidden="false" customHeight="false" outlineLevel="0" collapsed="false">
      <c r="A267" s="7" t="n">
        <v>2022</v>
      </c>
      <c r="B267" s="7" t="n">
        <v>12</v>
      </c>
      <c r="C267" s="7" t="s">
        <v>53</v>
      </c>
      <c r="D267" s="7" t="s">
        <v>54</v>
      </c>
      <c r="E267" s="8" t="s">
        <v>55</v>
      </c>
      <c r="F267" s="7" t="s">
        <v>56</v>
      </c>
      <c r="G267" s="7" t="n">
        <v>2</v>
      </c>
      <c r="H267" s="9" t="n">
        <v>6272.3</v>
      </c>
    </row>
    <row r="268" customFormat="false" ht="15" hidden="false" customHeight="false" outlineLevel="0" collapsed="false">
      <c r="A268" s="7" t="n">
        <v>2022</v>
      </c>
      <c r="B268" s="7" t="n">
        <v>12</v>
      </c>
      <c r="C268" s="7" t="s">
        <v>40</v>
      </c>
      <c r="D268" s="7" t="s">
        <v>41</v>
      </c>
      <c r="E268" s="8" t="s">
        <v>42</v>
      </c>
      <c r="F268" s="7" t="s">
        <v>43</v>
      </c>
      <c r="G268" s="7" t="n">
        <v>9</v>
      </c>
      <c r="H268" s="9" t="n">
        <v>9467</v>
      </c>
    </row>
    <row r="269" customFormat="false" ht="15" hidden="false" customHeight="false" outlineLevel="0" collapsed="false">
      <c r="A269" s="7" t="n">
        <v>2022</v>
      </c>
      <c r="B269" s="7" t="n">
        <v>12</v>
      </c>
      <c r="C269" s="7" t="s">
        <v>40</v>
      </c>
      <c r="D269" s="7" t="s">
        <v>41</v>
      </c>
      <c r="E269" s="8" t="s">
        <v>42</v>
      </c>
      <c r="F269" s="7" t="s">
        <v>45</v>
      </c>
      <c r="G269" s="7" t="n">
        <v>1</v>
      </c>
      <c r="H269" s="9" t="n">
        <v>400</v>
      </c>
    </row>
    <row r="270" customFormat="false" ht="15" hidden="false" customHeight="false" outlineLevel="0" collapsed="false">
      <c r="A270" s="7" t="n">
        <v>2022</v>
      </c>
      <c r="B270" s="7" t="n">
        <v>12</v>
      </c>
      <c r="C270" s="7" t="s">
        <v>40</v>
      </c>
      <c r="D270" s="7" t="s">
        <v>41</v>
      </c>
      <c r="E270" s="8" t="s">
        <v>42</v>
      </c>
      <c r="F270" s="7" t="s">
        <v>49</v>
      </c>
      <c r="G270" s="7" t="n">
        <v>3</v>
      </c>
      <c r="H270" s="9" t="n">
        <v>4678.09</v>
      </c>
    </row>
    <row r="271" customFormat="false" ht="15" hidden="false" customHeight="false" outlineLevel="0" collapsed="false">
      <c r="A271" s="7" t="n">
        <v>2022</v>
      </c>
      <c r="B271" s="7" t="n">
        <v>12</v>
      </c>
      <c r="C271" s="7" t="s">
        <v>40</v>
      </c>
      <c r="D271" s="7" t="s">
        <v>51</v>
      </c>
      <c r="E271" s="8" t="s">
        <v>52</v>
      </c>
      <c r="F271" s="7" t="s">
        <v>47</v>
      </c>
      <c r="G271" s="7" t="n">
        <v>8</v>
      </c>
      <c r="H271" s="9" t="n">
        <v>13720</v>
      </c>
    </row>
    <row r="272" customFormat="false" ht="15" hidden="false" customHeight="false" outlineLevel="0" collapsed="false">
      <c r="A272" s="7" t="n">
        <v>2023</v>
      </c>
      <c r="B272" s="7" t="n">
        <v>1</v>
      </c>
      <c r="C272" s="7" t="s">
        <v>53</v>
      </c>
      <c r="D272" s="7" t="s">
        <v>54</v>
      </c>
      <c r="E272" s="8" t="s">
        <v>55</v>
      </c>
      <c r="F272" s="7" t="s">
        <v>56</v>
      </c>
      <c r="G272" s="7" t="n">
        <v>1</v>
      </c>
      <c r="H272" s="9" t="n">
        <v>12.8</v>
      </c>
    </row>
    <row r="273" customFormat="false" ht="15" hidden="false" customHeight="false" outlineLevel="0" collapsed="false">
      <c r="A273" s="7" t="n">
        <v>2023</v>
      </c>
      <c r="B273" s="7" t="n">
        <v>1</v>
      </c>
      <c r="C273" s="7" t="s">
        <v>40</v>
      </c>
      <c r="D273" s="7" t="s">
        <v>41</v>
      </c>
      <c r="E273" s="8" t="s">
        <v>42</v>
      </c>
      <c r="F273" s="7" t="s">
        <v>43</v>
      </c>
      <c r="G273" s="7" t="n">
        <v>4</v>
      </c>
      <c r="H273" s="9" t="n">
        <v>5310</v>
      </c>
    </row>
    <row r="274" customFormat="false" ht="15" hidden="false" customHeight="false" outlineLevel="0" collapsed="false">
      <c r="A274" s="7" t="n">
        <v>2023</v>
      </c>
      <c r="B274" s="7" t="n">
        <v>1</v>
      </c>
      <c r="C274" s="7" t="s">
        <v>40</v>
      </c>
      <c r="D274" s="7" t="s">
        <v>41</v>
      </c>
      <c r="E274" s="8" t="s">
        <v>42</v>
      </c>
      <c r="F274" s="7" t="s">
        <v>45</v>
      </c>
      <c r="G274" s="7" t="n">
        <v>2</v>
      </c>
      <c r="H274" s="9" t="n">
        <v>682</v>
      </c>
    </row>
    <row r="275" customFormat="false" ht="15" hidden="false" customHeight="false" outlineLevel="0" collapsed="false">
      <c r="A275" s="7" t="n">
        <v>2023</v>
      </c>
      <c r="B275" s="7" t="n">
        <v>1</v>
      </c>
      <c r="C275" s="7" t="s">
        <v>40</v>
      </c>
      <c r="D275" s="7" t="s">
        <v>41</v>
      </c>
      <c r="E275" s="8" t="s">
        <v>42</v>
      </c>
      <c r="F275" s="7" t="s">
        <v>58</v>
      </c>
      <c r="G275" s="7" t="n">
        <v>1</v>
      </c>
      <c r="H275" s="9" t="n">
        <v>184</v>
      </c>
    </row>
    <row r="276" customFormat="false" ht="15" hidden="false" customHeight="false" outlineLevel="0" collapsed="false">
      <c r="A276" s="7" t="n">
        <v>2023</v>
      </c>
      <c r="B276" s="7" t="n">
        <v>1</v>
      </c>
      <c r="C276" s="7" t="s">
        <v>40</v>
      </c>
      <c r="D276" s="7" t="s">
        <v>41</v>
      </c>
      <c r="E276" s="8" t="s">
        <v>42</v>
      </c>
      <c r="F276" s="7" t="s">
        <v>47</v>
      </c>
      <c r="G276" s="7" t="n">
        <v>3</v>
      </c>
      <c r="H276" s="9" t="n">
        <v>4560.71</v>
      </c>
    </row>
    <row r="277" customFormat="false" ht="15" hidden="false" customHeight="false" outlineLevel="0" collapsed="false">
      <c r="A277" s="7" t="n">
        <v>2023</v>
      </c>
      <c r="B277" s="7" t="n">
        <v>1</v>
      </c>
      <c r="C277" s="7" t="s">
        <v>40</v>
      </c>
      <c r="D277" s="7" t="s">
        <v>41</v>
      </c>
      <c r="E277" s="8" t="s">
        <v>42</v>
      </c>
      <c r="F277" s="7" t="s">
        <v>49</v>
      </c>
      <c r="G277" s="7" t="n">
        <v>2</v>
      </c>
      <c r="H277" s="9" t="n">
        <v>2200.41</v>
      </c>
    </row>
    <row r="278" customFormat="false" ht="15" hidden="false" customHeight="false" outlineLevel="0" collapsed="false">
      <c r="A278" s="7" t="n">
        <v>2023</v>
      </c>
      <c r="B278" s="7" t="n">
        <v>1</v>
      </c>
      <c r="C278" s="7" t="s">
        <v>40</v>
      </c>
      <c r="D278" s="7" t="s">
        <v>51</v>
      </c>
      <c r="E278" s="8" t="s">
        <v>52</v>
      </c>
      <c r="F278" s="7" t="s">
        <v>47</v>
      </c>
      <c r="G278" s="7" t="n">
        <v>2</v>
      </c>
      <c r="H278" s="9" t="n">
        <v>2500</v>
      </c>
    </row>
    <row r="279" customFormat="false" ht="15" hidden="false" customHeight="false" outlineLevel="0" collapsed="false">
      <c r="A279" s="7" t="n">
        <v>2023</v>
      </c>
      <c r="B279" s="7" t="n">
        <v>2</v>
      </c>
      <c r="C279" s="7" t="s">
        <v>53</v>
      </c>
      <c r="D279" s="7" t="s">
        <v>54</v>
      </c>
      <c r="E279" s="8" t="s">
        <v>55</v>
      </c>
      <c r="F279" s="7" t="s">
        <v>56</v>
      </c>
      <c r="G279" s="7" t="n">
        <v>1</v>
      </c>
      <c r="H279" s="9" t="n">
        <v>252</v>
      </c>
    </row>
    <row r="280" customFormat="false" ht="15" hidden="false" customHeight="false" outlineLevel="0" collapsed="false">
      <c r="A280" s="7" t="n">
        <v>2023</v>
      </c>
      <c r="B280" s="7" t="n">
        <v>2</v>
      </c>
      <c r="C280" s="7" t="s">
        <v>40</v>
      </c>
      <c r="D280" s="7" t="s">
        <v>41</v>
      </c>
      <c r="E280" s="8" t="s">
        <v>42</v>
      </c>
      <c r="F280" s="7" t="s">
        <v>43</v>
      </c>
      <c r="G280" s="7" t="n">
        <v>4</v>
      </c>
      <c r="H280" s="9" t="n">
        <v>4148</v>
      </c>
    </row>
    <row r="281" customFormat="false" ht="15" hidden="false" customHeight="false" outlineLevel="0" collapsed="false">
      <c r="A281" s="7" t="n">
        <v>2023</v>
      </c>
      <c r="B281" s="7" t="n">
        <v>2</v>
      </c>
      <c r="C281" s="7" t="s">
        <v>40</v>
      </c>
      <c r="D281" s="7" t="s">
        <v>41</v>
      </c>
      <c r="E281" s="8" t="s">
        <v>42</v>
      </c>
      <c r="F281" s="7" t="s">
        <v>45</v>
      </c>
      <c r="G281" s="7" t="n">
        <v>1</v>
      </c>
      <c r="H281" s="9" t="n">
        <v>878</v>
      </c>
    </row>
    <row r="282" customFormat="false" ht="15" hidden="false" customHeight="false" outlineLevel="0" collapsed="false">
      <c r="A282" s="7" t="n">
        <v>2023</v>
      </c>
      <c r="B282" s="7" t="n">
        <v>2</v>
      </c>
      <c r="C282" s="7" t="s">
        <v>40</v>
      </c>
      <c r="D282" s="7" t="s">
        <v>41</v>
      </c>
      <c r="E282" s="8" t="s">
        <v>42</v>
      </c>
      <c r="F282" s="7" t="s">
        <v>47</v>
      </c>
      <c r="G282" s="7" t="n">
        <v>2</v>
      </c>
      <c r="H282" s="9" t="n">
        <v>3446.81</v>
      </c>
    </row>
    <row r="283" customFormat="false" ht="15" hidden="false" customHeight="false" outlineLevel="0" collapsed="false">
      <c r="A283" s="7" t="n">
        <v>2023</v>
      </c>
      <c r="B283" s="7" t="n">
        <v>2</v>
      </c>
      <c r="C283" s="7" t="s">
        <v>40</v>
      </c>
      <c r="D283" s="7" t="s">
        <v>41</v>
      </c>
      <c r="E283" s="8" t="s">
        <v>42</v>
      </c>
      <c r="F283" s="7" t="s">
        <v>49</v>
      </c>
      <c r="G283" s="7" t="n">
        <v>1</v>
      </c>
      <c r="H283" s="9" t="n">
        <v>334.3</v>
      </c>
    </row>
    <row r="284" customFormat="false" ht="15" hidden="false" customHeight="false" outlineLevel="0" collapsed="false">
      <c r="A284" s="7" t="n">
        <v>2023</v>
      </c>
      <c r="B284" s="7" t="n">
        <v>2</v>
      </c>
      <c r="C284" s="7" t="s">
        <v>40</v>
      </c>
      <c r="D284" s="7" t="s">
        <v>51</v>
      </c>
      <c r="E284" s="8" t="s">
        <v>52</v>
      </c>
      <c r="F284" s="7" t="s">
        <v>47</v>
      </c>
      <c r="G284" s="7" t="n">
        <v>6</v>
      </c>
      <c r="H284" s="9" t="n">
        <v>19490</v>
      </c>
    </row>
    <row r="285" customFormat="false" ht="15" hidden="false" customHeight="false" outlineLevel="0" collapsed="false">
      <c r="A285" s="7" t="n">
        <v>2023</v>
      </c>
      <c r="B285" s="7" t="n">
        <v>3</v>
      </c>
      <c r="C285" s="7" t="s">
        <v>53</v>
      </c>
      <c r="D285" s="7" t="s">
        <v>54</v>
      </c>
      <c r="E285" s="8" t="s">
        <v>55</v>
      </c>
      <c r="F285" s="7" t="s">
        <v>56</v>
      </c>
      <c r="G285" s="7" t="n">
        <v>3</v>
      </c>
      <c r="H285" s="9" t="n">
        <v>1052</v>
      </c>
    </row>
    <row r="286" customFormat="false" ht="15" hidden="false" customHeight="false" outlineLevel="0" collapsed="false">
      <c r="A286" s="7" t="n">
        <v>2023</v>
      </c>
      <c r="B286" s="7" t="n">
        <v>3</v>
      </c>
      <c r="C286" s="7" t="s">
        <v>40</v>
      </c>
      <c r="D286" s="7" t="s">
        <v>41</v>
      </c>
      <c r="E286" s="8" t="s">
        <v>42</v>
      </c>
      <c r="F286" s="7" t="s">
        <v>43</v>
      </c>
      <c r="G286" s="7" t="n">
        <v>2</v>
      </c>
      <c r="H286" s="9" t="n">
        <v>4289</v>
      </c>
    </row>
    <row r="287" customFormat="false" ht="15" hidden="false" customHeight="false" outlineLevel="0" collapsed="false">
      <c r="A287" s="7" t="n">
        <v>2023</v>
      </c>
      <c r="B287" s="7" t="n">
        <v>3</v>
      </c>
      <c r="C287" s="7" t="s">
        <v>40</v>
      </c>
      <c r="D287" s="7" t="s">
        <v>41</v>
      </c>
      <c r="E287" s="8" t="s">
        <v>42</v>
      </c>
      <c r="F287" s="7" t="s">
        <v>47</v>
      </c>
      <c r="G287" s="7" t="n">
        <v>4</v>
      </c>
      <c r="H287" s="9" t="n">
        <v>6089.76</v>
      </c>
    </row>
    <row r="288" customFormat="false" ht="15" hidden="false" customHeight="false" outlineLevel="0" collapsed="false">
      <c r="A288" s="7" t="n">
        <v>2023</v>
      </c>
      <c r="B288" s="7" t="n">
        <v>3</v>
      </c>
      <c r="C288" s="7" t="s">
        <v>40</v>
      </c>
      <c r="D288" s="7" t="s">
        <v>41</v>
      </c>
      <c r="E288" s="8" t="s">
        <v>42</v>
      </c>
      <c r="F288" s="7" t="s">
        <v>49</v>
      </c>
      <c r="G288" s="7" t="n">
        <v>1</v>
      </c>
      <c r="H288" s="9" t="n">
        <v>967.2</v>
      </c>
    </row>
    <row r="289" customFormat="false" ht="15" hidden="false" customHeight="false" outlineLevel="0" collapsed="false">
      <c r="A289" s="7" t="n">
        <v>2023</v>
      </c>
      <c r="B289" s="7" t="n">
        <v>3</v>
      </c>
      <c r="C289" s="7" t="s">
        <v>40</v>
      </c>
      <c r="D289" s="7" t="s">
        <v>51</v>
      </c>
      <c r="E289" s="8" t="s">
        <v>52</v>
      </c>
      <c r="F289" s="7" t="s">
        <v>47</v>
      </c>
      <c r="G289" s="7" t="n">
        <v>9</v>
      </c>
      <c r="H289" s="9" t="n">
        <v>28500</v>
      </c>
    </row>
    <row r="290" customFormat="false" ht="15" hidden="false" customHeight="false" outlineLevel="0" collapsed="false">
      <c r="A290" s="7" t="n">
        <v>2023</v>
      </c>
      <c r="B290" s="7" t="n">
        <v>4</v>
      </c>
      <c r="C290" s="7" t="s">
        <v>53</v>
      </c>
      <c r="D290" s="7" t="s">
        <v>54</v>
      </c>
      <c r="E290" s="8" t="s">
        <v>55</v>
      </c>
      <c r="F290" s="7" t="s">
        <v>56</v>
      </c>
      <c r="G290" s="7" t="n">
        <v>1</v>
      </c>
      <c r="H290" s="9" t="n">
        <v>170</v>
      </c>
    </row>
    <row r="291" customFormat="false" ht="15" hidden="false" customHeight="false" outlineLevel="0" collapsed="false">
      <c r="A291" s="7" t="n">
        <v>2023</v>
      </c>
      <c r="B291" s="7" t="n">
        <v>4</v>
      </c>
      <c r="C291" s="7" t="s">
        <v>40</v>
      </c>
      <c r="D291" s="7" t="s">
        <v>41</v>
      </c>
      <c r="E291" s="8" t="s">
        <v>42</v>
      </c>
      <c r="F291" s="7" t="s">
        <v>43</v>
      </c>
      <c r="G291" s="7" t="n">
        <v>9</v>
      </c>
      <c r="H291" s="9" t="n">
        <v>9121</v>
      </c>
    </row>
    <row r="292" customFormat="false" ht="15" hidden="false" customHeight="false" outlineLevel="0" collapsed="false">
      <c r="A292" s="7" t="n">
        <v>2023</v>
      </c>
      <c r="B292" s="7" t="n">
        <v>4</v>
      </c>
      <c r="C292" s="7" t="s">
        <v>40</v>
      </c>
      <c r="D292" s="7" t="s">
        <v>41</v>
      </c>
      <c r="E292" s="8" t="s">
        <v>42</v>
      </c>
      <c r="F292" s="7" t="s">
        <v>45</v>
      </c>
      <c r="G292" s="7" t="n">
        <v>1</v>
      </c>
      <c r="H292" s="9" t="n">
        <v>2800</v>
      </c>
    </row>
    <row r="293" customFormat="false" ht="15" hidden="false" customHeight="false" outlineLevel="0" collapsed="false">
      <c r="A293" s="7" t="n">
        <v>2023</v>
      </c>
      <c r="B293" s="7" t="n">
        <v>4</v>
      </c>
      <c r="C293" s="7" t="s">
        <v>40</v>
      </c>
      <c r="D293" s="7" t="s">
        <v>41</v>
      </c>
      <c r="E293" s="8" t="s">
        <v>42</v>
      </c>
      <c r="F293" s="7" t="s">
        <v>47</v>
      </c>
      <c r="G293" s="7" t="n">
        <v>3</v>
      </c>
      <c r="H293" s="9" t="n">
        <v>5128.29</v>
      </c>
    </row>
    <row r="294" customFormat="false" ht="15" hidden="false" customHeight="false" outlineLevel="0" collapsed="false">
      <c r="A294" s="7" t="n">
        <v>2023</v>
      </c>
      <c r="B294" s="7" t="n">
        <v>4</v>
      </c>
      <c r="C294" s="7" t="s">
        <v>40</v>
      </c>
      <c r="D294" s="7" t="s">
        <v>41</v>
      </c>
      <c r="E294" s="8" t="s">
        <v>42</v>
      </c>
      <c r="F294" s="7" t="s">
        <v>49</v>
      </c>
      <c r="G294" s="7" t="n">
        <v>4</v>
      </c>
      <c r="H294" s="9" t="n">
        <v>3603.25</v>
      </c>
    </row>
    <row r="295" customFormat="false" ht="15" hidden="false" customHeight="false" outlineLevel="0" collapsed="false">
      <c r="A295" s="7" t="n">
        <v>2023</v>
      </c>
      <c r="B295" s="7" t="n">
        <v>4</v>
      </c>
      <c r="C295" s="7" t="s">
        <v>40</v>
      </c>
      <c r="D295" s="7" t="s">
        <v>51</v>
      </c>
      <c r="E295" s="8" t="s">
        <v>52</v>
      </c>
      <c r="F295" s="7" t="s">
        <v>47</v>
      </c>
      <c r="G295" s="7" t="n">
        <v>4</v>
      </c>
      <c r="H295" s="9" t="n">
        <v>20000</v>
      </c>
    </row>
    <row r="296" customFormat="false" ht="15" hidden="false" customHeight="false" outlineLevel="0" collapsed="false">
      <c r="A296" s="7" t="n">
        <v>2023</v>
      </c>
      <c r="B296" s="7" t="n">
        <v>5</v>
      </c>
      <c r="C296" s="7" t="s">
        <v>53</v>
      </c>
      <c r="D296" s="7" t="s">
        <v>54</v>
      </c>
      <c r="E296" s="8" t="s">
        <v>55</v>
      </c>
      <c r="F296" s="7" t="s">
        <v>56</v>
      </c>
      <c r="G296" s="7" t="n">
        <v>1</v>
      </c>
      <c r="H296" s="9" t="n">
        <v>12.8</v>
      </c>
    </row>
    <row r="297" customFormat="false" ht="15" hidden="false" customHeight="false" outlineLevel="0" collapsed="false">
      <c r="A297" s="7" t="n">
        <v>2023</v>
      </c>
      <c r="B297" s="7" t="n">
        <v>5</v>
      </c>
      <c r="C297" s="7" t="s">
        <v>40</v>
      </c>
      <c r="D297" s="7" t="s">
        <v>41</v>
      </c>
      <c r="E297" s="8" t="s">
        <v>42</v>
      </c>
      <c r="F297" s="7" t="s">
        <v>43</v>
      </c>
      <c r="G297" s="7" t="n">
        <v>5</v>
      </c>
      <c r="H297" s="9" t="n">
        <v>5400</v>
      </c>
    </row>
    <row r="298" customFormat="false" ht="15" hidden="false" customHeight="false" outlineLevel="0" collapsed="false">
      <c r="A298" s="7" t="n">
        <v>2023</v>
      </c>
      <c r="B298" s="7" t="n">
        <v>5</v>
      </c>
      <c r="C298" s="7" t="s">
        <v>40</v>
      </c>
      <c r="D298" s="7" t="s">
        <v>41</v>
      </c>
      <c r="E298" s="8" t="s">
        <v>42</v>
      </c>
      <c r="F298" s="7" t="s">
        <v>45</v>
      </c>
      <c r="G298" s="7" t="n">
        <v>2</v>
      </c>
      <c r="H298" s="9" t="n">
        <v>2960</v>
      </c>
    </row>
    <row r="299" customFormat="false" ht="15" hidden="false" customHeight="false" outlineLevel="0" collapsed="false">
      <c r="A299" s="7" t="n">
        <v>2023</v>
      </c>
      <c r="B299" s="7" t="n">
        <v>5</v>
      </c>
      <c r="C299" s="7" t="s">
        <v>40</v>
      </c>
      <c r="D299" s="7" t="s">
        <v>41</v>
      </c>
      <c r="E299" s="8" t="s">
        <v>42</v>
      </c>
      <c r="F299" s="7" t="s">
        <v>47</v>
      </c>
      <c r="G299" s="7" t="n">
        <v>2</v>
      </c>
      <c r="H299" s="9" t="n">
        <v>4810.19</v>
      </c>
    </row>
    <row r="300" customFormat="false" ht="15" hidden="false" customHeight="false" outlineLevel="0" collapsed="false">
      <c r="A300" s="7" t="n">
        <v>2023</v>
      </c>
      <c r="B300" s="7" t="n">
        <v>5</v>
      </c>
      <c r="C300" s="7" t="s">
        <v>40</v>
      </c>
      <c r="D300" s="7" t="s">
        <v>51</v>
      </c>
      <c r="E300" s="8" t="s">
        <v>52</v>
      </c>
      <c r="F300" s="7" t="s">
        <v>47</v>
      </c>
      <c r="G300" s="7" t="n">
        <v>3</v>
      </c>
      <c r="H300" s="9" t="n">
        <v>11067.88</v>
      </c>
    </row>
    <row r="301" customFormat="false" ht="15" hidden="false" customHeight="false" outlineLevel="0" collapsed="false">
      <c r="A301" s="7" t="n">
        <v>2023</v>
      </c>
      <c r="B301" s="7" t="n">
        <v>6</v>
      </c>
      <c r="C301" s="7" t="s">
        <v>53</v>
      </c>
      <c r="D301" s="7" t="s">
        <v>54</v>
      </c>
      <c r="E301" s="8" t="s">
        <v>55</v>
      </c>
      <c r="F301" s="7" t="s">
        <v>56</v>
      </c>
      <c r="G301" s="7" t="n">
        <v>2</v>
      </c>
      <c r="H301" s="9" t="n">
        <v>753</v>
      </c>
    </row>
    <row r="302" customFormat="false" ht="15" hidden="false" customHeight="false" outlineLevel="0" collapsed="false">
      <c r="A302" s="7" t="n">
        <v>2023</v>
      </c>
      <c r="B302" s="7" t="n">
        <v>6</v>
      </c>
      <c r="C302" s="7" t="s">
        <v>40</v>
      </c>
      <c r="D302" s="7" t="s">
        <v>41</v>
      </c>
      <c r="E302" s="8" t="s">
        <v>42</v>
      </c>
      <c r="F302" s="7" t="s">
        <v>43</v>
      </c>
      <c r="G302" s="7" t="n">
        <v>5</v>
      </c>
      <c r="H302" s="9" t="n">
        <v>6690</v>
      </c>
    </row>
    <row r="303" customFormat="false" ht="15" hidden="false" customHeight="false" outlineLevel="0" collapsed="false">
      <c r="A303" s="7" t="n">
        <v>2023</v>
      </c>
      <c r="B303" s="7" t="n">
        <v>6</v>
      </c>
      <c r="C303" s="7" t="s">
        <v>40</v>
      </c>
      <c r="D303" s="7" t="s">
        <v>41</v>
      </c>
      <c r="E303" s="8" t="s">
        <v>42</v>
      </c>
      <c r="F303" s="7" t="s">
        <v>45</v>
      </c>
      <c r="G303" s="7" t="n">
        <v>2</v>
      </c>
      <c r="H303" s="9" t="n">
        <v>900</v>
      </c>
    </row>
    <row r="304" customFormat="false" ht="15" hidden="false" customHeight="false" outlineLevel="0" collapsed="false">
      <c r="A304" s="7" t="n">
        <v>2023</v>
      </c>
      <c r="B304" s="7" t="n">
        <v>6</v>
      </c>
      <c r="C304" s="7" t="s">
        <v>40</v>
      </c>
      <c r="D304" s="7" t="s">
        <v>41</v>
      </c>
      <c r="E304" s="8" t="s">
        <v>42</v>
      </c>
      <c r="F304" s="7" t="s">
        <v>47</v>
      </c>
      <c r="G304" s="7" t="n">
        <v>3</v>
      </c>
      <c r="H304" s="9" t="n">
        <v>5268.2</v>
      </c>
    </row>
    <row r="305" customFormat="false" ht="15" hidden="false" customHeight="false" outlineLevel="0" collapsed="false">
      <c r="A305" s="7" t="n">
        <v>2023</v>
      </c>
      <c r="B305" s="7" t="n">
        <v>6</v>
      </c>
      <c r="C305" s="7" t="s">
        <v>40</v>
      </c>
      <c r="D305" s="7" t="s">
        <v>51</v>
      </c>
      <c r="E305" s="8" t="s">
        <v>52</v>
      </c>
      <c r="F305" s="7" t="s">
        <v>47</v>
      </c>
      <c r="G305" s="7" t="n">
        <v>1</v>
      </c>
      <c r="H305" s="9" t="n">
        <v>4572.14</v>
      </c>
    </row>
    <row r="306" customFormat="false" ht="15" hidden="false" customHeight="false" outlineLevel="0" collapsed="false">
      <c r="A306" s="7" t="n">
        <v>2023</v>
      </c>
      <c r="B306" s="7" t="n">
        <v>7</v>
      </c>
      <c r="C306" s="7" t="s">
        <v>40</v>
      </c>
      <c r="D306" s="7" t="s">
        <v>41</v>
      </c>
      <c r="E306" s="8" t="s">
        <v>42</v>
      </c>
      <c r="F306" s="7" t="s">
        <v>43</v>
      </c>
      <c r="G306" s="7" t="n">
        <v>10</v>
      </c>
      <c r="H306" s="9" t="n">
        <v>15790.1</v>
      </c>
    </row>
    <row r="307" customFormat="false" ht="15" hidden="false" customHeight="false" outlineLevel="0" collapsed="false">
      <c r="A307" s="7" t="n">
        <v>2023</v>
      </c>
      <c r="B307" s="7" t="n">
        <v>7</v>
      </c>
      <c r="C307" s="7" t="s">
        <v>40</v>
      </c>
      <c r="D307" s="7" t="s">
        <v>41</v>
      </c>
      <c r="E307" s="8" t="s">
        <v>42</v>
      </c>
      <c r="F307" s="7" t="s">
        <v>45</v>
      </c>
      <c r="G307" s="7" t="n">
        <v>1</v>
      </c>
      <c r="H307" s="9" t="n">
        <v>296</v>
      </c>
    </row>
    <row r="308" customFormat="false" ht="15" hidden="false" customHeight="false" outlineLevel="0" collapsed="false">
      <c r="A308" s="7" t="n">
        <v>2023</v>
      </c>
      <c r="B308" s="7" t="n">
        <v>7</v>
      </c>
      <c r="C308" s="7" t="s">
        <v>40</v>
      </c>
      <c r="D308" s="7" t="s">
        <v>41</v>
      </c>
      <c r="E308" s="8" t="s">
        <v>42</v>
      </c>
      <c r="F308" s="7" t="s">
        <v>47</v>
      </c>
      <c r="G308" s="7" t="n">
        <v>3</v>
      </c>
      <c r="H308" s="9" t="n">
        <v>2411.9</v>
      </c>
    </row>
    <row r="309" customFormat="false" ht="15" hidden="false" customHeight="false" outlineLevel="0" collapsed="false">
      <c r="A309" s="7" t="n">
        <v>2023</v>
      </c>
      <c r="B309" s="7" t="n">
        <v>7</v>
      </c>
      <c r="C309" s="7" t="s">
        <v>40</v>
      </c>
      <c r="D309" s="7" t="s">
        <v>51</v>
      </c>
      <c r="E309" s="8" t="s">
        <v>52</v>
      </c>
      <c r="F309" s="7" t="s">
        <v>47</v>
      </c>
      <c r="G309" s="7" t="n">
        <v>7</v>
      </c>
      <c r="H309" s="9" t="n">
        <v>18462.05</v>
      </c>
    </row>
    <row r="310" customFormat="false" ht="15" hidden="false" customHeight="false" outlineLevel="0" collapsed="false">
      <c r="A310" s="7" t="n">
        <v>2023</v>
      </c>
      <c r="B310" s="7" t="n">
        <v>8</v>
      </c>
      <c r="C310" s="7" t="s">
        <v>53</v>
      </c>
      <c r="D310" s="7" t="s">
        <v>54</v>
      </c>
      <c r="E310" s="8" t="s">
        <v>55</v>
      </c>
      <c r="F310" s="7" t="s">
        <v>56</v>
      </c>
      <c r="G310" s="7" t="n">
        <v>4</v>
      </c>
      <c r="H310" s="9" t="n">
        <v>3555.9</v>
      </c>
    </row>
    <row r="311" customFormat="false" ht="15" hidden="false" customHeight="false" outlineLevel="0" collapsed="false">
      <c r="A311" s="7" t="n">
        <v>2023</v>
      </c>
      <c r="B311" s="7" t="n">
        <v>8</v>
      </c>
      <c r="C311" s="7" t="s">
        <v>40</v>
      </c>
      <c r="D311" s="7" t="s">
        <v>41</v>
      </c>
      <c r="E311" s="8" t="s">
        <v>42</v>
      </c>
      <c r="F311" s="7" t="s">
        <v>43</v>
      </c>
      <c r="G311" s="7" t="n">
        <v>1</v>
      </c>
      <c r="H311" s="9" t="n">
        <v>480</v>
      </c>
    </row>
    <row r="312" customFormat="false" ht="15" hidden="false" customHeight="false" outlineLevel="0" collapsed="false">
      <c r="A312" s="7" t="n">
        <v>2023</v>
      </c>
      <c r="B312" s="7" t="n">
        <v>8</v>
      </c>
      <c r="C312" s="7" t="s">
        <v>40</v>
      </c>
      <c r="D312" s="7" t="s">
        <v>41</v>
      </c>
      <c r="E312" s="8" t="s">
        <v>42</v>
      </c>
      <c r="F312" s="7" t="s">
        <v>47</v>
      </c>
      <c r="G312" s="7" t="n">
        <v>4</v>
      </c>
      <c r="H312" s="9" t="n">
        <v>7314.96</v>
      </c>
    </row>
    <row r="313" customFormat="false" ht="15" hidden="false" customHeight="false" outlineLevel="0" collapsed="false">
      <c r="A313" s="7" t="n">
        <v>2023</v>
      </c>
      <c r="B313" s="7" t="n">
        <v>8</v>
      </c>
      <c r="C313" s="7" t="s">
        <v>40</v>
      </c>
      <c r="D313" s="7" t="s">
        <v>41</v>
      </c>
      <c r="E313" s="8" t="s">
        <v>42</v>
      </c>
      <c r="F313" s="7" t="s">
        <v>49</v>
      </c>
      <c r="G313" s="7" t="n">
        <v>1</v>
      </c>
      <c r="H313" s="9" t="n">
        <v>830.79</v>
      </c>
    </row>
    <row r="314" customFormat="false" ht="15" hidden="false" customHeight="false" outlineLevel="0" collapsed="false">
      <c r="A314" s="7" t="n">
        <v>2023</v>
      </c>
      <c r="B314" s="7" t="n">
        <v>8</v>
      </c>
      <c r="C314" s="7" t="s">
        <v>40</v>
      </c>
      <c r="D314" s="7" t="s">
        <v>51</v>
      </c>
      <c r="E314" s="8" t="s">
        <v>52</v>
      </c>
      <c r="F314" s="7" t="s">
        <v>47</v>
      </c>
      <c r="G314" s="7" t="n">
        <v>1</v>
      </c>
      <c r="H314" s="9" t="n">
        <v>500</v>
      </c>
    </row>
    <row r="315" customFormat="false" ht="15" hidden="false" customHeight="false" outlineLevel="0" collapsed="false">
      <c r="A315" s="7" t="n">
        <v>2023</v>
      </c>
      <c r="B315" s="7" t="n">
        <v>9</v>
      </c>
      <c r="C315" s="7" t="s">
        <v>53</v>
      </c>
      <c r="D315" s="7" t="s">
        <v>54</v>
      </c>
      <c r="E315" s="8" t="s">
        <v>55</v>
      </c>
      <c r="F315" s="7" t="s">
        <v>56</v>
      </c>
      <c r="G315" s="7" t="n">
        <v>3</v>
      </c>
      <c r="H315" s="9" t="n">
        <v>774.255</v>
      </c>
    </row>
    <row r="316" customFormat="false" ht="15" hidden="false" customHeight="false" outlineLevel="0" collapsed="false">
      <c r="A316" s="7" t="n">
        <v>2023</v>
      </c>
      <c r="B316" s="7" t="n">
        <v>9</v>
      </c>
      <c r="C316" s="7" t="s">
        <v>40</v>
      </c>
      <c r="D316" s="7" t="s">
        <v>41</v>
      </c>
      <c r="E316" s="8" t="s">
        <v>42</v>
      </c>
      <c r="F316" s="7" t="s">
        <v>43</v>
      </c>
      <c r="G316" s="7" t="n">
        <v>3</v>
      </c>
      <c r="H316" s="9" t="n">
        <v>2763</v>
      </c>
    </row>
    <row r="317" customFormat="false" ht="15" hidden="false" customHeight="false" outlineLevel="0" collapsed="false">
      <c r="A317" s="7" t="n">
        <v>2023</v>
      </c>
      <c r="B317" s="7" t="n">
        <v>9</v>
      </c>
      <c r="C317" s="7" t="s">
        <v>40</v>
      </c>
      <c r="D317" s="7" t="s">
        <v>41</v>
      </c>
      <c r="E317" s="8" t="s">
        <v>42</v>
      </c>
      <c r="F317" s="7" t="s">
        <v>58</v>
      </c>
      <c r="G317" s="7" t="n">
        <v>1</v>
      </c>
      <c r="H317" s="9" t="n">
        <v>160</v>
      </c>
    </row>
    <row r="318" customFormat="false" ht="15" hidden="false" customHeight="false" outlineLevel="0" collapsed="false">
      <c r="A318" s="7" t="n">
        <v>2023</v>
      </c>
      <c r="B318" s="7" t="n">
        <v>9</v>
      </c>
      <c r="C318" s="7" t="s">
        <v>40</v>
      </c>
      <c r="D318" s="7" t="s">
        <v>41</v>
      </c>
      <c r="E318" s="8" t="s">
        <v>42</v>
      </c>
      <c r="F318" s="7" t="s">
        <v>47</v>
      </c>
      <c r="G318" s="7" t="n">
        <v>2</v>
      </c>
      <c r="H318" s="9" t="n">
        <v>4278.02</v>
      </c>
    </row>
    <row r="319" customFormat="false" ht="15" hidden="false" customHeight="false" outlineLevel="0" collapsed="false">
      <c r="A319" s="7" t="n">
        <v>2023</v>
      </c>
      <c r="B319" s="7" t="n">
        <v>9</v>
      </c>
      <c r="C319" s="7" t="s">
        <v>40</v>
      </c>
      <c r="D319" s="7" t="s">
        <v>41</v>
      </c>
      <c r="E319" s="8" t="s">
        <v>42</v>
      </c>
      <c r="F319" s="7" t="s">
        <v>49</v>
      </c>
      <c r="G319" s="7" t="n">
        <v>2</v>
      </c>
      <c r="H319" s="9" t="n">
        <v>1352</v>
      </c>
    </row>
    <row r="320" customFormat="false" ht="15" hidden="false" customHeight="false" outlineLevel="0" collapsed="false">
      <c r="A320" s="7" t="n">
        <v>2023</v>
      </c>
      <c r="B320" s="7" t="n">
        <v>10</v>
      </c>
      <c r="C320" s="7" t="s">
        <v>53</v>
      </c>
      <c r="D320" s="7" t="s">
        <v>54</v>
      </c>
      <c r="E320" s="8" t="s">
        <v>55</v>
      </c>
      <c r="F320" s="7" t="s">
        <v>56</v>
      </c>
      <c r="G320" s="7" t="n">
        <v>2</v>
      </c>
      <c r="H320" s="9" t="n">
        <v>3332.03</v>
      </c>
    </row>
    <row r="321" customFormat="false" ht="15" hidden="false" customHeight="false" outlineLevel="0" collapsed="false">
      <c r="A321" s="7" t="n">
        <v>2023</v>
      </c>
      <c r="B321" s="7" t="n">
        <v>10</v>
      </c>
      <c r="C321" s="7" t="s">
        <v>40</v>
      </c>
      <c r="D321" s="7" t="s">
        <v>41</v>
      </c>
      <c r="E321" s="8" t="s">
        <v>42</v>
      </c>
      <c r="F321" s="7" t="s">
        <v>43</v>
      </c>
      <c r="G321" s="7" t="n">
        <v>6</v>
      </c>
      <c r="H321" s="9" t="n">
        <v>8900</v>
      </c>
    </row>
    <row r="322" customFormat="false" ht="15" hidden="false" customHeight="false" outlineLevel="0" collapsed="false">
      <c r="A322" s="7" t="n">
        <v>2023</v>
      </c>
      <c r="B322" s="7" t="n">
        <v>10</v>
      </c>
      <c r="C322" s="7" t="s">
        <v>40</v>
      </c>
      <c r="D322" s="7" t="s">
        <v>41</v>
      </c>
      <c r="E322" s="8" t="s">
        <v>42</v>
      </c>
      <c r="F322" s="7" t="s">
        <v>58</v>
      </c>
      <c r="G322" s="7" t="n">
        <v>1</v>
      </c>
      <c r="H322" s="9" t="n">
        <v>488</v>
      </c>
    </row>
    <row r="323" customFormat="false" ht="15" hidden="false" customHeight="false" outlineLevel="0" collapsed="false">
      <c r="A323" s="7" t="n">
        <v>2023</v>
      </c>
      <c r="B323" s="7" t="n">
        <v>10</v>
      </c>
      <c r="C323" s="7" t="s">
        <v>40</v>
      </c>
      <c r="D323" s="7" t="s">
        <v>41</v>
      </c>
      <c r="E323" s="8" t="s">
        <v>42</v>
      </c>
      <c r="F323" s="7" t="s">
        <v>47</v>
      </c>
      <c r="G323" s="7" t="n">
        <v>1</v>
      </c>
      <c r="H323" s="9" t="n">
        <v>1584.1</v>
      </c>
    </row>
    <row r="324" customFormat="false" ht="15" hidden="false" customHeight="false" outlineLevel="0" collapsed="false">
      <c r="A324" s="7" t="n">
        <v>2023</v>
      </c>
      <c r="B324" s="7" t="n">
        <v>10</v>
      </c>
      <c r="C324" s="7" t="s">
        <v>40</v>
      </c>
      <c r="D324" s="7" t="s">
        <v>41</v>
      </c>
      <c r="E324" s="8" t="s">
        <v>42</v>
      </c>
      <c r="F324" s="7" t="s">
        <v>49</v>
      </c>
      <c r="G324" s="7" t="n">
        <v>4</v>
      </c>
      <c r="H324" s="9" t="n">
        <v>2500.25</v>
      </c>
    </row>
    <row r="325" customFormat="false" ht="15" hidden="false" customHeight="false" outlineLevel="0" collapsed="false">
      <c r="A325" s="7" t="n">
        <v>2023</v>
      </c>
      <c r="B325" s="7" t="n">
        <v>10</v>
      </c>
      <c r="C325" s="7" t="s">
        <v>40</v>
      </c>
      <c r="D325" s="7" t="s">
        <v>51</v>
      </c>
      <c r="E325" s="8" t="s">
        <v>52</v>
      </c>
      <c r="F325" s="7" t="s">
        <v>47</v>
      </c>
      <c r="G325" s="7" t="n">
        <v>1</v>
      </c>
      <c r="H325" s="9" t="n">
        <v>5079</v>
      </c>
    </row>
    <row r="326" customFormat="false" ht="15" hidden="false" customHeight="false" outlineLevel="0" collapsed="false">
      <c r="A326" s="7" t="n">
        <v>2023</v>
      </c>
      <c r="B326" s="7" t="n">
        <v>11</v>
      </c>
      <c r="C326" s="7" t="s">
        <v>53</v>
      </c>
      <c r="D326" s="7" t="s">
        <v>41</v>
      </c>
      <c r="E326" s="8" t="s">
        <v>42</v>
      </c>
      <c r="F326" s="7" t="s">
        <v>56</v>
      </c>
      <c r="G326" s="7" t="n">
        <v>1</v>
      </c>
      <c r="H326" s="9" t="n">
        <v>529</v>
      </c>
    </row>
    <row r="327" customFormat="false" ht="15" hidden="false" customHeight="false" outlineLevel="0" collapsed="false">
      <c r="A327" s="7" t="n">
        <v>2023</v>
      </c>
      <c r="B327" s="7" t="n">
        <v>11</v>
      </c>
      <c r="C327" s="7" t="s">
        <v>53</v>
      </c>
      <c r="D327" s="7" t="s">
        <v>54</v>
      </c>
      <c r="E327" s="8" t="s">
        <v>55</v>
      </c>
      <c r="F327" s="7" t="s">
        <v>56</v>
      </c>
      <c r="G327" s="7" t="n">
        <v>1</v>
      </c>
      <c r="H327" s="9" t="n">
        <v>25.65</v>
      </c>
    </row>
    <row r="328" customFormat="false" ht="15" hidden="false" customHeight="false" outlineLevel="0" collapsed="false">
      <c r="A328" s="7" t="n">
        <v>2023</v>
      </c>
      <c r="B328" s="7" t="n">
        <v>11</v>
      </c>
      <c r="C328" s="7" t="s">
        <v>40</v>
      </c>
      <c r="D328" s="7" t="s">
        <v>41</v>
      </c>
      <c r="E328" s="8" t="s">
        <v>42</v>
      </c>
      <c r="F328" s="7" t="s">
        <v>43</v>
      </c>
      <c r="G328" s="7" t="n">
        <v>4</v>
      </c>
      <c r="H328" s="9" t="n">
        <v>5361</v>
      </c>
    </row>
    <row r="329" customFormat="false" ht="15" hidden="false" customHeight="false" outlineLevel="0" collapsed="false">
      <c r="A329" s="7" t="n">
        <v>2023</v>
      </c>
      <c r="B329" s="7" t="n">
        <v>11</v>
      </c>
      <c r="C329" s="7" t="s">
        <v>40</v>
      </c>
      <c r="D329" s="7" t="s">
        <v>41</v>
      </c>
      <c r="E329" s="8" t="s">
        <v>42</v>
      </c>
      <c r="F329" s="7" t="s">
        <v>45</v>
      </c>
      <c r="G329" s="7" t="n">
        <v>3</v>
      </c>
      <c r="H329" s="9" t="n">
        <v>4080</v>
      </c>
    </row>
    <row r="330" customFormat="false" ht="15" hidden="false" customHeight="false" outlineLevel="0" collapsed="false">
      <c r="A330" s="7" t="n">
        <v>2023</v>
      </c>
      <c r="B330" s="7" t="n">
        <v>11</v>
      </c>
      <c r="C330" s="7" t="s">
        <v>40</v>
      </c>
      <c r="D330" s="7" t="s">
        <v>41</v>
      </c>
      <c r="E330" s="8" t="s">
        <v>42</v>
      </c>
      <c r="F330" s="7" t="s">
        <v>47</v>
      </c>
      <c r="G330" s="7" t="n">
        <v>2</v>
      </c>
      <c r="H330" s="9" t="n">
        <v>2935.37</v>
      </c>
    </row>
    <row r="331" customFormat="false" ht="15" hidden="false" customHeight="false" outlineLevel="0" collapsed="false">
      <c r="A331" s="7" t="n">
        <v>2023</v>
      </c>
      <c r="B331" s="7" t="n">
        <v>11</v>
      </c>
      <c r="C331" s="7" t="s">
        <v>40</v>
      </c>
      <c r="D331" s="7" t="s">
        <v>41</v>
      </c>
      <c r="E331" s="8" t="s">
        <v>42</v>
      </c>
      <c r="F331" s="7" t="s">
        <v>49</v>
      </c>
      <c r="G331" s="7" t="n">
        <v>7</v>
      </c>
      <c r="H331" s="9" t="n">
        <v>6488.69</v>
      </c>
    </row>
    <row r="332" customFormat="false" ht="15" hidden="false" customHeight="false" outlineLevel="0" collapsed="false">
      <c r="A332" s="7" t="n">
        <v>2023</v>
      </c>
      <c r="B332" s="7" t="n">
        <v>11</v>
      </c>
      <c r="C332" s="7" t="s">
        <v>40</v>
      </c>
      <c r="D332" s="7" t="s">
        <v>51</v>
      </c>
      <c r="E332" s="8" t="s">
        <v>52</v>
      </c>
      <c r="F332" s="7" t="s">
        <v>47</v>
      </c>
      <c r="G332" s="7" t="n">
        <v>1</v>
      </c>
      <c r="H332" s="9" t="n">
        <v>300</v>
      </c>
    </row>
    <row r="333" customFormat="false" ht="15" hidden="false" customHeight="false" outlineLevel="0" collapsed="false">
      <c r="A333" s="7" t="n">
        <v>2023</v>
      </c>
      <c r="B333" s="7" t="n">
        <v>12</v>
      </c>
      <c r="C333" s="7" t="s">
        <v>53</v>
      </c>
      <c r="D333" s="7" t="s">
        <v>54</v>
      </c>
      <c r="E333" s="8" t="s">
        <v>55</v>
      </c>
      <c r="F333" s="7" t="s">
        <v>56</v>
      </c>
      <c r="G333" s="7" t="n">
        <v>2</v>
      </c>
      <c r="H333" s="9" t="n">
        <v>1174.4</v>
      </c>
    </row>
    <row r="334" customFormat="false" ht="15" hidden="false" customHeight="false" outlineLevel="0" collapsed="false">
      <c r="A334" s="7" t="n">
        <v>2023</v>
      </c>
      <c r="B334" s="7" t="n">
        <v>12</v>
      </c>
      <c r="C334" s="7" t="s">
        <v>40</v>
      </c>
      <c r="D334" s="7" t="s">
        <v>41</v>
      </c>
      <c r="E334" s="8" t="s">
        <v>42</v>
      </c>
      <c r="F334" s="7" t="s">
        <v>43</v>
      </c>
      <c r="G334" s="7" t="n">
        <v>3</v>
      </c>
      <c r="H334" s="9" t="n">
        <v>5990.7</v>
      </c>
    </row>
    <row r="335" customFormat="false" ht="15" hidden="false" customHeight="false" outlineLevel="0" collapsed="false">
      <c r="A335" s="7" t="n">
        <v>2023</v>
      </c>
      <c r="B335" s="7" t="n">
        <v>12</v>
      </c>
      <c r="C335" s="7" t="s">
        <v>40</v>
      </c>
      <c r="D335" s="7" t="s">
        <v>41</v>
      </c>
      <c r="E335" s="8" t="s">
        <v>42</v>
      </c>
      <c r="F335" s="7" t="s">
        <v>58</v>
      </c>
      <c r="G335" s="7" t="n">
        <v>1</v>
      </c>
      <c r="H335" s="9" t="n">
        <v>262.8</v>
      </c>
    </row>
    <row r="336" customFormat="false" ht="15" hidden="false" customHeight="false" outlineLevel="0" collapsed="false">
      <c r="A336" s="7" t="n">
        <v>2023</v>
      </c>
      <c r="B336" s="7" t="n">
        <v>12</v>
      </c>
      <c r="C336" s="7" t="s">
        <v>40</v>
      </c>
      <c r="D336" s="7" t="s">
        <v>41</v>
      </c>
      <c r="E336" s="8" t="s">
        <v>42</v>
      </c>
      <c r="F336" s="7" t="s">
        <v>49</v>
      </c>
      <c r="G336" s="7" t="n">
        <v>7</v>
      </c>
      <c r="H336" s="9" t="n">
        <v>10831.7</v>
      </c>
    </row>
    <row r="337" customFormat="false" ht="15" hidden="false" customHeight="false" outlineLevel="0" collapsed="false">
      <c r="A337" s="7" t="n">
        <v>2023</v>
      </c>
      <c r="B337" s="7" t="n">
        <v>12</v>
      </c>
      <c r="C337" s="7" t="s">
        <v>40</v>
      </c>
      <c r="D337" s="7" t="s">
        <v>51</v>
      </c>
      <c r="E337" s="8" t="s">
        <v>52</v>
      </c>
      <c r="F337" s="7" t="s">
        <v>47</v>
      </c>
      <c r="G337" s="7" t="n">
        <v>3</v>
      </c>
      <c r="H337" s="9" t="n">
        <v>5821.1</v>
      </c>
    </row>
    <row r="338" customFormat="false" ht="15" hidden="false" customHeight="false" outlineLevel="0" collapsed="false">
      <c r="A338" s="7" t="n">
        <v>2024</v>
      </c>
      <c r="B338" s="7" t="n">
        <v>1</v>
      </c>
      <c r="C338" s="7" t="s">
        <v>53</v>
      </c>
      <c r="D338" s="7" t="s">
        <v>54</v>
      </c>
      <c r="E338" s="8" t="s">
        <v>55</v>
      </c>
      <c r="F338" s="7" t="s">
        <v>56</v>
      </c>
      <c r="G338" s="7" t="n">
        <v>2</v>
      </c>
      <c r="H338" s="9" t="n">
        <v>3103.38</v>
      </c>
    </row>
    <row r="339" customFormat="false" ht="15" hidden="false" customHeight="false" outlineLevel="0" collapsed="false">
      <c r="A339" s="7" t="n">
        <v>2024</v>
      </c>
      <c r="B339" s="7" t="n">
        <v>1</v>
      </c>
      <c r="C339" s="7" t="s">
        <v>40</v>
      </c>
      <c r="D339" s="7" t="s">
        <v>41</v>
      </c>
      <c r="E339" s="8" t="s">
        <v>42</v>
      </c>
      <c r="F339" s="7" t="s">
        <v>43</v>
      </c>
      <c r="G339" s="7" t="n">
        <v>9</v>
      </c>
      <c r="H339" s="9" t="n">
        <v>8400</v>
      </c>
    </row>
    <row r="340" customFormat="false" ht="15" hidden="false" customHeight="false" outlineLevel="0" collapsed="false">
      <c r="A340" s="7" t="n">
        <v>2024</v>
      </c>
      <c r="B340" s="7" t="n">
        <v>1</v>
      </c>
      <c r="C340" s="7" t="s">
        <v>40</v>
      </c>
      <c r="D340" s="7" t="s">
        <v>41</v>
      </c>
      <c r="E340" s="8" t="s">
        <v>42</v>
      </c>
      <c r="F340" s="7" t="s">
        <v>45</v>
      </c>
      <c r="G340" s="7" t="n">
        <v>1</v>
      </c>
      <c r="H340" s="9" t="n">
        <v>86</v>
      </c>
    </row>
    <row r="341" customFormat="false" ht="15" hidden="false" customHeight="false" outlineLevel="0" collapsed="false">
      <c r="A341" s="7" t="n">
        <v>2024</v>
      </c>
      <c r="B341" s="7" t="n">
        <v>1</v>
      </c>
      <c r="C341" s="7" t="s">
        <v>40</v>
      </c>
      <c r="D341" s="7" t="s">
        <v>41</v>
      </c>
      <c r="E341" s="8" t="s">
        <v>42</v>
      </c>
      <c r="F341" s="7" t="s">
        <v>47</v>
      </c>
      <c r="G341" s="7" t="n">
        <v>3</v>
      </c>
      <c r="H341" s="9" t="n">
        <v>6140.15</v>
      </c>
    </row>
    <row r="342" customFormat="false" ht="15" hidden="false" customHeight="false" outlineLevel="0" collapsed="false">
      <c r="A342" s="7" t="n">
        <v>2024</v>
      </c>
      <c r="B342" s="7" t="n">
        <v>1</v>
      </c>
      <c r="C342" s="7" t="s">
        <v>40</v>
      </c>
      <c r="D342" s="7" t="s">
        <v>41</v>
      </c>
      <c r="E342" s="8" t="s">
        <v>42</v>
      </c>
      <c r="F342" s="7" t="s">
        <v>49</v>
      </c>
      <c r="G342" s="7" t="n">
        <v>6</v>
      </c>
      <c r="H342" s="9" t="n">
        <v>6754.9</v>
      </c>
    </row>
    <row r="343" customFormat="false" ht="15" hidden="false" customHeight="false" outlineLevel="0" collapsed="false">
      <c r="A343" s="7" t="n">
        <v>2024</v>
      </c>
      <c r="B343" s="7" t="n">
        <v>1</v>
      </c>
      <c r="C343" s="7" t="s">
        <v>40</v>
      </c>
      <c r="D343" s="7" t="s">
        <v>51</v>
      </c>
      <c r="E343" s="8" t="s">
        <v>52</v>
      </c>
      <c r="F343" s="7" t="s">
        <v>47</v>
      </c>
      <c r="G343" s="7" t="n">
        <v>3</v>
      </c>
      <c r="H343" s="9" t="n">
        <v>7000.95</v>
      </c>
    </row>
    <row r="344" customFormat="false" ht="15" hidden="false" customHeight="false" outlineLevel="0" collapsed="false">
      <c r="A344" s="7" t="n">
        <v>2024</v>
      </c>
      <c r="B344" s="7" t="n">
        <v>2</v>
      </c>
      <c r="C344" s="7" t="s">
        <v>53</v>
      </c>
      <c r="D344" s="7" t="s">
        <v>54</v>
      </c>
      <c r="E344" s="8" t="s">
        <v>55</v>
      </c>
      <c r="F344" s="7" t="s">
        <v>56</v>
      </c>
      <c r="G344" s="7" t="n">
        <v>2</v>
      </c>
      <c r="H344" s="9" t="n">
        <v>1463.4</v>
      </c>
    </row>
    <row r="345" customFormat="false" ht="15" hidden="false" customHeight="false" outlineLevel="0" collapsed="false">
      <c r="A345" s="7" t="n">
        <v>2024</v>
      </c>
      <c r="B345" s="7" t="n">
        <v>2</v>
      </c>
      <c r="C345" s="7" t="s">
        <v>40</v>
      </c>
      <c r="D345" s="7" t="s">
        <v>41</v>
      </c>
      <c r="E345" s="8" t="s">
        <v>42</v>
      </c>
      <c r="F345" s="7" t="s">
        <v>43</v>
      </c>
      <c r="G345" s="7" t="n">
        <v>5</v>
      </c>
      <c r="H345" s="9" t="n">
        <v>7800</v>
      </c>
    </row>
    <row r="346" customFormat="false" ht="15" hidden="false" customHeight="false" outlineLevel="0" collapsed="false">
      <c r="A346" s="7" t="n">
        <v>2024</v>
      </c>
      <c r="B346" s="7" t="n">
        <v>2</v>
      </c>
      <c r="C346" s="7" t="s">
        <v>40</v>
      </c>
      <c r="D346" s="7" t="s">
        <v>41</v>
      </c>
      <c r="E346" s="8" t="s">
        <v>42</v>
      </c>
      <c r="F346" s="7" t="s">
        <v>47</v>
      </c>
      <c r="G346" s="7" t="n">
        <v>1</v>
      </c>
      <c r="H346" s="9" t="n">
        <v>1185.21</v>
      </c>
    </row>
    <row r="347" customFormat="false" ht="15" hidden="false" customHeight="false" outlineLevel="0" collapsed="false">
      <c r="A347" s="7" t="n">
        <v>2024</v>
      </c>
      <c r="B347" s="7" t="n">
        <v>2</v>
      </c>
      <c r="C347" s="7" t="s">
        <v>40</v>
      </c>
      <c r="D347" s="7" t="s">
        <v>41</v>
      </c>
      <c r="E347" s="8" t="s">
        <v>42</v>
      </c>
      <c r="F347" s="7" t="s">
        <v>49</v>
      </c>
      <c r="G347" s="7" t="n">
        <v>2</v>
      </c>
      <c r="H347" s="9" t="n">
        <v>1390.21</v>
      </c>
    </row>
    <row r="348" customFormat="false" ht="15" hidden="false" customHeight="false" outlineLevel="0" collapsed="false">
      <c r="A348" s="7" t="n">
        <v>2024</v>
      </c>
      <c r="B348" s="7" t="n">
        <v>2</v>
      </c>
      <c r="C348" s="7" t="s">
        <v>40</v>
      </c>
      <c r="D348" s="7" t="s">
        <v>51</v>
      </c>
      <c r="E348" s="8" t="s">
        <v>52</v>
      </c>
      <c r="F348" s="7" t="s">
        <v>43</v>
      </c>
      <c r="G348" s="7" t="n">
        <v>1</v>
      </c>
      <c r="H348" s="9" t="n">
        <v>400</v>
      </c>
    </row>
    <row r="349" customFormat="false" ht="15" hidden="false" customHeight="false" outlineLevel="0" collapsed="false">
      <c r="A349" s="7" t="n">
        <v>2024</v>
      </c>
      <c r="B349" s="7" t="n">
        <v>2</v>
      </c>
      <c r="C349" s="7" t="s">
        <v>40</v>
      </c>
      <c r="D349" s="7" t="s">
        <v>51</v>
      </c>
      <c r="E349" s="8" t="s">
        <v>52</v>
      </c>
      <c r="F349" s="7" t="s">
        <v>47</v>
      </c>
      <c r="G349" s="7" t="n">
        <v>8</v>
      </c>
      <c r="H349" s="9" t="n">
        <v>15000.18</v>
      </c>
    </row>
    <row r="350" customFormat="false" ht="15" hidden="false" customHeight="false" outlineLevel="0" collapsed="false">
      <c r="A350" s="7" t="n">
        <v>2024</v>
      </c>
      <c r="B350" s="7" t="n">
        <v>3</v>
      </c>
      <c r="C350" s="7" t="s">
        <v>40</v>
      </c>
      <c r="D350" s="7" t="s">
        <v>41</v>
      </c>
      <c r="E350" s="8" t="s">
        <v>42</v>
      </c>
      <c r="F350" s="7" t="s">
        <v>43</v>
      </c>
      <c r="G350" s="7" t="n">
        <v>4</v>
      </c>
      <c r="H350" s="9" t="n">
        <v>5500</v>
      </c>
    </row>
    <row r="351" customFormat="false" ht="15" hidden="false" customHeight="false" outlineLevel="0" collapsed="false">
      <c r="A351" s="7" t="n">
        <v>2024</v>
      </c>
      <c r="B351" s="7" t="n">
        <v>3</v>
      </c>
      <c r="C351" s="7" t="s">
        <v>40</v>
      </c>
      <c r="D351" s="7" t="s">
        <v>41</v>
      </c>
      <c r="E351" s="8" t="s">
        <v>42</v>
      </c>
      <c r="F351" s="7" t="s">
        <v>47</v>
      </c>
      <c r="G351" s="7" t="n">
        <v>1</v>
      </c>
      <c r="H351" s="9" t="n">
        <v>553.38</v>
      </c>
    </row>
    <row r="352" customFormat="false" ht="15" hidden="false" customHeight="false" outlineLevel="0" collapsed="false">
      <c r="A352" s="7" t="n">
        <v>2024</v>
      </c>
      <c r="B352" s="7" t="n">
        <v>3</v>
      </c>
      <c r="C352" s="7" t="s">
        <v>40</v>
      </c>
      <c r="D352" s="7" t="s">
        <v>41</v>
      </c>
      <c r="E352" s="8" t="s">
        <v>42</v>
      </c>
      <c r="F352" s="7" t="s">
        <v>49</v>
      </c>
      <c r="G352" s="7" t="n">
        <v>1</v>
      </c>
      <c r="H352" s="9" t="n">
        <v>1177.84</v>
      </c>
    </row>
    <row r="353" customFormat="false" ht="15" hidden="false" customHeight="false" outlineLevel="0" collapsed="false">
      <c r="A353" s="7" t="n">
        <v>2024</v>
      </c>
      <c r="B353" s="7" t="n">
        <v>3</v>
      </c>
      <c r="C353" s="7" t="s">
        <v>40</v>
      </c>
      <c r="D353" s="7" t="s">
        <v>51</v>
      </c>
      <c r="E353" s="8" t="s">
        <v>52</v>
      </c>
      <c r="F353" s="7" t="s">
        <v>47</v>
      </c>
      <c r="G353" s="7" t="n">
        <v>4</v>
      </c>
      <c r="H353" s="9" t="n">
        <v>19520</v>
      </c>
    </row>
    <row r="354" customFormat="false" ht="15" hidden="false" customHeight="false" outlineLevel="0" collapsed="false">
      <c r="A354" s="7" t="n">
        <v>2024</v>
      </c>
      <c r="B354" s="7" t="n">
        <v>4</v>
      </c>
      <c r="C354" s="7" t="s">
        <v>53</v>
      </c>
      <c r="D354" s="7" t="s">
        <v>54</v>
      </c>
      <c r="E354" s="8" t="s">
        <v>55</v>
      </c>
      <c r="F354" s="7" t="s">
        <v>56</v>
      </c>
      <c r="G354" s="7" t="n">
        <v>2</v>
      </c>
      <c r="H354" s="9" t="n">
        <v>556.1</v>
      </c>
    </row>
    <row r="355" customFormat="false" ht="15" hidden="false" customHeight="false" outlineLevel="0" collapsed="false">
      <c r="A355" s="7" t="n">
        <v>2024</v>
      </c>
      <c r="B355" s="7" t="n">
        <v>4</v>
      </c>
      <c r="C355" s="7" t="s">
        <v>40</v>
      </c>
      <c r="D355" s="7" t="s">
        <v>41</v>
      </c>
      <c r="E355" s="8" t="s">
        <v>42</v>
      </c>
      <c r="F355" s="7" t="s">
        <v>43</v>
      </c>
      <c r="G355" s="7" t="n">
        <v>5</v>
      </c>
      <c r="H355" s="9" t="n">
        <v>9400</v>
      </c>
    </row>
    <row r="356" customFormat="false" ht="15" hidden="false" customHeight="false" outlineLevel="0" collapsed="false">
      <c r="A356" s="7" t="n">
        <v>2024</v>
      </c>
      <c r="B356" s="7" t="n">
        <v>4</v>
      </c>
      <c r="C356" s="7" t="s">
        <v>40</v>
      </c>
      <c r="D356" s="7" t="s">
        <v>41</v>
      </c>
      <c r="E356" s="8" t="s">
        <v>42</v>
      </c>
      <c r="F356" s="7" t="s">
        <v>49</v>
      </c>
      <c r="G356" s="7" t="n">
        <v>7</v>
      </c>
      <c r="H356" s="9" t="n">
        <v>4854.43</v>
      </c>
    </row>
    <row r="357" customFormat="false" ht="15" hidden="false" customHeight="false" outlineLevel="0" collapsed="false">
      <c r="A357" s="7" t="n">
        <v>2024</v>
      </c>
      <c r="B357" s="7" t="n">
        <v>5</v>
      </c>
      <c r="C357" s="7" t="s">
        <v>53</v>
      </c>
      <c r="D357" s="7" t="s">
        <v>54</v>
      </c>
      <c r="E357" s="8" t="s">
        <v>55</v>
      </c>
      <c r="F357" s="7" t="s">
        <v>56</v>
      </c>
      <c r="G357" s="7" t="n">
        <v>2</v>
      </c>
      <c r="H357" s="9" t="n">
        <v>2242.8</v>
      </c>
    </row>
    <row r="358" customFormat="false" ht="15" hidden="false" customHeight="false" outlineLevel="0" collapsed="false">
      <c r="A358" s="7" t="n">
        <v>2024</v>
      </c>
      <c r="B358" s="7" t="n">
        <v>5</v>
      </c>
      <c r="C358" s="7" t="s">
        <v>40</v>
      </c>
      <c r="D358" s="7" t="s">
        <v>41</v>
      </c>
      <c r="E358" s="8" t="s">
        <v>42</v>
      </c>
      <c r="F358" s="7" t="s">
        <v>43</v>
      </c>
      <c r="G358" s="7" t="n">
        <v>5</v>
      </c>
      <c r="H358" s="9" t="n">
        <v>8451.25</v>
      </c>
    </row>
    <row r="359" customFormat="false" ht="15" hidden="false" customHeight="false" outlineLevel="0" collapsed="false">
      <c r="A359" s="7" t="n">
        <v>2024</v>
      </c>
      <c r="B359" s="7" t="n">
        <v>5</v>
      </c>
      <c r="C359" s="7" t="s">
        <v>40</v>
      </c>
      <c r="D359" s="7" t="s">
        <v>41</v>
      </c>
      <c r="E359" s="8" t="s">
        <v>42</v>
      </c>
      <c r="F359" s="7" t="s">
        <v>47</v>
      </c>
      <c r="G359" s="7" t="n">
        <v>3</v>
      </c>
      <c r="H359" s="9" t="n">
        <v>2969.17</v>
      </c>
    </row>
    <row r="360" customFormat="false" ht="15" hidden="false" customHeight="false" outlineLevel="0" collapsed="false">
      <c r="A360" s="7" t="n">
        <v>2024</v>
      </c>
      <c r="B360" s="7" t="n">
        <v>5</v>
      </c>
      <c r="C360" s="7" t="s">
        <v>40</v>
      </c>
      <c r="D360" s="7" t="s">
        <v>41</v>
      </c>
      <c r="E360" s="8" t="s">
        <v>42</v>
      </c>
      <c r="F360" s="7" t="s">
        <v>49</v>
      </c>
      <c r="G360" s="7" t="n">
        <v>6</v>
      </c>
      <c r="H360" s="9" t="n">
        <v>8625.02</v>
      </c>
    </row>
    <row r="361" customFormat="false" ht="15" hidden="false" customHeight="false" outlineLevel="0" collapsed="false">
      <c r="A361" s="7" t="n">
        <v>2024</v>
      </c>
      <c r="B361" s="7" t="n">
        <v>5</v>
      </c>
      <c r="C361" s="7" t="s">
        <v>40</v>
      </c>
      <c r="D361" s="7" t="s">
        <v>51</v>
      </c>
      <c r="E361" s="8" t="s">
        <v>52</v>
      </c>
      <c r="F361" s="7" t="s">
        <v>47</v>
      </c>
      <c r="G361" s="7" t="n">
        <v>5</v>
      </c>
      <c r="H361" s="9" t="n">
        <v>11096.1</v>
      </c>
    </row>
    <row r="362" customFormat="false" ht="15" hidden="false" customHeight="false" outlineLevel="0" collapsed="false">
      <c r="A362" s="7" t="n">
        <v>2024</v>
      </c>
      <c r="B362" s="7" t="n">
        <v>6</v>
      </c>
      <c r="C362" s="7" t="s">
        <v>53</v>
      </c>
      <c r="D362" s="7" t="s">
        <v>54</v>
      </c>
      <c r="E362" s="8" t="s">
        <v>55</v>
      </c>
      <c r="F362" s="7" t="s">
        <v>59</v>
      </c>
      <c r="G362" s="7" t="n">
        <v>1</v>
      </c>
      <c r="H362" s="9" t="n">
        <v>40</v>
      </c>
    </row>
    <row r="363" customFormat="false" ht="15" hidden="false" customHeight="false" outlineLevel="0" collapsed="false">
      <c r="A363" s="7" t="n">
        <v>2024</v>
      </c>
      <c r="B363" s="7" t="n">
        <v>6</v>
      </c>
      <c r="C363" s="7" t="s">
        <v>53</v>
      </c>
      <c r="D363" s="7" t="s">
        <v>54</v>
      </c>
      <c r="E363" s="8" t="s">
        <v>55</v>
      </c>
      <c r="F363" s="7" t="s">
        <v>56</v>
      </c>
      <c r="G363" s="7" t="n">
        <v>1</v>
      </c>
      <c r="H363" s="9" t="n">
        <v>230</v>
      </c>
    </row>
    <row r="364" customFormat="false" ht="15" hidden="false" customHeight="false" outlineLevel="0" collapsed="false">
      <c r="A364" s="7" t="n">
        <v>2024</v>
      </c>
      <c r="B364" s="7" t="n">
        <v>6</v>
      </c>
      <c r="C364" s="7" t="s">
        <v>40</v>
      </c>
      <c r="D364" s="7" t="s">
        <v>41</v>
      </c>
      <c r="E364" s="8" t="s">
        <v>42</v>
      </c>
      <c r="F364" s="7" t="s">
        <v>43</v>
      </c>
      <c r="G364" s="7" t="n">
        <v>6</v>
      </c>
      <c r="H364" s="9" t="n">
        <v>9551</v>
      </c>
    </row>
    <row r="365" customFormat="false" ht="15" hidden="false" customHeight="false" outlineLevel="0" collapsed="false">
      <c r="A365" s="7" t="n">
        <v>2024</v>
      </c>
      <c r="B365" s="7" t="n">
        <v>6</v>
      </c>
      <c r="C365" s="7" t="s">
        <v>40</v>
      </c>
      <c r="D365" s="7" t="s">
        <v>41</v>
      </c>
      <c r="E365" s="8" t="s">
        <v>42</v>
      </c>
      <c r="F365" s="7" t="s">
        <v>49</v>
      </c>
      <c r="G365" s="7" t="n">
        <v>2</v>
      </c>
      <c r="H365" s="9" t="n">
        <v>1128.8</v>
      </c>
    </row>
    <row r="366" customFormat="false" ht="15" hidden="false" customHeight="false" outlineLevel="0" collapsed="false">
      <c r="A366" s="7" t="n">
        <v>2024</v>
      </c>
      <c r="B366" s="7" t="n">
        <v>6</v>
      </c>
      <c r="C366" s="7" t="s">
        <v>40</v>
      </c>
      <c r="D366" s="7" t="s">
        <v>51</v>
      </c>
      <c r="E366" s="8" t="s">
        <v>52</v>
      </c>
      <c r="F366" s="7" t="s">
        <v>47</v>
      </c>
      <c r="G366" s="7" t="n">
        <v>1</v>
      </c>
      <c r="H366" s="9" t="n">
        <v>2723</v>
      </c>
    </row>
    <row r="367" customFormat="false" ht="15" hidden="false" customHeight="false" outlineLevel="0" collapsed="false">
      <c r="A367" s="7" t="n">
        <v>2024</v>
      </c>
      <c r="B367" s="7" t="n">
        <v>7</v>
      </c>
      <c r="C367" s="7" t="s">
        <v>53</v>
      </c>
      <c r="D367" s="7" t="s">
        <v>54</v>
      </c>
      <c r="E367" s="8" t="s">
        <v>55</v>
      </c>
      <c r="F367" s="7" t="s">
        <v>56</v>
      </c>
      <c r="G367" s="7" t="n">
        <v>3</v>
      </c>
      <c r="H367" s="9" t="n">
        <v>3508.5</v>
      </c>
    </row>
    <row r="368" customFormat="false" ht="15" hidden="false" customHeight="false" outlineLevel="0" collapsed="false">
      <c r="A368" s="7" t="n">
        <v>2024</v>
      </c>
      <c r="B368" s="7" t="n">
        <v>7</v>
      </c>
      <c r="C368" s="7" t="s">
        <v>40</v>
      </c>
      <c r="D368" s="7" t="s">
        <v>41</v>
      </c>
      <c r="E368" s="8" t="s">
        <v>42</v>
      </c>
      <c r="F368" s="7" t="s">
        <v>43</v>
      </c>
      <c r="G368" s="7" t="n">
        <v>7</v>
      </c>
      <c r="H368" s="9" t="n">
        <v>7982.575</v>
      </c>
    </row>
    <row r="369" customFormat="false" ht="15" hidden="false" customHeight="false" outlineLevel="0" collapsed="false">
      <c r="A369" s="7" t="n">
        <v>2024</v>
      </c>
      <c r="B369" s="7" t="n">
        <v>7</v>
      </c>
      <c r="C369" s="7" t="s">
        <v>40</v>
      </c>
      <c r="D369" s="7" t="s">
        <v>41</v>
      </c>
      <c r="E369" s="8" t="s">
        <v>42</v>
      </c>
      <c r="F369" s="7" t="s">
        <v>45</v>
      </c>
      <c r="G369" s="7" t="n">
        <v>1</v>
      </c>
      <c r="H369" s="9" t="n">
        <v>3000</v>
      </c>
    </row>
    <row r="370" customFormat="false" ht="15" hidden="false" customHeight="false" outlineLevel="0" collapsed="false">
      <c r="A370" s="7" t="n">
        <v>2024</v>
      </c>
      <c r="B370" s="7" t="n">
        <v>7</v>
      </c>
      <c r="C370" s="7" t="s">
        <v>40</v>
      </c>
      <c r="D370" s="7" t="s">
        <v>41</v>
      </c>
      <c r="E370" s="8" t="s">
        <v>42</v>
      </c>
      <c r="F370" s="7" t="s">
        <v>47</v>
      </c>
      <c r="G370" s="7" t="n">
        <v>1</v>
      </c>
      <c r="H370" s="9" t="n">
        <v>2500</v>
      </c>
    </row>
    <row r="371" customFormat="false" ht="15" hidden="false" customHeight="false" outlineLevel="0" collapsed="false">
      <c r="A371" s="7" t="n">
        <v>2024</v>
      </c>
      <c r="B371" s="7" t="n">
        <v>7</v>
      </c>
      <c r="C371" s="7" t="s">
        <v>40</v>
      </c>
      <c r="D371" s="7" t="s">
        <v>51</v>
      </c>
      <c r="E371" s="8" t="s">
        <v>52</v>
      </c>
      <c r="F371" s="7" t="s">
        <v>47</v>
      </c>
      <c r="G371" s="7" t="n">
        <v>1</v>
      </c>
      <c r="H371" s="9" t="n">
        <v>530</v>
      </c>
    </row>
    <row r="372" customFormat="false" ht="15" hidden="false" customHeight="false" outlineLevel="0" collapsed="false">
      <c r="A372" s="7" t="n">
        <v>2024</v>
      </c>
      <c r="B372" s="7" t="n">
        <v>8</v>
      </c>
      <c r="C372" s="7" t="s">
        <v>53</v>
      </c>
      <c r="D372" s="7" t="s">
        <v>54</v>
      </c>
      <c r="E372" s="8" t="s">
        <v>55</v>
      </c>
      <c r="F372" s="7" t="s">
        <v>56</v>
      </c>
      <c r="G372" s="7" t="n">
        <v>2</v>
      </c>
      <c r="H372" s="9" t="n">
        <v>204.25</v>
      </c>
    </row>
    <row r="373" customFormat="false" ht="15" hidden="false" customHeight="false" outlineLevel="0" collapsed="false">
      <c r="A373" s="7" t="n">
        <v>2024</v>
      </c>
      <c r="B373" s="7" t="n">
        <v>8</v>
      </c>
      <c r="C373" s="7" t="s">
        <v>40</v>
      </c>
      <c r="D373" s="7" t="s">
        <v>41</v>
      </c>
      <c r="E373" s="8" t="s">
        <v>42</v>
      </c>
      <c r="F373" s="7" t="s">
        <v>43</v>
      </c>
      <c r="G373" s="7" t="n">
        <v>1</v>
      </c>
      <c r="H373" s="9" t="n">
        <v>3000</v>
      </c>
    </row>
    <row r="374" customFormat="false" ht="15" hidden="false" customHeight="false" outlineLevel="0" collapsed="false">
      <c r="A374" s="7" t="n">
        <v>2024</v>
      </c>
      <c r="B374" s="7" t="n">
        <v>8</v>
      </c>
      <c r="C374" s="7" t="s">
        <v>40</v>
      </c>
      <c r="D374" s="7" t="s">
        <v>51</v>
      </c>
      <c r="E374" s="8" t="s">
        <v>52</v>
      </c>
      <c r="F374" s="7" t="s">
        <v>47</v>
      </c>
      <c r="G374" s="7" t="n">
        <v>2</v>
      </c>
      <c r="H374" s="9" t="n">
        <v>3002.18</v>
      </c>
    </row>
    <row r="375" customFormat="false" ht="15" hidden="false" customHeight="false" outlineLevel="0" collapsed="false">
      <c r="A375" s="7" t="n">
        <v>2024</v>
      </c>
      <c r="B375" s="7" t="n">
        <v>9</v>
      </c>
      <c r="C375" s="7" t="s">
        <v>53</v>
      </c>
      <c r="D375" s="7" t="s">
        <v>54</v>
      </c>
      <c r="E375" s="8" t="s">
        <v>55</v>
      </c>
      <c r="F375" s="7" t="s">
        <v>56</v>
      </c>
      <c r="G375" s="7" t="n">
        <v>4</v>
      </c>
      <c r="H375" s="9" t="n">
        <v>1357.5</v>
      </c>
    </row>
    <row r="376" customFormat="false" ht="15" hidden="false" customHeight="false" outlineLevel="0" collapsed="false">
      <c r="A376" s="7" t="n">
        <v>2024</v>
      </c>
      <c r="B376" s="7" t="n">
        <v>9</v>
      </c>
      <c r="C376" s="7" t="s">
        <v>40</v>
      </c>
      <c r="D376" s="7" t="s">
        <v>41</v>
      </c>
      <c r="E376" s="8" t="s">
        <v>42</v>
      </c>
      <c r="F376" s="7" t="s">
        <v>43</v>
      </c>
      <c r="G376" s="7" t="n">
        <v>2</v>
      </c>
      <c r="H376" s="9" t="n">
        <v>1400</v>
      </c>
    </row>
    <row r="377" customFormat="false" ht="15" hidden="false" customHeight="false" outlineLevel="0" collapsed="false">
      <c r="A377" s="7" t="n">
        <v>2024</v>
      </c>
      <c r="B377" s="7" t="n">
        <v>9</v>
      </c>
      <c r="C377" s="7" t="s">
        <v>40</v>
      </c>
      <c r="D377" s="7" t="s">
        <v>41</v>
      </c>
      <c r="E377" s="8" t="s">
        <v>42</v>
      </c>
      <c r="F377" s="7" t="s">
        <v>45</v>
      </c>
      <c r="G377" s="7" t="n">
        <v>1</v>
      </c>
      <c r="H377" s="9" t="n">
        <v>1260</v>
      </c>
    </row>
    <row r="378" customFormat="false" ht="15" hidden="false" customHeight="false" outlineLevel="0" collapsed="false">
      <c r="A378" s="7" t="n">
        <v>2024</v>
      </c>
      <c r="B378" s="7" t="n">
        <v>9</v>
      </c>
      <c r="C378" s="7" t="s">
        <v>40</v>
      </c>
      <c r="D378" s="7" t="s">
        <v>41</v>
      </c>
      <c r="E378" s="8" t="s">
        <v>42</v>
      </c>
      <c r="F378" s="7" t="s">
        <v>49</v>
      </c>
      <c r="G378" s="7" t="n">
        <v>1</v>
      </c>
      <c r="H378" s="9" t="n">
        <v>576</v>
      </c>
    </row>
    <row r="379" customFormat="false" ht="15" hidden="false" customHeight="false" outlineLevel="0" collapsed="false">
      <c r="A379" s="7" t="n">
        <v>2024</v>
      </c>
      <c r="B379" s="7" t="n">
        <v>10</v>
      </c>
      <c r="C379" s="7" t="s">
        <v>53</v>
      </c>
      <c r="D379" s="7" t="s">
        <v>54</v>
      </c>
      <c r="E379" s="8" t="s">
        <v>55</v>
      </c>
      <c r="F379" s="7" t="s">
        <v>59</v>
      </c>
      <c r="G379" s="7" t="n">
        <v>1</v>
      </c>
      <c r="H379" s="9" t="n">
        <v>114</v>
      </c>
    </row>
    <row r="380" customFormat="false" ht="15" hidden="false" customHeight="false" outlineLevel="0" collapsed="false">
      <c r="A380" s="7" t="n">
        <v>2024</v>
      </c>
      <c r="B380" s="7" t="n">
        <v>10</v>
      </c>
      <c r="C380" s="7" t="s">
        <v>53</v>
      </c>
      <c r="D380" s="7" t="s">
        <v>54</v>
      </c>
      <c r="E380" s="8" t="s">
        <v>55</v>
      </c>
      <c r="F380" s="7" t="s">
        <v>56</v>
      </c>
      <c r="G380" s="7" t="n">
        <v>2</v>
      </c>
      <c r="H380" s="9" t="n">
        <v>2500.1</v>
      </c>
    </row>
    <row r="381" customFormat="false" ht="15" hidden="false" customHeight="false" outlineLevel="0" collapsed="false">
      <c r="A381" s="7" t="n">
        <v>2024</v>
      </c>
      <c r="B381" s="7" t="n">
        <v>10</v>
      </c>
      <c r="C381" s="7" t="s">
        <v>40</v>
      </c>
      <c r="D381" s="7" t="s">
        <v>41</v>
      </c>
      <c r="E381" s="8" t="s">
        <v>42</v>
      </c>
      <c r="F381" s="7" t="s">
        <v>43</v>
      </c>
      <c r="G381" s="7" t="n">
        <v>1</v>
      </c>
      <c r="H381" s="9" t="n">
        <v>3500</v>
      </c>
    </row>
    <row r="382" customFormat="false" ht="15" hidden="false" customHeight="false" outlineLevel="0" collapsed="false">
      <c r="A382" s="7" t="n">
        <v>2024</v>
      </c>
      <c r="B382" s="7" t="n">
        <v>10</v>
      </c>
      <c r="C382" s="7" t="s">
        <v>40</v>
      </c>
      <c r="D382" s="7" t="s">
        <v>41</v>
      </c>
      <c r="E382" s="8" t="s">
        <v>42</v>
      </c>
      <c r="F382" s="7" t="s">
        <v>58</v>
      </c>
      <c r="G382" s="7" t="n">
        <v>2</v>
      </c>
      <c r="H382" s="9" t="n">
        <v>413</v>
      </c>
    </row>
    <row r="383" customFormat="false" ht="15" hidden="false" customHeight="false" outlineLevel="0" collapsed="false">
      <c r="A383" s="7" t="n">
        <v>2024</v>
      </c>
      <c r="B383" s="7" t="n">
        <v>10</v>
      </c>
      <c r="C383" s="7" t="s">
        <v>40</v>
      </c>
      <c r="D383" s="7" t="s">
        <v>41</v>
      </c>
      <c r="E383" s="8" t="s">
        <v>42</v>
      </c>
      <c r="F383" s="7" t="s">
        <v>47</v>
      </c>
      <c r="G383" s="7" t="n">
        <v>1</v>
      </c>
      <c r="H383" s="9" t="n">
        <v>1000</v>
      </c>
    </row>
    <row r="384" customFormat="false" ht="15" hidden="false" customHeight="false" outlineLevel="0" collapsed="false">
      <c r="A384" s="7" t="n">
        <v>2024</v>
      </c>
      <c r="B384" s="7" t="n">
        <v>10</v>
      </c>
      <c r="C384" s="7" t="s">
        <v>40</v>
      </c>
      <c r="D384" s="7" t="s">
        <v>41</v>
      </c>
      <c r="E384" s="8" t="s">
        <v>42</v>
      </c>
      <c r="F384" s="7" t="s">
        <v>49</v>
      </c>
      <c r="G384" s="7" t="n">
        <v>3</v>
      </c>
      <c r="H384" s="9" t="n">
        <v>2500.57</v>
      </c>
    </row>
    <row r="385" customFormat="false" ht="15" hidden="false" customHeight="false" outlineLevel="0" collapsed="false">
      <c r="A385" s="7" t="n">
        <v>2024</v>
      </c>
      <c r="B385" s="7" t="n">
        <v>11</v>
      </c>
      <c r="C385" s="7" t="s">
        <v>53</v>
      </c>
      <c r="D385" s="7" t="s">
        <v>54</v>
      </c>
      <c r="E385" s="8" t="s">
        <v>55</v>
      </c>
      <c r="F385" s="7" t="s">
        <v>56</v>
      </c>
      <c r="G385" s="7" t="n">
        <v>2</v>
      </c>
      <c r="H385" s="9" t="n">
        <v>116</v>
      </c>
    </row>
    <row r="386" customFormat="false" ht="15" hidden="false" customHeight="false" outlineLevel="0" collapsed="false">
      <c r="A386" s="7" t="n">
        <v>2024</v>
      </c>
      <c r="B386" s="7" t="n">
        <v>11</v>
      </c>
      <c r="C386" s="7" t="s">
        <v>40</v>
      </c>
      <c r="D386" s="7" t="s">
        <v>41</v>
      </c>
      <c r="E386" s="8" t="s">
        <v>42</v>
      </c>
      <c r="F386" s="7" t="s">
        <v>43</v>
      </c>
      <c r="G386" s="7" t="n">
        <v>14</v>
      </c>
      <c r="H386" s="9" t="n">
        <v>20255</v>
      </c>
    </row>
    <row r="387" customFormat="false" ht="15" hidden="false" customHeight="false" outlineLevel="0" collapsed="false">
      <c r="A387" s="7" t="n">
        <v>2024</v>
      </c>
      <c r="B387" s="7" t="n">
        <v>11</v>
      </c>
      <c r="C387" s="7" t="s">
        <v>40</v>
      </c>
      <c r="D387" s="7" t="s">
        <v>41</v>
      </c>
      <c r="E387" s="8" t="s">
        <v>42</v>
      </c>
      <c r="F387" s="7" t="s">
        <v>47</v>
      </c>
      <c r="G387" s="7" t="n">
        <v>1</v>
      </c>
      <c r="H387" s="9" t="n">
        <v>2439.7</v>
      </c>
    </row>
    <row r="388" customFormat="false" ht="15" hidden="false" customHeight="false" outlineLevel="0" collapsed="false">
      <c r="A388" s="7" t="n">
        <v>2024</v>
      </c>
      <c r="B388" s="7" t="n">
        <v>11</v>
      </c>
      <c r="C388" s="7" t="s">
        <v>40</v>
      </c>
      <c r="D388" s="7" t="s">
        <v>41</v>
      </c>
      <c r="E388" s="8" t="s">
        <v>42</v>
      </c>
      <c r="F388" s="7" t="s">
        <v>49</v>
      </c>
      <c r="G388" s="7" t="n">
        <v>1</v>
      </c>
      <c r="H388" s="9" t="n">
        <v>2164.38</v>
      </c>
    </row>
    <row r="389" customFormat="false" ht="15" hidden="false" customHeight="false" outlineLevel="0" collapsed="false">
      <c r="A389" s="7" t="n">
        <v>2024</v>
      </c>
      <c r="B389" s="7" t="n">
        <v>11</v>
      </c>
      <c r="C389" s="7" t="s">
        <v>40</v>
      </c>
      <c r="D389" s="7" t="s">
        <v>51</v>
      </c>
      <c r="E389" s="8" t="s">
        <v>52</v>
      </c>
      <c r="F389" s="7" t="s">
        <v>47</v>
      </c>
      <c r="G389" s="7" t="n">
        <v>1</v>
      </c>
      <c r="H389" s="9" t="n">
        <v>3000</v>
      </c>
    </row>
    <row r="390" customFormat="false" ht="15" hidden="false" customHeight="false" outlineLevel="0" collapsed="false">
      <c r="A390" s="7" t="n">
        <v>2024</v>
      </c>
      <c r="B390" s="7" t="n">
        <v>12</v>
      </c>
      <c r="C390" s="7" t="s">
        <v>53</v>
      </c>
      <c r="D390" s="7" t="s">
        <v>54</v>
      </c>
      <c r="E390" s="8" t="s">
        <v>55</v>
      </c>
      <c r="F390" s="7" t="s">
        <v>56</v>
      </c>
      <c r="G390" s="7" t="n">
        <v>1</v>
      </c>
      <c r="H390" s="9" t="n">
        <v>3602.2</v>
      </c>
    </row>
    <row r="391" customFormat="false" ht="15" hidden="false" customHeight="false" outlineLevel="0" collapsed="false">
      <c r="A391" s="7" t="n">
        <v>2024</v>
      </c>
      <c r="B391" s="7" t="n">
        <v>12</v>
      </c>
      <c r="C391" s="7" t="s">
        <v>40</v>
      </c>
      <c r="D391" s="7" t="s">
        <v>41</v>
      </c>
      <c r="E391" s="8" t="s">
        <v>42</v>
      </c>
      <c r="F391" s="7" t="s">
        <v>43</v>
      </c>
      <c r="G391" s="7" t="n">
        <v>5</v>
      </c>
      <c r="H391" s="9" t="n">
        <v>4150</v>
      </c>
    </row>
    <row r="392" customFormat="false" ht="15" hidden="false" customHeight="false" outlineLevel="0" collapsed="false">
      <c r="A392" s="7" t="n">
        <v>2024</v>
      </c>
      <c r="B392" s="7" t="n">
        <v>12</v>
      </c>
      <c r="C392" s="7" t="s">
        <v>40</v>
      </c>
      <c r="D392" s="7" t="s">
        <v>41</v>
      </c>
      <c r="E392" s="8" t="s">
        <v>42</v>
      </c>
      <c r="F392" s="7" t="s">
        <v>49</v>
      </c>
      <c r="G392" s="7" t="n">
        <v>12</v>
      </c>
      <c r="H392" s="9" t="n">
        <v>10687.67</v>
      </c>
    </row>
    <row r="393" customFormat="false" ht="15" hidden="false" customHeight="false" outlineLevel="0" collapsed="false">
      <c r="A393" s="7" t="n">
        <v>2024</v>
      </c>
      <c r="B393" s="7" t="n">
        <v>12</v>
      </c>
      <c r="C393" s="7" t="s">
        <v>40</v>
      </c>
      <c r="D393" s="7" t="s">
        <v>51</v>
      </c>
      <c r="E393" s="8" t="s">
        <v>52</v>
      </c>
      <c r="F393" s="7" t="s">
        <v>47</v>
      </c>
      <c r="G393" s="7" t="n">
        <v>6</v>
      </c>
      <c r="H393" s="9" t="n">
        <v>15065.94</v>
      </c>
    </row>
    <row r="394" customFormat="false" ht="15" hidden="false" customHeight="false" outlineLevel="0" collapsed="false">
      <c r="A394" s="7" t="n">
        <v>2025</v>
      </c>
      <c r="B394" s="7" t="n">
        <v>1</v>
      </c>
      <c r="C394" s="7" t="s">
        <v>53</v>
      </c>
      <c r="D394" s="7" t="s">
        <v>54</v>
      </c>
      <c r="E394" s="8" t="s">
        <v>55</v>
      </c>
      <c r="F394" s="7" t="s">
        <v>56</v>
      </c>
      <c r="G394" s="7" t="n">
        <v>1</v>
      </c>
      <c r="H394" s="9" t="n">
        <v>420</v>
      </c>
    </row>
    <row r="395" customFormat="false" ht="15" hidden="false" customHeight="false" outlineLevel="0" collapsed="false">
      <c r="A395" s="7" t="n">
        <v>2025</v>
      </c>
      <c r="B395" s="7" t="n">
        <v>1</v>
      </c>
      <c r="C395" s="7" t="s">
        <v>40</v>
      </c>
      <c r="D395" s="7" t="s">
        <v>41</v>
      </c>
      <c r="E395" s="8" t="s">
        <v>42</v>
      </c>
      <c r="F395" s="7" t="s">
        <v>43</v>
      </c>
      <c r="G395" s="7" t="n">
        <v>1</v>
      </c>
      <c r="H395" s="9" t="n">
        <v>3500</v>
      </c>
    </row>
    <row r="396" customFormat="false" ht="15" hidden="false" customHeight="false" outlineLevel="0" collapsed="false">
      <c r="A396" s="7" t="n">
        <v>2025</v>
      </c>
      <c r="B396" s="7" t="n">
        <v>1</v>
      </c>
      <c r="C396" s="7" t="s">
        <v>40</v>
      </c>
      <c r="D396" s="7" t="s">
        <v>41</v>
      </c>
      <c r="E396" s="8" t="s">
        <v>42</v>
      </c>
      <c r="F396" s="7" t="s">
        <v>45</v>
      </c>
      <c r="G396" s="7" t="n">
        <v>1</v>
      </c>
      <c r="H396" s="9" t="n">
        <v>1598.6</v>
      </c>
    </row>
    <row r="397" customFormat="false" ht="15" hidden="false" customHeight="false" outlineLevel="0" collapsed="false">
      <c r="A397" s="7" t="n">
        <v>2025</v>
      </c>
      <c r="B397" s="7" t="n">
        <v>1</v>
      </c>
      <c r="C397" s="7" t="s">
        <v>40</v>
      </c>
      <c r="D397" s="7" t="s">
        <v>41</v>
      </c>
      <c r="E397" s="8" t="s">
        <v>42</v>
      </c>
      <c r="F397" s="7" t="s">
        <v>49</v>
      </c>
      <c r="G397" s="7" t="n">
        <v>5</v>
      </c>
      <c r="H397" s="9" t="n">
        <v>3350.68</v>
      </c>
    </row>
    <row r="398" customFormat="false" ht="15" hidden="false" customHeight="false" outlineLevel="0" collapsed="false">
      <c r="A398" s="7" t="n">
        <v>2025</v>
      </c>
      <c r="B398" s="7" t="n">
        <v>1</v>
      </c>
      <c r="C398" s="7" t="s">
        <v>40</v>
      </c>
      <c r="D398" s="7" t="s">
        <v>51</v>
      </c>
      <c r="E398" s="8" t="s">
        <v>52</v>
      </c>
      <c r="F398" s="7" t="s">
        <v>47</v>
      </c>
      <c r="G398" s="7" t="n">
        <v>5</v>
      </c>
      <c r="H398" s="9" t="n">
        <v>18026.04</v>
      </c>
    </row>
    <row r="399" customFormat="false" ht="15" hidden="false" customHeight="false" outlineLevel="0" collapsed="false">
      <c r="A399" s="7" t="n">
        <v>2025</v>
      </c>
      <c r="B399" s="7" t="n">
        <v>2</v>
      </c>
      <c r="C399" s="7" t="s">
        <v>53</v>
      </c>
      <c r="D399" s="7" t="s">
        <v>54</v>
      </c>
      <c r="E399" s="8" t="s">
        <v>55</v>
      </c>
      <c r="F399" s="7" t="s">
        <v>59</v>
      </c>
      <c r="G399" s="7" t="n">
        <v>1</v>
      </c>
      <c r="H399" s="9" t="n">
        <v>114</v>
      </c>
    </row>
    <row r="400" customFormat="false" ht="15" hidden="false" customHeight="false" outlineLevel="0" collapsed="false">
      <c r="A400" s="7" t="n">
        <v>2025</v>
      </c>
      <c r="B400" s="7" t="n">
        <v>2</v>
      </c>
      <c r="C400" s="7" t="s">
        <v>40</v>
      </c>
      <c r="D400" s="7" t="s">
        <v>41</v>
      </c>
      <c r="E400" s="8" t="s">
        <v>42</v>
      </c>
      <c r="F400" s="7" t="s">
        <v>43</v>
      </c>
      <c r="G400" s="7" t="n">
        <v>2</v>
      </c>
      <c r="H400" s="9" t="n">
        <v>7095</v>
      </c>
    </row>
    <row r="401" customFormat="false" ht="15" hidden="false" customHeight="false" outlineLevel="0" collapsed="false">
      <c r="A401" s="7" t="n">
        <v>2025</v>
      </c>
      <c r="B401" s="7" t="n">
        <v>2</v>
      </c>
      <c r="C401" s="7" t="s">
        <v>40</v>
      </c>
      <c r="D401" s="7" t="s">
        <v>41</v>
      </c>
      <c r="E401" s="8" t="s">
        <v>42</v>
      </c>
      <c r="F401" s="7" t="s">
        <v>47</v>
      </c>
      <c r="G401" s="7" t="n">
        <v>1</v>
      </c>
      <c r="H401" s="9" t="n">
        <v>322.9</v>
      </c>
    </row>
    <row r="402" customFormat="false" ht="15" hidden="false" customHeight="false" outlineLevel="0" collapsed="false">
      <c r="A402" s="7" t="n">
        <v>2025</v>
      </c>
      <c r="B402" s="7" t="n">
        <v>2</v>
      </c>
      <c r="C402" s="7" t="s">
        <v>40</v>
      </c>
      <c r="D402" s="7" t="s">
        <v>41</v>
      </c>
      <c r="E402" s="8" t="s">
        <v>42</v>
      </c>
      <c r="F402" s="7" t="s">
        <v>49</v>
      </c>
      <c r="G402" s="7" t="n">
        <v>7</v>
      </c>
      <c r="H402" s="9" t="n">
        <v>5214.75</v>
      </c>
    </row>
    <row r="403" customFormat="false" ht="15" hidden="false" customHeight="false" outlineLevel="0" collapsed="false">
      <c r="A403" s="7" t="n">
        <v>2025</v>
      </c>
      <c r="B403" s="7" t="n">
        <v>2</v>
      </c>
      <c r="C403" s="7" t="s">
        <v>40</v>
      </c>
      <c r="D403" s="7" t="s">
        <v>51</v>
      </c>
      <c r="E403" s="8" t="s">
        <v>52</v>
      </c>
      <c r="F403" s="7" t="s">
        <v>47</v>
      </c>
      <c r="G403" s="7" t="n">
        <v>3</v>
      </c>
      <c r="H403" s="9" t="n">
        <v>5818.78</v>
      </c>
    </row>
    <row r="404" customFormat="false" ht="15" hidden="false" customHeight="false" outlineLevel="0" collapsed="false">
      <c r="A404" s="7" t="n">
        <v>2025</v>
      </c>
      <c r="B404" s="7" t="n">
        <v>3</v>
      </c>
      <c r="C404" s="7" t="s">
        <v>53</v>
      </c>
      <c r="D404" s="7" t="s">
        <v>54</v>
      </c>
      <c r="E404" s="8" t="s">
        <v>55</v>
      </c>
      <c r="F404" s="7" t="s">
        <v>56</v>
      </c>
      <c r="G404" s="7" t="n">
        <v>2</v>
      </c>
      <c r="H404" s="9" t="n">
        <v>4605.7</v>
      </c>
    </row>
    <row r="405" customFormat="false" ht="15" hidden="false" customHeight="false" outlineLevel="0" collapsed="false">
      <c r="A405" s="7" t="n">
        <v>2025</v>
      </c>
      <c r="B405" s="7" t="n">
        <v>3</v>
      </c>
      <c r="C405" s="7" t="s">
        <v>40</v>
      </c>
      <c r="D405" s="7" t="s">
        <v>41</v>
      </c>
      <c r="E405" s="8" t="s">
        <v>42</v>
      </c>
      <c r="F405" s="7" t="s">
        <v>43</v>
      </c>
      <c r="G405" s="7" t="n">
        <v>5</v>
      </c>
      <c r="H405" s="9" t="n">
        <v>5210</v>
      </c>
    </row>
    <row r="406" customFormat="false" ht="15" hidden="false" customHeight="false" outlineLevel="0" collapsed="false">
      <c r="A406" s="7" t="n">
        <v>2025</v>
      </c>
      <c r="B406" s="7" t="n">
        <v>3</v>
      </c>
      <c r="C406" s="7" t="s">
        <v>40</v>
      </c>
      <c r="D406" s="7" t="s">
        <v>41</v>
      </c>
      <c r="E406" s="8" t="s">
        <v>42</v>
      </c>
      <c r="F406" s="7" t="s">
        <v>45</v>
      </c>
      <c r="G406" s="7" t="n">
        <v>1</v>
      </c>
      <c r="H406" s="9" t="n">
        <v>400</v>
      </c>
    </row>
    <row r="407" customFormat="false" ht="15" hidden="false" customHeight="false" outlineLevel="0" collapsed="false">
      <c r="A407" s="7" t="n">
        <v>2025</v>
      </c>
      <c r="B407" s="7" t="n">
        <v>3</v>
      </c>
      <c r="C407" s="7" t="s">
        <v>40</v>
      </c>
      <c r="D407" s="7" t="s">
        <v>41</v>
      </c>
      <c r="E407" s="8" t="s">
        <v>42</v>
      </c>
      <c r="F407" s="7" t="s">
        <v>47</v>
      </c>
      <c r="G407" s="7" t="n">
        <v>1</v>
      </c>
      <c r="H407" s="9" t="n">
        <v>954.46</v>
      </c>
    </row>
    <row r="408" customFormat="false" ht="15" hidden="false" customHeight="false" outlineLevel="0" collapsed="false">
      <c r="A408" s="7" t="n">
        <v>2025</v>
      </c>
      <c r="B408" s="7" t="n">
        <v>3</v>
      </c>
      <c r="C408" s="7" t="s">
        <v>40</v>
      </c>
      <c r="D408" s="7" t="s">
        <v>41</v>
      </c>
      <c r="E408" s="8" t="s">
        <v>42</v>
      </c>
      <c r="F408" s="7" t="s">
        <v>49</v>
      </c>
      <c r="G408" s="7" t="n">
        <v>7</v>
      </c>
      <c r="H408" s="9" t="n">
        <v>9555.62</v>
      </c>
    </row>
    <row r="409" customFormat="false" ht="15" hidden="false" customHeight="false" outlineLevel="0" collapsed="false">
      <c r="A409" s="7" t="n">
        <v>2025</v>
      </c>
      <c r="B409" s="7" t="n">
        <v>3</v>
      </c>
      <c r="C409" s="7" t="s">
        <v>40</v>
      </c>
      <c r="D409" s="7" t="s">
        <v>51</v>
      </c>
      <c r="E409" s="8" t="s">
        <v>52</v>
      </c>
      <c r="F409" s="7" t="s">
        <v>47</v>
      </c>
      <c r="G409" s="7" t="n">
        <v>9</v>
      </c>
      <c r="H409" s="9" t="n">
        <v>31412.08</v>
      </c>
    </row>
    <row r="410" customFormat="false" ht="15" hidden="false" customHeight="false" outlineLevel="0" collapsed="false">
      <c r="A410" s="7" t="n">
        <v>2025</v>
      </c>
      <c r="B410" s="7" t="n">
        <v>4</v>
      </c>
      <c r="C410" s="7" t="s">
        <v>53</v>
      </c>
      <c r="D410" s="7" t="s">
        <v>54</v>
      </c>
      <c r="E410" s="8" t="s">
        <v>55</v>
      </c>
      <c r="F410" s="7" t="s">
        <v>56</v>
      </c>
      <c r="G410" s="7" t="n">
        <v>2</v>
      </c>
      <c r="H410" s="9" t="n">
        <v>855.75</v>
      </c>
    </row>
    <row r="411" customFormat="false" ht="15" hidden="false" customHeight="false" outlineLevel="0" collapsed="false">
      <c r="A411" s="7" t="n">
        <v>2025</v>
      </c>
      <c r="B411" s="7" t="n">
        <v>4</v>
      </c>
      <c r="C411" s="7" t="s">
        <v>40</v>
      </c>
      <c r="D411" s="7" t="s">
        <v>41</v>
      </c>
      <c r="E411" s="8" t="s">
        <v>42</v>
      </c>
      <c r="F411" s="7" t="s">
        <v>43</v>
      </c>
      <c r="G411" s="7" t="n">
        <v>5</v>
      </c>
      <c r="H411" s="9" t="n">
        <v>5760</v>
      </c>
    </row>
    <row r="412" customFormat="false" ht="15" hidden="false" customHeight="false" outlineLevel="0" collapsed="false">
      <c r="A412" s="7" t="n">
        <v>2025</v>
      </c>
      <c r="B412" s="7" t="n">
        <v>4</v>
      </c>
      <c r="C412" s="7" t="s">
        <v>40</v>
      </c>
      <c r="D412" s="7" t="s">
        <v>41</v>
      </c>
      <c r="E412" s="8" t="s">
        <v>42</v>
      </c>
      <c r="F412" s="7" t="s">
        <v>45</v>
      </c>
      <c r="G412" s="7" t="n">
        <v>1</v>
      </c>
      <c r="H412" s="9" t="n">
        <v>400</v>
      </c>
    </row>
    <row r="413" customFormat="false" ht="15" hidden="false" customHeight="false" outlineLevel="0" collapsed="false">
      <c r="A413" s="7" t="n">
        <v>2025</v>
      </c>
      <c r="B413" s="7" t="n">
        <v>4</v>
      </c>
      <c r="C413" s="7" t="s">
        <v>40</v>
      </c>
      <c r="D413" s="7" t="s">
        <v>41</v>
      </c>
      <c r="E413" s="8" t="s">
        <v>42</v>
      </c>
      <c r="F413" s="7" t="s">
        <v>47</v>
      </c>
      <c r="G413" s="7" t="n">
        <v>1</v>
      </c>
      <c r="H413" s="9" t="n">
        <v>1024.37</v>
      </c>
    </row>
    <row r="414" customFormat="false" ht="15" hidden="false" customHeight="false" outlineLevel="0" collapsed="false">
      <c r="A414" s="7" t="n">
        <v>2025</v>
      </c>
      <c r="B414" s="7" t="n">
        <v>4</v>
      </c>
      <c r="C414" s="7" t="s">
        <v>40</v>
      </c>
      <c r="D414" s="7" t="s">
        <v>41</v>
      </c>
      <c r="E414" s="8" t="s">
        <v>42</v>
      </c>
      <c r="F414" s="7" t="s">
        <v>49</v>
      </c>
      <c r="G414" s="7" t="n">
        <v>3</v>
      </c>
      <c r="H414" s="9" t="n">
        <v>3385.44</v>
      </c>
    </row>
    <row r="415" customFormat="false" ht="15" hidden="false" customHeight="false" outlineLevel="0" collapsed="false">
      <c r="A415" s="7" t="n">
        <v>2025</v>
      </c>
      <c r="B415" s="7" t="n">
        <v>4</v>
      </c>
      <c r="C415" s="7" t="s">
        <v>40</v>
      </c>
      <c r="D415" s="7" t="s">
        <v>51</v>
      </c>
      <c r="E415" s="8" t="s">
        <v>52</v>
      </c>
      <c r="F415" s="7" t="s">
        <v>47</v>
      </c>
      <c r="G415" s="7" t="n">
        <v>4</v>
      </c>
      <c r="H415" s="9" t="n">
        <v>12629.22</v>
      </c>
    </row>
    <row r="416" customFormat="false" ht="15" hidden="false" customHeight="false" outlineLevel="0" collapsed="false">
      <c r="A416" s="7" t="n">
        <v>2025</v>
      </c>
      <c r="B416" s="7" t="n">
        <v>5</v>
      </c>
      <c r="C416" s="7" t="s">
        <v>40</v>
      </c>
      <c r="D416" s="7" t="s">
        <v>41</v>
      </c>
      <c r="E416" s="8" t="s">
        <v>42</v>
      </c>
      <c r="F416" s="7" t="s">
        <v>43</v>
      </c>
      <c r="G416" s="7" t="n">
        <v>2</v>
      </c>
      <c r="H416" s="9" t="n">
        <v>4660</v>
      </c>
    </row>
    <row r="417" customFormat="false" ht="15" hidden="false" customHeight="false" outlineLevel="0" collapsed="false">
      <c r="A417" s="7" t="n">
        <v>2025</v>
      </c>
      <c r="B417" s="7" t="n">
        <v>5</v>
      </c>
      <c r="C417" s="7" t="s">
        <v>40</v>
      </c>
      <c r="D417" s="7" t="s">
        <v>41</v>
      </c>
      <c r="E417" s="8" t="s">
        <v>42</v>
      </c>
      <c r="F417" s="7" t="s">
        <v>47</v>
      </c>
      <c r="G417" s="7" t="n">
        <v>1</v>
      </c>
      <c r="H417" s="9" t="n">
        <v>500</v>
      </c>
    </row>
    <row r="418" customFormat="false" ht="15" hidden="false" customHeight="false" outlineLevel="0" collapsed="false">
      <c r="A418" s="7" t="n">
        <v>2025</v>
      </c>
      <c r="B418" s="7" t="n">
        <v>5</v>
      </c>
      <c r="C418" s="7" t="s">
        <v>40</v>
      </c>
      <c r="D418" s="7" t="s">
        <v>41</v>
      </c>
      <c r="E418" s="8" t="s">
        <v>42</v>
      </c>
      <c r="F418" s="7" t="s">
        <v>49</v>
      </c>
      <c r="G418" s="7" t="n">
        <v>1</v>
      </c>
      <c r="H418" s="9" t="n">
        <v>1702</v>
      </c>
    </row>
    <row r="419" customFormat="false" ht="15" hidden="false" customHeight="false" outlineLevel="0" collapsed="false">
      <c r="A419" s="7" t="n">
        <v>2025</v>
      </c>
      <c r="B419" s="7" t="n">
        <v>5</v>
      </c>
      <c r="C419" s="7" t="s">
        <v>40</v>
      </c>
      <c r="D419" s="7" t="s">
        <v>51</v>
      </c>
      <c r="E419" s="8" t="s">
        <v>52</v>
      </c>
      <c r="F419" s="7" t="s">
        <v>47</v>
      </c>
      <c r="G419" s="7" t="n">
        <v>3</v>
      </c>
      <c r="H419" s="9" t="n">
        <v>6774.75</v>
      </c>
    </row>
    <row r="420" customFormat="false" ht="15" hidden="false" customHeight="false" outlineLevel="0" collapsed="false">
      <c r="A420" s="7" t="n">
        <v>2025</v>
      </c>
      <c r="B420" s="7" t="n">
        <v>6</v>
      </c>
      <c r="C420" s="7" t="s">
        <v>53</v>
      </c>
      <c r="D420" s="7" t="s">
        <v>54</v>
      </c>
      <c r="E420" s="8" t="s">
        <v>55</v>
      </c>
      <c r="F420" s="7" t="s">
        <v>56</v>
      </c>
      <c r="G420" s="7" t="n">
        <v>4</v>
      </c>
      <c r="H420" s="9" t="n">
        <v>9572</v>
      </c>
    </row>
    <row r="421" customFormat="false" ht="15" hidden="false" customHeight="false" outlineLevel="0" collapsed="false">
      <c r="A421" s="7" t="n">
        <v>2025</v>
      </c>
      <c r="B421" s="7" t="n">
        <v>6</v>
      </c>
      <c r="C421" s="7" t="s">
        <v>40</v>
      </c>
      <c r="D421" s="7" t="s">
        <v>41</v>
      </c>
      <c r="E421" s="8" t="s">
        <v>42</v>
      </c>
      <c r="F421" s="7" t="s">
        <v>43</v>
      </c>
      <c r="G421" s="7" t="n">
        <v>5</v>
      </c>
      <c r="H421" s="9" t="n">
        <v>4700</v>
      </c>
    </row>
    <row r="422" customFormat="false" ht="15" hidden="false" customHeight="false" outlineLevel="0" collapsed="false">
      <c r="A422" s="7" t="n">
        <v>2025</v>
      </c>
      <c r="B422" s="7" t="n">
        <v>6</v>
      </c>
      <c r="C422" s="7" t="s">
        <v>40</v>
      </c>
      <c r="D422" s="7" t="s">
        <v>41</v>
      </c>
      <c r="E422" s="8" t="s">
        <v>42</v>
      </c>
      <c r="F422" s="7" t="s">
        <v>49</v>
      </c>
      <c r="G422" s="7" t="n">
        <v>2</v>
      </c>
      <c r="H422" s="9" t="n">
        <v>2010</v>
      </c>
    </row>
    <row r="423" customFormat="false" ht="15" hidden="false" customHeight="false" outlineLevel="0" collapsed="false">
      <c r="A423" s="7" t="n">
        <v>2025</v>
      </c>
      <c r="B423" s="7" t="n">
        <v>6</v>
      </c>
      <c r="C423" s="7" t="s">
        <v>40</v>
      </c>
      <c r="D423" s="7" t="s">
        <v>51</v>
      </c>
      <c r="E423" s="8" t="s">
        <v>52</v>
      </c>
      <c r="F423" s="7" t="s">
        <v>47</v>
      </c>
      <c r="G423" s="7" t="n">
        <v>2</v>
      </c>
      <c r="H423" s="9" t="n">
        <v>2293.58</v>
      </c>
    </row>
    <row r="424" customFormat="false" ht="15" hidden="false" customHeight="false" outlineLevel="0" collapsed="false">
      <c r="A424" s="7" t="n">
        <v>2025</v>
      </c>
      <c r="B424" s="7" t="n">
        <v>7</v>
      </c>
      <c r="C424" s="7" t="s">
        <v>53</v>
      </c>
      <c r="D424" s="7" t="s">
        <v>54</v>
      </c>
      <c r="E424" s="8" t="s">
        <v>55</v>
      </c>
      <c r="F424" s="7" t="s">
        <v>56</v>
      </c>
      <c r="G424" s="7" t="n">
        <v>1</v>
      </c>
      <c r="H424" s="9" t="n">
        <v>525</v>
      </c>
    </row>
    <row r="425" customFormat="false" ht="15" hidden="false" customHeight="false" outlineLevel="0" collapsed="false">
      <c r="A425" s="7" t="n">
        <v>2025</v>
      </c>
      <c r="B425" s="7" t="n">
        <v>7</v>
      </c>
      <c r="C425" s="7" t="s">
        <v>40</v>
      </c>
      <c r="D425" s="7" t="s">
        <v>41</v>
      </c>
      <c r="E425" s="8" t="s">
        <v>42</v>
      </c>
      <c r="F425" s="7" t="s">
        <v>43</v>
      </c>
      <c r="G425" s="7" t="n">
        <v>5</v>
      </c>
      <c r="H425" s="9" t="n">
        <v>6160</v>
      </c>
    </row>
    <row r="426" customFormat="false" ht="15" hidden="false" customHeight="false" outlineLevel="0" collapsed="false">
      <c r="A426" s="7" t="n">
        <v>2025</v>
      </c>
      <c r="B426" s="7" t="n">
        <v>7</v>
      </c>
      <c r="C426" s="7" t="s">
        <v>40</v>
      </c>
      <c r="D426" s="7" t="s">
        <v>41</v>
      </c>
      <c r="E426" s="8" t="s">
        <v>42</v>
      </c>
      <c r="F426" s="7" t="s">
        <v>49</v>
      </c>
      <c r="G426" s="7" t="n">
        <v>1</v>
      </c>
      <c r="H426" s="9" t="n">
        <v>373.5</v>
      </c>
    </row>
    <row r="427" customFormat="false" ht="15" hidden="false" customHeight="false" outlineLevel="0" collapsed="false">
      <c r="A427" s="7" t="n">
        <v>2025</v>
      </c>
      <c r="B427" s="7" t="n">
        <v>7</v>
      </c>
      <c r="C427" s="7" t="s">
        <v>40</v>
      </c>
      <c r="D427" s="7" t="s">
        <v>51</v>
      </c>
      <c r="E427" s="8" t="s">
        <v>52</v>
      </c>
      <c r="F427" s="7" t="s">
        <v>47</v>
      </c>
      <c r="G427" s="7" t="n">
        <v>1</v>
      </c>
      <c r="H427" s="9" t="n">
        <v>5000</v>
      </c>
    </row>
    <row r="428" customFormat="false" ht="15" hidden="false" customHeight="false" outlineLevel="0" collapsed="false">
      <c r="A428" s="7" t="n">
        <v>2025</v>
      </c>
      <c r="B428" s="7" t="n">
        <v>8</v>
      </c>
      <c r="C428" s="7" t="s">
        <v>40</v>
      </c>
      <c r="D428" s="7" t="s">
        <v>41</v>
      </c>
      <c r="E428" s="8" t="s">
        <v>42</v>
      </c>
      <c r="F428" s="7" t="s">
        <v>43</v>
      </c>
      <c r="G428" s="7" t="n">
        <v>7</v>
      </c>
      <c r="H428" s="9" t="n">
        <v>14311</v>
      </c>
    </row>
    <row r="429" customFormat="false" ht="15" hidden="false" customHeight="false" outlineLevel="0" collapsed="false">
      <c r="A429" s="7" t="n">
        <v>2025</v>
      </c>
      <c r="B429" s="7" t="n">
        <v>8</v>
      </c>
      <c r="C429" s="7" t="s">
        <v>40</v>
      </c>
      <c r="D429" s="7" t="s">
        <v>41</v>
      </c>
      <c r="E429" s="8" t="s">
        <v>42</v>
      </c>
      <c r="F429" s="7" t="s">
        <v>47</v>
      </c>
      <c r="G429" s="7" t="n">
        <v>1</v>
      </c>
      <c r="H429" s="9" t="n">
        <v>937.73</v>
      </c>
    </row>
    <row r="430" customFormat="false" ht="15" hidden="false" customHeight="false" outlineLevel="0" collapsed="false">
      <c r="A430" s="7" t="n">
        <v>2025</v>
      </c>
      <c r="B430" s="7" t="n">
        <v>8</v>
      </c>
      <c r="C430" s="7" t="s">
        <v>40</v>
      </c>
      <c r="D430" s="7" t="s">
        <v>41</v>
      </c>
      <c r="E430" s="8" t="s">
        <v>42</v>
      </c>
      <c r="F430" s="7" t="s">
        <v>49</v>
      </c>
      <c r="G430" s="7" t="n">
        <v>2</v>
      </c>
      <c r="H430" s="9" t="n">
        <v>806</v>
      </c>
    </row>
    <row r="431" customFormat="false" ht="15" hidden="false" customHeight="false" outlineLevel="0" collapsed="false">
      <c r="A431" s="7" t="n">
        <v>2025</v>
      </c>
      <c r="B431" s="7" t="n">
        <v>9</v>
      </c>
      <c r="C431" s="7" t="s">
        <v>53</v>
      </c>
      <c r="D431" s="7" t="s">
        <v>54</v>
      </c>
      <c r="E431" s="8" t="s">
        <v>55</v>
      </c>
      <c r="F431" s="7" t="s">
        <v>56</v>
      </c>
      <c r="G431" s="7" t="n">
        <v>1</v>
      </c>
      <c r="H431" s="9" t="n">
        <v>661.5</v>
      </c>
    </row>
    <row r="432" customFormat="false" ht="15" hidden="false" customHeight="false" outlineLevel="0" collapsed="false">
      <c r="A432" s="7" t="n">
        <v>2025</v>
      </c>
      <c r="B432" s="7" t="n">
        <v>9</v>
      </c>
      <c r="C432" s="7" t="s">
        <v>40</v>
      </c>
      <c r="D432" s="7" t="s">
        <v>41</v>
      </c>
      <c r="E432" s="8" t="s">
        <v>42</v>
      </c>
      <c r="F432" s="7" t="s">
        <v>43</v>
      </c>
      <c r="G432" s="7" t="n">
        <v>5</v>
      </c>
      <c r="H432" s="9" t="n">
        <v>14760</v>
      </c>
    </row>
    <row r="433" customFormat="false" ht="15" hidden="false" customHeight="false" outlineLevel="0" collapsed="false">
      <c r="A433" s="7" t="n">
        <v>2025</v>
      </c>
      <c r="B433" s="7" t="n">
        <v>9</v>
      </c>
      <c r="C433" s="7" t="s">
        <v>40</v>
      </c>
      <c r="D433" s="7" t="s">
        <v>41</v>
      </c>
      <c r="E433" s="8" t="s">
        <v>42</v>
      </c>
      <c r="F433" s="7" t="s">
        <v>45</v>
      </c>
      <c r="G433" s="7" t="n">
        <v>1</v>
      </c>
      <c r="H433" s="9" t="n">
        <v>500</v>
      </c>
    </row>
    <row r="434" customFormat="false" ht="15" hidden="false" customHeight="false" outlineLevel="0" collapsed="false">
      <c r="A434" s="7" t="n">
        <v>2025</v>
      </c>
      <c r="B434" s="7" t="n">
        <v>9</v>
      </c>
      <c r="C434" s="7" t="s">
        <v>40</v>
      </c>
      <c r="D434" s="7" t="s">
        <v>41</v>
      </c>
      <c r="E434" s="8" t="s">
        <v>42</v>
      </c>
      <c r="F434" s="7" t="s">
        <v>47</v>
      </c>
      <c r="G434" s="7" t="n">
        <v>2</v>
      </c>
      <c r="H434" s="9" t="n">
        <v>4573.3</v>
      </c>
    </row>
    <row r="435" customFormat="false" ht="15" hidden="false" customHeight="false" outlineLevel="0" collapsed="false">
      <c r="A435" s="7" t="n">
        <v>2025</v>
      </c>
      <c r="B435" s="7" t="n">
        <v>9</v>
      </c>
      <c r="C435" s="7" t="s">
        <v>40</v>
      </c>
      <c r="D435" s="7" t="s">
        <v>51</v>
      </c>
      <c r="E435" s="8" t="s">
        <v>52</v>
      </c>
      <c r="F435" s="7" t="s">
        <v>43</v>
      </c>
      <c r="G435" s="7" t="n">
        <v>1</v>
      </c>
      <c r="H435" s="9" t="n">
        <v>700</v>
      </c>
    </row>
    <row r="436" customFormat="false" ht="15" hidden="false" customHeight="false" outlineLevel="0" collapsed="false">
      <c r="A436" s="7" t="n">
        <v>2025</v>
      </c>
      <c r="B436" s="7" t="n">
        <v>9</v>
      </c>
      <c r="C436" s="7" t="s">
        <v>40</v>
      </c>
      <c r="D436" s="7" t="s">
        <v>54</v>
      </c>
      <c r="E436" s="8" t="s">
        <v>55</v>
      </c>
      <c r="F436" s="7" t="s">
        <v>47</v>
      </c>
      <c r="G436" s="7" t="n">
        <v>1</v>
      </c>
      <c r="H436" s="9" t="n">
        <v>222.96</v>
      </c>
    </row>
    <row r="437" customFormat="false" ht="15" hidden="false" customHeight="false" outlineLevel="0" collapsed="false">
      <c r="A437" s="7" t="n">
        <v>2025</v>
      </c>
      <c r="B437" s="7" t="n">
        <v>10</v>
      </c>
      <c r="C437" s="7" t="s">
        <v>53</v>
      </c>
      <c r="D437" s="7" t="s">
        <v>54</v>
      </c>
      <c r="E437" s="8" t="s">
        <v>55</v>
      </c>
      <c r="F437" s="7" t="s">
        <v>56</v>
      </c>
      <c r="G437" s="7" t="n">
        <v>2</v>
      </c>
      <c r="H437" s="9" t="n">
        <v>1165.5</v>
      </c>
    </row>
    <row r="438" customFormat="false" ht="15" hidden="false" customHeight="false" outlineLevel="0" collapsed="false">
      <c r="A438" s="7" t="n">
        <v>2025</v>
      </c>
      <c r="B438" s="7" t="n">
        <v>10</v>
      </c>
      <c r="C438" s="7" t="s">
        <v>40</v>
      </c>
      <c r="D438" s="7" t="s">
        <v>41</v>
      </c>
      <c r="E438" s="8" t="s">
        <v>42</v>
      </c>
      <c r="F438" s="7" t="s">
        <v>43</v>
      </c>
      <c r="G438" s="7" t="n">
        <v>4</v>
      </c>
      <c r="H438" s="9" t="n">
        <v>6044</v>
      </c>
    </row>
    <row r="439" customFormat="false" ht="15" hidden="false" customHeight="false" outlineLevel="0" collapsed="false">
      <c r="A439" s="7" t="n">
        <v>2025</v>
      </c>
      <c r="B439" s="7" t="n">
        <v>10</v>
      </c>
      <c r="C439" s="7" t="s">
        <v>40</v>
      </c>
      <c r="D439" s="7" t="s">
        <v>41</v>
      </c>
      <c r="E439" s="8" t="s">
        <v>42</v>
      </c>
      <c r="F439" s="7" t="s">
        <v>45</v>
      </c>
      <c r="G439" s="7" t="n">
        <v>1</v>
      </c>
      <c r="H439" s="9" t="n">
        <v>400</v>
      </c>
    </row>
    <row r="440" customFormat="false" ht="15" hidden="false" customHeight="false" outlineLevel="0" collapsed="false">
      <c r="A440" s="7" t="n">
        <v>2025</v>
      </c>
      <c r="B440" s="7" t="n">
        <v>10</v>
      </c>
      <c r="C440" s="7" t="s">
        <v>40</v>
      </c>
      <c r="D440" s="7" t="s">
        <v>41</v>
      </c>
      <c r="E440" s="8" t="s">
        <v>42</v>
      </c>
      <c r="F440" s="7" t="s">
        <v>58</v>
      </c>
      <c r="G440" s="7" t="n">
        <v>1</v>
      </c>
      <c r="H440" s="9" t="n">
        <v>125</v>
      </c>
    </row>
    <row r="441" customFormat="false" ht="15" hidden="false" customHeight="false" outlineLevel="0" collapsed="false">
      <c r="A441" s="7" t="n">
        <v>2025</v>
      </c>
      <c r="B441" s="7" t="n">
        <v>10</v>
      </c>
      <c r="C441" s="7" t="s">
        <v>40</v>
      </c>
      <c r="D441" s="7" t="s">
        <v>41</v>
      </c>
      <c r="E441" s="8" t="s">
        <v>42</v>
      </c>
      <c r="F441" s="7" t="s">
        <v>49</v>
      </c>
      <c r="G441" s="7" t="n">
        <v>2</v>
      </c>
      <c r="H441" s="9" t="n">
        <v>2796.53</v>
      </c>
    </row>
    <row r="442" customFormat="false" ht="15" hidden="false" customHeight="false" outlineLevel="0" collapsed="false">
      <c r="A442" s="7" t="n">
        <v>2025</v>
      </c>
      <c r="B442" s="7" t="n">
        <v>10</v>
      </c>
      <c r="C442" s="7" t="s">
        <v>40</v>
      </c>
      <c r="D442" s="7" t="s">
        <v>51</v>
      </c>
      <c r="E442" s="8" t="s">
        <v>52</v>
      </c>
      <c r="F442" s="7" t="s">
        <v>47</v>
      </c>
      <c r="G442" s="7" t="n">
        <v>1</v>
      </c>
      <c r="H442" s="9" t="n">
        <v>3203.9</v>
      </c>
    </row>
    <row r="443" customFormat="false" ht="15" hidden="false" customHeight="false" outlineLevel="0" collapsed="false">
      <c r="A443" s="7" t="n">
        <v>2025</v>
      </c>
      <c r="B443" s="7" t="n">
        <v>11</v>
      </c>
      <c r="C443" s="7" t="s">
        <v>40</v>
      </c>
      <c r="D443" s="7" t="s">
        <v>41</v>
      </c>
      <c r="E443" s="8" t="s">
        <v>42</v>
      </c>
      <c r="F443" s="7" t="s">
        <v>43</v>
      </c>
      <c r="G443" s="7" t="n">
        <v>8</v>
      </c>
      <c r="H443" s="9" t="n">
        <v>4023</v>
      </c>
    </row>
    <row r="444" customFormat="false" ht="15" hidden="false" customHeight="false" outlineLevel="0" collapsed="false">
      <c r="A444" s="7" t="n">
        <v>2025</v>
      </c>
      <c r="B444" s="7" t="n">
        <v>11</v>
      </c>
      <c r="C444" s="7" t="s">
        <v>40</v>
      </c>
      <c r="D444" s="7" t="s">
        <v>41</v>
      </c>
      <c r="E444" s="8" t="s">
        <v>42</v>
      </c>
      <c r="F444" s="7" t="s">
        <v>47</v>
      </c>
      <c r="G444" s="7" t="n">
        <v>1</v>
      </c>
      <c r="H444" s="9" t="n">
        <v>500</v>
      </c>
    </row>
    <row r="445" customFormat="false" ht="15" hidden="false" customHeight="false" outlineLevel="0" collapsed="false">
      <c r="A445" s="7" t="n">
        <v>2025</v>
      </c>
      <c r="B445" s="7" t="n">
        <v>11</v>
      </c>
      <c r="C445" s="7" t="s">
        <v>40</v>
      </c>
      <c r="D445" s="7" t="s">
        <v>41</v>
      </c>
      <c r="E445" s="8" t="s">
        <v>42</v>
      </c>
      <c r="F445" s="7" t="s">
        <v>49</v>
      </c>
      <c r="G445" s="7" t="n">
        <v>3</v>
      </c>
      <c r="H445" s="9" t="n">
        <v>4139.42</v>
      </c>
    </row>
    <row r="446" customFormat="false" ht="15" hidden="false" customHeight="false" outlineLevel="0" collapsed="false">
      <c r="A446" s="7" t="n">
        <v>2025</v>
      </c>
      <c r="B446" s="7" t="n">
        <v>12</v>
      </c>
      <c r="C446" s="7" t="s">
        <v>40</v>
      </c>
      <c r="D446" s="7" t="s">
        <v>41</v>
      </c>
      <c r="E446" s="8" t="s">
        <v>42</v>
      </c>
      <c r="F446" s="7" t="s">
        <v>43</v>
      </c>
      <c r="G446" s="7" t="n">
        <v>8</v>
      </c>
      <c r="H446" s="9" t="n">
        <v>14170</v>
      </c>
    </row>
    <row r="447" customFormat="false" ht="15" hidden="false" customHeight="false" outlineLevel="0" collapsed="false">
      <c r="A447" s="7" t="n">
        <v>2025</v>
      </c>
      <c r="B447" s="7" t="n">
        <v>12</v>
      </c>
      <c r="C447" s="7" t="s">
        <v>40</v>
      </c>
      <c r="D447" s="7" t="s">
        <v>41</v>
      </c>
      <c r="E447" s="8" t="s">
        <v>42</v>
      </c>
      <c r="F447" s="7" t="s">
        <v>45</v>
      </c>
      <c r="G447" s="7" t="n">
        <v>1</v>
      </c>
      <c r="H447" s="9" t="n">
        <v>400</v>
      </c>
    </row>
    <row r="448" customFormat="false" ht="15" hidden="false" customHeight="false" outlineLevel="0" collapsed="false">
      <c r="A448" s="7" t="n">
        <v>2025</v>
      </c>
      <c r="B448" s="7" t="n">
        <v>12</v>
      </c>
      <c r="C448" s="7" t="s">
        <v>40</v>
      </c>
      <c r="D448" s="7" t="s">
        <v>41</v>
      </c>
      <c r="E448" s="8" t="s">
        <v>42</v>
      </c>
      <c r="F448" s="7" t="s">
        <v>58</v>
      </c>
      <c r="G448" s="7" t="n">
        <v>1</v>
      </c>
      <c r="H448" s="9" t="n">
        <v>933</v>
      </c>
    </row>
    <row r="449" customFormat="false" ht="15" hidden="false" customHeight="false" outlineLevel="0" collapsed="false">
      <c r="A449" s="7" t="n">
        <v>2025</v>
      </c>
      <c r="B449" s="7" t="n">
        <v>12</v>
      </c>
      <c r="C449" s="7" t="s">
        <v>40</v>
      </c>
      <c r="D449" s="7" t="s">
        <v>41</v>
      </c>
      <c r="E449" s="8" t="s">
        <v>42</v>
      </c>
      <c r="F449" s="7" t="s">
        <v>49</v>
      </c>
      <c r="G449" s="7" t="n">
        <v>4</v>
      </c>
      <c r="H449" s="9" t="n">
        <v>3106.57</v>
      </c>
    </row>
    <row r="450" customFormat="false" ht="15" hidden="false" customHeight="false" outlineLevel="0" collapsed="false">
      <c r="A450" s="7" t="n">
        <v>2025</v>
      </c>
      <c r="B450" s="7" t="n">
        <v>12</v>
      </c>
      <c r="C450" s="7" t="s">
        <v>40</v>
      </c>
      <c r="D450" s="7" t="s">
        <v>51</v>
      </c>
      <c r="E450" s="8" t="s">
        <v>52</v>
      </c>
      <c r="F450" s="7" t="s">
        <v>43</v>
      </c>
      <c r="G450" s="7" t="n">
        <v>1</v>
      </c>
      <c r="H450" s="9" t="n">
        <v>650</v>
      </c>
    </row>
    <row r="451" customFormat="false" ht="15" hidden="false" customHeight="false" outlineLevel="0" collapsed="false">
      <c r="A451" s="7" t="n">
        <v>2025</v>
      </c>
      <c r="B451" s="7" t="n">
        <v>12</v>
      </c>
      <c r="C451" s="7" t="s">
        <v>40</v>
      </c>
      <c r="D451" s="7" t="s">
        <v>51</v>
      </c>
      <c r="E451" s="8" t="s">
        <v>52</v>
      </c>
      <c r="F451" s="7" t="s">
        <v>47</v>
      </c>
      <c r="G451" s="7" t="n">
        <v>4</v>
      </c>
      <c r="H451" s="9" t="n">
        <v>9066.78</v>
      </c>
    </row>
    <row r="452" customFormat="false" ht="15" hidden="false" customHeight="false" outlineLevel="0" collapsed="false">
      <c r="A452" s="7" t="n">
        <v>2026</v>
      </c>
      <c r="B452" s="7" t="n">
        <v>1</v>
      </c>
      <c r="C452" s="7" t="s">
        <v>40</v>
      </c>
      <c r="D452" s="7" t="s">
        <v>41</v>
      </c>
      <c r="E452" s="8" t="s">
        <v>42</v>
      </c>
      <c r="F452" s="7" t="s">
        <v>59</v>
      </c>
      <c r="G452" s="7" t="n">
        <v>2</v>
      </c>
      <c r="H452" s="9" t="n">
        <v>0.3</v>
      </c>
    </row>
    <row r="453" customFormat="false" ht="15" hidden="false" customHeight="false" outlineLevel="0" collapsed="false">
      <c r="A453" s="7" t="n">
        <v>2026</v>
      </c>
      <c r="B453" s="7" t="n">
        <v>1</v>
      </c>
      <c r="C453" s="7" t="s">
        <v>40</v>
      </c>
      <c r="D453" s="7" t="s">
        <v>41</v>
      </c>
      <c r="E453" s="8" t="s">
        <v>42</v>
      </c>
      <c r="F453" s="7" t="s">
        <v>43</v>
      </c>
      <c r="G453" s="7" t="n">
        <v>5</v>
      </c>
      <c r="H453" s="9" t="n">
        <v>1870.5</v>
      </c>
    </row>
    <row r="454" customFormat="false" ht="15" hidden="false" customHeight="false" outlineLevel="0" collapsed="false">
      <c r="A454" s="7" t="n">
        <v>2026</v>
      </c>
      <c r="B454" s="7" t="n">
        <v>1</v>
      </c>
      <c r="C454" s="7" t="s">
        <v>40</v>
      </c>
      <c r="D454" s="7" t="s">
        <v>41</v>
      </c>
      <c r="E454" s="8" t="s">
        <v>42</v>
      </c>
      <c r="F454" s="7" t="s">
        <v>45</v>
      </c>
      <c r="G454" s="7" t="n">
        <v>1</v>
      </c>
      <c r="H454" s="9" t="n">
        <v>500</v>
      </c>
    </row>
    <row r="455" customFormat="false" ht="15" hidden="false" customHeight="false" outlineLevel="0" collapsed="false">
      <c r="A455" s="7" t="n">
        <v>2026</v>
      </c>
      <c r="B455" s="7" t="n">
        <v>1</v>
      </c>
      <c r="C455" s="7" t="s">
        <v>40</v>
      </c>
      <c r="D455" s="7" t="s">
        <v>41</v>
      </c>
      <c r="E455" s="8" t="s">
        <v>42</v>
      </c>
      <c r="F455" s="7" t="s">
        <v>61</v>
      </c>
      <c r="G455" s="7" t="n">
        <v>1</v>
      </c>
      <c r="H455" s="9" t="n">
        <v>0.3</v>
      </c>
    </row>
    <row r="456" customFormat="false" ht="15" hidden="false" customHeight="false" outlineLevel="0" collapsed="false">
      <c r="A456" s="7" t="n">
        <v>2026</v>
      </c>
      <c r="B456" s="7" t="n">
        <v>1</v>
      </c>
      <c r="C456" s="7" t="s">
        <v>40</v>
      </c>
      <c r="D456" s="7" t="s">
        <v>41</v>
      </c>
      <c r="E456" s="8" t="s">
        <v>42</v>
      </c>
      <c r="F456" s="7" t="s">
        <v>47</v>
      </c>
      <c r="G456" s="7" t="n">
        <v>14</v>
      </c>
      <c r="H456" s="9" t="n">
        <v>2.2</v>
      </c>
    </row>
    <row r="457" customFormat="false" ht="15" hidden="false" customHeight="false" outlineLevel="0" collapsed="false">
      <c r="A457" s="7" t="n">
        <v>2026</v>
      </c>
      <c r="B457" s="7" t="n">
        <v>1</v>
      </c>
      <c r="C457" s="7" t="s">
        <v>40</v>
      </c>
      <c r="D457" s="7" t="s">
        <v>41</v>
      </c>
      <c r="E457" s="8" t="s">
        <v>42</v>
      </c>
      <c r="F457" s="7" t="s">
        <v>49</v>
      </c>
      <c r="G457" s="7" t="n">
        <v>1</v>
      </c>
      <c r="H457" s="9" t="n">
        <v>1350</v>
      </c>
    </row>
    <row r="458" customFormat="false" ht="15" hidden="false" customHeight="false" outlineLevel="0" collapsed="false">
      <c r="A458" s="7" t="n">
        <v>2026</v>
      </c>
      <c r="B458" s="7" t="n">
        <v>1</v>
      </c>
      <c r="C458" s="7" t="s">
        <v>40</v>
      </c>
      <c r="D458" s="7" t="s">
        <v>51</v>
      </c>
      <c r="E458" s="8" t="s">
        <v>52</v>
      </c>
      <c r="F458" s="7" t="s">
        <v>47</v>
      </c>
      <c r="G458" s="7" t="n">
        <v>2</v>
      </c>
      <c r="H458" s="9" t="n">
        <v>4000</v>
      </c>
    </row>
    <row r="459" customFormat="false" ht="15" hidden="false" customHeight="false" outlineLevel="0" collapsed="false">
      <c r="A459" s="7" t="n">
        <v>2026</v>
      </c>
      <c r="B459" s="7" t="n">
        <v>2</v>
      </c>
      <c r="C459" s="7" t="s">
        <v>40</v>
      </c>
      <c r="D459" s="7" t="s">
        <v>41</v>
      </c>
      <c r="E459" s="8" t="s">
        <v>42</v>
      </c>
      <c r="F459" s="7" t="s">
        <v>59</v>
      </c>
      <c r="G459" s="7" t="n">
        <v>4</v>
      </c>
      <c r="H459" s="9" t="n">
        <v>0.5</v>
      </c>
    </row>
    <row r="460" customFormat="false" ht="15" hidden="false" customHeight="false" outlineLevel="0" collapsed="false">
      <c r="A460" s="7" t="n">
        <v>2026</v>
      </c>
      <c r="B460" s="7" t="n">
        <v>2</v>
      </c>
      <c r="C460" s="7" t="s">
        <v>40</v>
      </c>
      <c r="D460" s="7" t="s">
        <v>41</v>
      </c>
      <c r="E460" s="8" t="s">
        <v>42</v>
      </c>
      <c r="F460" s="7" t="s">
        <v>43</v>
      </c>
      <c r="G460" s="7" t="n">
        <v>3</v>
      </c>
      <c r="H460" s="9" t="n">
        <v>5161.2</v>
      </c>
    </row>
    <row r="461" customFormat="false" ht="15" hidden="false" customHeight="false" outlineLevel="0" collapsed="false">
      <c r="A461" s="7" t="n">
        <v>2026</v>
      </c>
      <c r="B461" s="7" t="n">
        <v>2</v>
      </c>
      <c r="C461" s="7" t="s">
        <v>40</v>
      </c>
      <c r="D461" s="7" t="s">
        <v>41</v>
      </c>
      <c r="E461" s="8" t="s">
        <v>42</v>
      </c>
      <c r="F461" s="7" t="s">
        <v>47</v>
      </c>
      <c r="G461" s="7" t="n">
        <v>10</v>
      </c>
      <c r="H461" s="9" t="n">
        <v>1.1</v>
      </c>
    </row>
    <row r="462" customFormat="false" ht="15" hidden="false" customHeight="false" outlineLevel="0" collapsed="false">
      <c r="A462" s="7" t="n">
        <v>2026</v>
      </c>
      <c r="B462" s="7" t="n">
        <v>2</v>
      </c>
      <c r="C462" s="7" t="s">
        <v>40</v>
      </c>
      <c r="D462" s="7" t="s">
        <v>41</v>
      </c>
      <c r="E462" s="8" t="s">
        <v>42</v>
      </c>
      <c r="F462" s="7" t="s">
        <v>49</v>
      </c>
      <c r="G462" s="7" t="n">
        <v>3</v>
      </c>
      <c r="H462" s="9" t="n">
        <v>3755.6</v>
      </c>
    </row>
    <row r="463" customFormat="false" ht="15" hidden="false" customHeight="false" outlineLevel="0" collapsed="false">
      <c r="A463" s="7" t="n">
        <v>2026</v>
      </c>
      <c r="B463" s="7" t="n">
        <v>2</v>
      </c>
      <c r="C463" s="7" t="s">
        <v>40</v>
      </c>
      <c r="D463" s="7" t="s">
        <v>51</v>
      </c>
      <c r="E463" s="8" t="s">
        <v>52</v>
      </c>
      <c r="F463" s="7" t="s">
        <v>47</v>
      </c>
      <c r="G463" s="7" t="n">
        <v>3</v>
      </c>
      <c r="H463" s="9" t="n">
        <v>9279</v>
      </c>
    </row>
    <row r="464" customFormat="false" ht="15" hidden="false" customHeight="false" outlineLevel="0" collapsed="false">
      <c r="A464" s="7" t="n">
        <v>2026</v>
      </c>
      <c r="B464" s="7" t="n">
        <v>3</v>
      </c>
      <c r="C464" s="7" t="s">
        <v>53</v>
      </c>
      <c r="D464" s="7" t="s">
        <v>41</v>
      </c>
      <c r="E464" s="8" t="s">
        <v>42</v>
      </c>
      <c r="F464" s="7" t="s">
        <v>45</v>
      </c>
      <c r="G464" s="7" t="n">
        <v>1</v>
      </c>
      <c r="H464" s="9" t="n">
        <v>2125.6</v>
      </c>
    </row>
    <row r="465" customFormat="false" ht="15" hidden="false" customHeight="false" outlineLevel="0" collapsed="false">
      <c r="A465" s="7" t="n">
        <v>2026</v>
      </c>
      <c r="B465" s="7" t="n">
        <v>3</v>
      </c>
      <c r="C465" s="7" t="s">
        <v>40</v>
      </c>
      <c r="D465" s="7" t="s">
        <v>41</v>
      </c>
      <c r="E465" s="8" t="s">
        <v>42</v>
      </c>
      <c r="F465" s="7" t="s">
        <v>59</v>
      </c>
      <c r="G465" s="7" t="n">
        <v>1</v>
      </c>
      <c r="H465" s="9" t="n">
        <v>0.1</v>
      </c>
    </row>
    <row r="466" customFormat="false" ht="15" hidden="false" customHeight="false" outlineLevel="0" collapsed="false">
      <c r="A466" s="7" t="n">
        <v>2026</v>
      </c>
      <c r="B466" s="7" t="n">
        <v>3</v>
      </c>
      <c r="C466" s="7" t="s">
        <v>40</v>
      </c>
      <c r="D466" s="7" t="s">
        <v>41</v>
      </c>
      <c r="E466" s="8" t="s">
        <v>42</v>
      </c>
      <c r="F466" s="7" t="s">
        <v>43</v>
      </c>
      <c r="G466" s="7" t="n">
        <v>2</v>
      </c>
      <c r="H466" s="9" t="n">
        <v>1160</v>
      </c>
    </row>
    <row r="467" customFormat="false" ht="15" hidden="false" customHeight="false" outlineLevel="0" collapsed="false">
      <c r="A467" s="7" t="n">
        <v>2026</v>
      </c>
      <c r="B467" s="7" t="n">
        <v>3</v>
      </c>
      <c r="C467" s="7" t="s">
        <v>40</v>
      </c>
      <c r="D467" s="7" t="s">
        <v>41</v>
      </c>
      <c r="E467" s="8" t="s">
        <v>42</v>
      </c>
      <c r="F467" s="7" t="s">
        <v>45</v>
      </c>
      <c r="G467" s="7" t="n">
        <v>1</v>
      </c>
      <c r="H467" s="9" t="n">
        <v>400</v>
      </c>
    </row>
    <row r="468" customFormat="false" ht="15" hidden="false" customHeight="false" outlineLevel="0" collapsed="false">
      <c r="A468" s="7" t="n">
        <v>2026</v>
      </c>
      <c r="B468" s="7" t="n">
        <v>3</v>
      </c>
      <c r="C468" s="7" t="s">
        <v>40</v>
      </c>
      <c r="D468" s="7" t="s">
        <v>41</v>
      </c>
      <c r="E468" s="8" t="s">
        <v>42</v>
      </c>
      <c r="F468" s="7" t="s">
        <v>47</v>
      </c>
      <c r="G468" s="7" t="n">
        <v>15</v>
      </c>
      <c r="H468" s="9" t="n">
        <v>926</v>
      </c>
    </row>
    <row r="469" customFormat="false" ht="15" hidden="false" customHeight="false" outlineLevel="0" collapsed="false">
      <c r="A469" s="7" t="n">
        <v>2026</v>
      </c>
      <c r="B469" s="7" t="n">
        <v>3</v>
      </c>
      <c r="C469" s="7" t="s">
        <v>40</v>
      </c>
      <c r="D469" s="7" t="s">
        <v>41</v>
      </c>
      <c r="E469" s="8" t="s">
        <v>42</v>
      </c>
      <c r="F469" s="7" t="s">
        <v>49</v>
      </c>
      <c r="G469" s="7" t="n">
        <v>7</v>
      </c>
      <c r="H469" s="9" t="n">
        <v>8222</v>
      </c>
    </row>
    <row r="470" customFormat="false" ht="15" hidden="false" customHeight="false" outlineLevel="0" collapsed="false">
      <c r="A470" s="7" t="n">
        <v>2026</v>
      </c>
      <c r="B470" s="7" t="n">
        <v>3</v>
      </c>
      <c r="C470" s="7" t="s">
        <v>40</v>
      </c>
      <c r="D470" s="7" t="s">
        <v>41</v>
      </c>
      <c r="E470" s="8" t="s">
        <v>42</v>
      </c>
      <c r="F470" s="7" t="s">
        <v>56</v>
      </c>
      <c r="G470" s="7" t="n">
        <v>2</v>
      </c>
      <c r="H470" s="9" t="n">
        <v>0.5</v>
      </c>
    </row>
    <row r="471" customFormat="false" ht="15" hidden="false" customHeight="false" outlineLevel="0" collapsed="false">
      <c r="A471" s="7" t="n">
        <v>2026</v>
      </c>
      <c r="B471" s="7" t="n">
        <v>3</v>
      </c>
      <c r="C471" s="7" t="s">
        <v>40</v>
      </c>
      <c r="D471" s="7" t="s">
        <v>51</v>
      </c>
      <c r="E471" s="8" t="s">
        <v>52</v>
      </c>
      <c r="F471" s="7" t="s">
        <v>47</v>
      </c>
      <c r="G471" s="7" t="n">
        <v>5</v>
      </c>
      <c r="H471" s="9" t="n">
        <v>20203.4</v>
      </c>
    </row>
    <row r="472" customFormat="false" ht="15" hidden="false" customHeight="false" outlineLevel="0" collapsed="false">
      <c r="A472" s="7" t="n">
        <v>2026</v>
      </c>
      <c r="B472" s="7" t="n">
        <v>4</v>
      </c>
      <c r="C472" s="7" t="s">
        <v>40</v>
      </c>
      <c r="D472" s="7" t="s">
        <v>41</v>
      </c>
      <c r="E472" s="8" t="s">
        <v>42</v>
      </c>
      <c r="F472" s="7" t="s">
        <v>59</v>
      </c>
      <c r="G472" s="7" t="n">
        <v>1</v>
      </c>
      <c r="H472" s="9" t="n">
        <v>0.1</v>
      </c>
    </row>
    <row r="473" customFormat="false" ht="15" hidden="false" customHeight="false" outlineLevel="0" collapsed="false">
      <c r="A473" s="7" t="n">
        <v>2026</v>
      </c>
      <c r="B473" s="7" t="n">
        <v>4</v>
      </c>
      <c r="C473" s="7" t="s">
        <v>40</v>
      </c>
      <c r="D473" s="7" t="s">
        <v>41</v>
      </c>
      <c r="E473" s="8" t="s">
        <v>42</v>
      </c>
      <c r="F473" s="7" t="s">
        <v>43</v>
      </c>
      <c r="G473" s="7" t="n">
        <v>9</v>
      </c>
      <c r="H473" s="9" t="n">
        <v>12696</v>
      </c>
    </row>
    <row r="474" customFormat="false" ht="15" hidden="false" customHeight="false" outlineLevel="0" collapsed="false">
      <c r="A474" s="7" t="n">
        <v>2026</v>
      </c>
      <c r="B474" s="7" t="n">
        <v>4</v>
      </c>
      <c r="C474" s="7" t="s">
        <v>40</v>
      </c>
      <c r="D474" s="7" t="s">
        <v>41</v>
      </c>
      <c r="E474" s="8" t="s">
        <v>42</v>
      </c>
      <c r="F474" s="7" t="s">
        <v>45</v>
      </c>
      <c r="G474" s="7" t="n">
        <v>1</v>
      </c>
      <c r="H474" s="9" t="n">
        <v>400</v>
      </c>
    </row>
    <row r="475" customFormat="false" ht="15" hidden="false" customHeight="false" outlineLevel="0" collapsed="false">
      <c r="A475" s="7" t="n">
        <v>2026</v>
      </c>
      <c r="B475" s="7" t="n">
        <v>4</v>
      </c>
      <c r="C475" s="7" t="s">
        <v>40</v>
      </c>
      <c r="D475" s="7" t="s">
        <v>41</v>
      </c>
      <c r="E475" s="8" t="s">
        <v>42</v>
      </c>
      <c r="F475" s="7" t="s">
        <v>47</v>
      </c>
      <c r="G475" s="7" t="n">
        <v>30</v>
      </c>
      <c r="H475" s="9" t="n">
        <v>775.3</v>
      </c>
    </row>
    <row r="476" customFormat="false" ht="15" hidden="false" customHeight="false" outlineLevel="0" collapsed="false">
      <c r="A476" s="7" t="n">
        <v>2026</v>
      </c>
      <c r="B476" s="7" t="n">
        <v>4</v>
      </c>
      <c r="C476" s="7" t="s">
        <v>40</v>
      </c>
      <c r="D476" s="7" t="s">
        <v>41</v>
      </c>
      <c r="E476" s="8" t="s">
        <v>42</v>
      </c>
      <c r="F476" s="7" t="s">
        <v>49</v>
      </c>
      <c r="G476" s="7" t="n">
        <v>6</v>
      </c>
      <c r="H476" s="9" t="n">
        <v>5620.2</v>
      </c>
    </row>
    <row r="477" customFormat="false" ht="15" hidden="false" customHeight="false" outlineLevel="0" collapsed="false">
      <c r="A477" s="7" t="n">
        <v>2026</v>
      </c>
      <c r="B477" s="7" t="n">
        <v>4</v>
      </c>
      <c r="C477" s="7" t="s">
        <v>40</v>
      </c>
      <c r="D477" s="7" t="s">
        <v>41</v>
      </c>
      <c r="E477" s="8" t="s">
        <v>42</v>
      </c>
      <c r="F477" s="7" t="s">
        <v>56</v>
      </c>
      <c r="G477" s="7" t="n">
        <v>1</v>
      </c>
      <c r="H477" s="9" t="n">
        <v>0.1</v>
      </c>
    </row>
    <row r="478" customFormat="false" ht="15" hidden="false" customHeight="false" outlineLevel="0" collapsed="false">
      <c r="A478" s="7" t="n">
        <v>2026</v>
      </c>
      <c r="B478" s="7" t="n">
        <v>4</v>
      </c>
      <c r="C478" s="7" t="s">
        <v>40</v>
      </c>
      <c r="D478" s="7" t="s">
        <v>51</v>
      </c>
      <c r="E478" s="8" t="s">
        <v>52</v>
      </c>
      <c r="F478" s="7" t="s">
        <v>47</v>
      </c>
      <c r="G478" s="7" t="n">
        <v>3</v>
      </c>
      <c r="H478" s="9" t="n">
        <v>8413.5</v>
      </c>
    </row>
    <row r="479" customFormat="false" ht="15" hidden="false" customHeight="false" outlineLevel="0" collapsed="false">
      <c r="A479" s="7" t="n">
        <v>2026</v>
      </c>
      <c r="B479" s="7" t="n">
        <v>5</v>
      </c>
      <c r="C479" s="7" t="s">
        <v>40</v>
      </c>
      <c r="D479" s="7" t="s">
        <v>41</v>
      </c>
      <c r="E479" s="8" t="s">
        <v>42</v>
      </c>
      <c r="F479" s="7" t="s">
        <v>59</v>
      </c>
      <c r="G479" s="7" t="n">
        <v>3</v>
      </c>
      <c r="H479" s="9" t="n">
        <v>0.3</v>
      </c>
    </row>
    <row r="480" customFormat="false" ht="15" hidden="false" customHeight="false" outlineLevel="0" collapsed="false">
      <c r="A480" s="7" t="n">
        <v>2026</v>
      </c>
      <c r="B480" s="7" t="n">
        <v>5</v>
      </c>
      <c r="C480" s="7" t="s">
        <v>40</v>
      </c>
      <c r="D480" s="7" t="s">
        <v>41</v>
      </c>
      <c r="E480" s="8" t="s">
        <v>42</v>
      </c>
      <c r="F480" s="7" t="s">
        <v>43</v>
      </c>
      <c r="G480" s="7" t="n">
        <v>9</v>
      </c>
      <c r="H480" s="9" t="n">
        <v>9137</v>
      </c>
    </row>
    <row r="481" customFormat="false" ht="15" hidden="false" customHeight="false" outlineLevel="0" collapsed="false">
      <c r="A481" s="7" t="n">
        <v>2026</v>
      </c>
      <c r="B481" s="7" t="n">
        <v>5</v>
      </c>
      <c r="C481" s="7" t="s">
        <v>40</v>
      </c>
      <c r="D481" s="7" t="s">
        <v>41</v>
      </c>
      <c r="E481" s="8" t="s">
        <v>42</v>
      </c>
      <c r="F481" s="7" t="s">
        <v>47</v>
      </c>
      <c r="G481" s="7" t="n">
        <v>47</v>
      </c>
      <c r="H481" s="9" t="n">
        <v>973.7</v>
      </c>
    </row>
    <row r="482" customFormat="false" ht="15" hidden="false" customHeight="false" outlineLevel="0" collapsed="false">
      <c r="A482" s="7" t="n">
        <v>2026</v>
      </c>
      <c r="B482" s="7" t="n">
        <v>5</v>
      </c>
      <c r="C482" s="7" t="s">
        <v>40</v>
      </c>
      <c r="D482" s="7" t="s">
        <v>41</v>
      </c>
      <c r="E482" s="8" t="s">
        <v>42</v>
      </c>
      <c r="F482" s="7" t="s">
        <v>49</v>
      </c>
      <c r="G482" s="7" t="n">
        <v>3</v>
      </c>
      <c r="H482" s="9" t="n">
        <v>1875</v>
      </c>
    </row>
    <row r="483" customFormat="false" ht="15" hidden="false" customHeight="false" outlineLevel="0" collapsed="false">
      <c r="A483" s="7" t="n">
        <v>2026</v>
      </c>
      <c r="B483" s="7" t="n">
        <v>5</v>
      </c>
      <c r="C483" s="7" t="s">
        <v>40</v>
      </c>
      <c r="D483" s="7" t="s">
        <v>41</v>
      </c>
      <c r="E483" s="8" t="s">
        <v>42</v>
      </c>
      <c r="F483" s="7" t="s">
        <v>56</v>
      </c>
      <c r="G483" s="7" t="n">
        <v>2</v>
      </c>
      <c r="H483" s="9" t="n">
        <v>1.2</v>
      </c>
    </row>
    <row r="484" customFormat="false" ht="15" hidden="false" customHeight="false" outlineLevel="0" collapsed="false">
      <c r="A484" s="7" t="n">
        <v>2026</v>
      </c>
      <c r="B484" s="7" t="n">
        <v>5</v>
      </c>
      <c r="C484" s="7" t="s">
        <v>40</v>
      </c>
      <c r="D484" s="7" t="s">
        <v>51</v>
      </c>
      <c r="E484" s="8" t="s">
        <v>52</v>
      </c>
      <c r="F484" s="7" t="s">
        <v>47</v>
      </c>
      <c r="G484" s="7" t="n">
        <v>2</v>
      </c>
      <c r="H484" s="9" t="n">
        <v>3682</v>
      </c>
    </row>
    <row r="485" customFormat="false" ht="15" hidden="false" customHeight="false" outlineLevel="0" collapsed="false">
      <c r="A485" s="7" t="n">
        <v>2026</v>
      </c>
      <c r="B485" s="7" t="n">
        <v>6</v>
      </c>
      <c r="C485" s="7" t="s">
        <v>40</v>
      </c>
      <c r="D485" s="7" t="s">
        <v>41</v>
      </c>
      <c r="E485" s="8" t="s">
        <v>42</v>
      </c>
      <c r="F485" s="7" t="s">
        <v>59</v>
      </c>
      <c r="G485" s="7" t="n">
        <v>2</v>
      </c>
      <c r="H485" s="9" t="n">
        <v>0.5</v>
      </c>
    </row>
    <row r="486" customFormat="false" ht="15" hidden="false" customHeight="false" outlineLevel="0" collapsed="false">
      <c r="A486" s="7" t="n">
        <v>2026</v>
      </c>
      <c r="B486" s="7" t="n">
        <v>6</v>
      </c>
      <c r="C486" s="7" t="s">
        <v>40</v>
      </c>
      <c r="D486" s="7" t="s">
        <v>41</v>
      </c>
      <c r="E486" s="8" t="s">
        <v>42</v>
      </c>
      <c r="F486" s="7" t="s">
        <v>62</v>
      </c>
      <c r="G486" s="7" t="n">
        <v>1</v>
      </c>
      <c r="H486" s="9" t="n">
        <v>0.1</v>
      </c>
    </row>
    <row r="487" customFormat="false" ht="15" hidden="false" customHeight="false" outlineLevel="0" collapsed="false">
      <c r="A487" s="7" t="n">
        <v>2026</v>
      </c>
      <c r="B487" s="7" t="n">
        <v>6</v>
      </c>
      <c r="C487" s="7" t="s">
        <v>40</v>
      </c>
      <c r="D487" s="7" t="s">
        <v>41</v>
      </c>
      <c r="E487" s="8" t="s">
        <v>42</v>
      </c>
      <c r="F487" s="7" t="s">
        <v>43</v>
      </c>
      <c r="G487" s="7" t="n">
        <v>5</v>
      </c>
      <c r="H487" s="9" t="n">
        <v>6502.7</v>
      </c>
    </row>
    <row r="488" customFormat="false" ht="15" hidden="false" customHeight="false" outlineLevel="0" collapsed="false">
      <c r="A488" s="7" t="n">
        <v>2026</v>
      </c>
      <c r="B488" s="7" t="n">
        <v>6</v>
      </c>
      <c r="C488" s="7" t="s">
        <v>40</v>
      </c>
      <c r="D488" s="7" t="s">
        <v>41</v>
      </c>
      <c r="E488" s="8" t="s">
        <v>42</v>
      </c>
      <c r="F488" s="7" t="s">
        <v>45</v>
      </c>
      <c r="G488" s="7" t="n">
        <v>1</v>
      </c>
      <c r="H488" s="9" t="n">
        <v>500</v>
      </c>
    </row>
    <row r="489" customFormat="false" ht="15" hidden="false" customHeight="false" outlineLevel="0" collapsed="false">
      <c r="A489" s="7" t="n">
        <v>2026</v>
      </c>
      <c r="B489" s="7" t="n">
        <v>6</v>
      </c>
      <c r="C489" s="7" t="s">
        <v>40</v>
      </c>
      <c r="D489" s="7" t="s">
        <v>41</v>
      </c>
      <c r="E489" s="8" t="s">
        <v>42</v>
      </c>
      <c r="F489" s="7" t="s">
        <v>47</v>
      </c>
      <c r="G489" s="7" t="n">
        <v>32</v>
      </c>
      <c r="H489" s="9" t="n">
        <v>995.7</v>
      </c>
    </row>
    <row r="490" customFormat="false" ht="15" hidden="false" customHeight="false" outlineLevel="0" collapsed="false">
      <c r="A490" s="7" t="n">
        <v>2026</v>
      </c>
      <c r="B490" s="7" t="n">
        <v>6</v>
      </c>
      <c r="C490" s="7" t="s">
        <v>40</v>
      </c>
      <c r="D490" s="7" t="s">
        <v>41</v>
      </c>
      <c r="E490" s="8" t="s">
        <v>42</v>
      </c>
      <c r="F490" s="7" t="s">
        <v>49</v>
      </c>
      <c r="G490" s="7" t="n">
        <v>1</v>
      </c>
      <c r="H490" s="9" t="n">
        <v>435.9</v>
      </c>
    </row>
    <row r="491" customFormat="false" ht="15" hidden="false" customHeight="false" outlineLevel="0" collapsed="false">
      <c r="A491" s="7" t="n">
        <v>2026</v>
      </c>
      <c r="B491" s="7" t="n">
        <v>6</v>
      </c>
      <c r="C491" s="7" t="s">
        <v>40</v>
      </c>
      <c r="D491" s="7" t="s">
        <v>51</v>
      </c>
      <c r="E491" s="8" t="s">
        <v>52</v>
      </c>
      <c r="F491" s="7" t="s">
        <v>47</v>
      </c>
      <c r="G491" s="7" t="n">
        <v>1</v>
      </c>
      <c r="H491" s="9" t="n">
        <v>3051</v>
      </c>
    </row>
  </sheetData>
  <autoFilter ref="A1:H4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30" min="5" style="0" width="10"/>
  </cols>
  <sheetData>
    <row r="1" customFormat="false" ht="15" hidden="false" customHeight="false" outlineLevel="0" collapsed="false">
      <c r="A1" s="11" t="s">
        <v>32</v>
      </c>
      <c r="B1" s="11" t="s">
        <v>34</v>
      </c>
      <c r="C1" s="11" t="s">
        <v>35</v>
      </c>
      <c r="D1" s="11" t="s">
        <v>37</v>
      </c>
      <c r="E1" s="11" t="s">
        <v>63</v>
      </c>
      <c r="F1" s="11"/>
      <c r="G1" s="11" t="s">
        <v>64</v>
      </c>
      <c r="H1" s="11"/>
      <c r="I1" s="11" t="s">
        <v>65</v>
      </c>
      <c r="J1" s="11"/>
      <c r="K1" s="11" t="s">
        <v>66</v>
      </c>
      <c r="L1" s="11"/>
      <c r="M1" s="11" t="s">
        <v>67</v>
      </c>
      <c r="N1" s="11"/>
      <c r="O1" s="11" t="s">
        <v>68</v>
      </c>
      <c r="P1" s="11"/>
      <c r="Q1" s="11" t="s">
        <v>69</v>
      </c>
      <c r="R1" s="11"/>
      <c r="S1" s="11" t="s">
        <v>70</v>
      </c>
      <c r="T1" s="11"/>
      <c r="U1" s="11" t="s">
        <v>71</v>
      </c>
      <c r="V1" s="11"/>
      <c r="W1" s="11" t="s">
        <v>72</v>
      </c>
      <c r="X1" s="11"/>
      <c r="Y1" s="11" t="s">
        <v>73</v>
      </c>
      <c r="Z1" s="11"/>
      <c r="AA1" s="11" t="s">
        <v>74</v>
      </c>
      <c r="AB1" s="11"/>
      <c r="AC1" s="11" t="s">
        <v>75</v>
      </c>
      <c r="AD1" s="11" t="s">
        <v>76</v>
      </c>
    </row>
    <row r="2" customFormat="false" ht="15" hidden="false" customHeight="false" outlineLevel="0" collapsed="false">
      <c r="A2" s="11"/>
      <c r="B2" s="11"/>
      <c r="C2" s="11"/>
      <c r="D2" s="11"/>
      <c r="E2" s="12" t="s">
        <v>38</v>
      </c>
      <c r="F2" s="12" t="s">
        <v>77</v>
      </c>
      <c r="G2" s="12" t="s">
        <v>38</v>
      </c>
      <c r="H2" s="12" t="s">
        <v>77</v>
      </c>
      <c r="I2" s="12" t="s">
        <v>38</v>
      </c>
      <c r="J2" s="12" t="s">
        <v>77</v>
      </c>
      <c r="K2" s="12" t="s">
        <v>38</v>
      </c>
      <c r="L2" s="12" t="s">
        <v>77</v>
      </c>
      <c r="M2" s="12" t="s">
        <v>38</v>
      </c>
      <c r="N2" s="12" t="s">
        <v>77</v>
      </c>
      <c r="O2" s="12" t="s">
        <v>38</v>
      </c>
      <c r="P2" s="12" t="s">
        <v>77</v>
      </c>
      <c r="Q2" s="12" t="s">
        <v>38</v>
      </c>
      <c r="R2" s="12" t="s">
        <v>77</v>
      </c>
      <c r="S2" s="12" t="s">
        <v>38</v>
      </c>
      <c r="T2" s="12" t="s">
        <v>77</v>
      </c>
      <c r="U2" s="12" t="s">
        <v>38</v>
      </c>
      <c r="V2" s="12" t="s">
        <v>77</v>
      </c>
      <c r="W2" s="12" t="s">
        <v>38</v>
      </c>
      <c r="X2" s="12" t="s">
        <v>77</v>
      </c>
      <c r="Y2" s="12" t="s">
        <v>38</v>
      </c>
      <c r="Z2" s="12" t="s">
        <v>77</v>
      </c>
      <c r="AA2" s="12" t="s">
        <v>38</v>
      </c>
      <c r="AB2" s="12" t="s">
        <v>77</v>
      </c>
      <c r="AC2" s="11"/>
      <c r="AD2" s="11"/>
    </row>
    <row r="3" customFormat="false" ht="15" hidden="false" customHeight="false" outlineLevel="0" collapsed="false">
      <c r="A3" s="7" t="n">
        <v>2019</v>
      </c>
      <c r="B3" s="7" t="s">
        <v>53</v>
      </c>
      <c r="C3" s="7" t="s">
        <v>54</v>
      </c>
      <c r="D3" s="7" t="s">
        <v>56</v>
      </c>
      <c r="E3" s="13"/>
      <c r="F3" s="9"/>
      <c r="G3" s="13"/>
      <c r="H3" s="9"/>
      <c r="I3" s="13" t="n">
        <v>2</v>
      </c>
      <c r="J3" s="9" t="n">
        <v>3141.8</v>
      </c>
      <c r="K3" s="13" t="n">
        <v>1</v>
      </c>
      <c r="L3" s="9" t="n">
        <v>3286</v>
      </c>
      <c r="M3" s="13" t="n">
        <v>1</v>
      </c>
      <c r="N3" s="9" t="n">
        <v>3348</v>
      </c>
      <c r="O3" s="13" t="n">
        <v>1</v>
      </c>
      <c r="P3" s="9" t="n">
        <v>3472</v>
      </c>
      <c r="Q3" s="13" t="n">
        <v>1</v>
      </c>
      <c r="R3" s="9" t="n">
        <v>3720</v>
      </c>
      <c r="S3" s="13"/>
      <c r="T3" s="9"/>
      <c r="U3" s="13"/>
      <c r="V3" s="9"/>
      <c r="W3" s="13"/>
      <c r="X3" s="9"/>
      <c r="Y3" s="13"/>
      <c r="Z3" s="9"/>
      <c r="AA3" s="13" t="n">
        <v>2</v>
      </c>
      <c r="AB3" s="9" t="n">
        <v>3410</v>
      </c>
      <c r="AC3" s="13" t="n">
        <f aca="false">SUM(E3,G3,I3,K3,M3,O3,Q3,S3,U3,W3,Y3,AA3)</f>
        <v>8</v>
      </c>
      <c r="AD3" s="9" t="n">
        <f aca="false">SUM(F3,H3,J3,L3,N3,P3,R3,T3,V3,X3,Z3,AB3)</f>
        <v>20377.8</v>
      </c>
    </row>
    <row r="4" customFormat="false" ht="15" hidden="false" customHeight="false" outlineLevel="0" collapsed="false">
      <c r="A4" s="7" t="n">
        <v>2019</v>
      </c>
      <c r="B4" s="7" t="s">
        <v>40</v>
      </c>
      <c r="C4" s="7" t="s">
        <v>41</v>
      </c>
      <c r="D4" s="7" t="s">
        <v>43</v>
      </c>
      <c r="E4" s="13" t="n">
        <v>11</v>
      </c>
      <c r="F4" s="9" t="n">
        <v>6509.6</v>
      </c>
      <c r="G4" s="13" t="n">
        <v>2</v>
      </c>
      <c r="H4" s="9" t="n">
        <v>4150</v>
      </c>
      <c r="I4" s="13" t="n">
        <v>7</v>
      </c>
      <c r="J4" s="9" t="n">
        <v>7550.34</v>
      </c>
      <c r="K4" s="13" t="n">
        <v>5</v>
      </c>
      <c r="L4" s="9" t="n">
        <v>3178.3</v>
      </c>
      <c r="M4" s="13" t="n">
        <v>12</v>
      </c>
      <c r="N4" s="9" t="n">
        <v>13226</v>
      </c>
      <c r="O4" s="13" t="n">
        <v>3</v>
      </c>
      <c r="P4" s="9" t="n">
        <v>1860</v>
      </c>
      <c r="Q4" s="13" t="n">
        <v>9</v>
      </c>
      <c r="R4" s="9" t="n">
        <v>13463.1</v>
      </c>
      <c r="S4" s="13" t="n">
        <v>3</v>
      </c>
      <c r="T4" s="9" t="n">
        <v>2680</v>
      </c>
      <c r="U4" s="13" t="n">
        <v>6</v>
      </c>
      <c r="V4" s="9" t="n">
        <v>4573.57</v>
      </c>
      <c r="W4" s="13" t="n">
        <v>6</v>
      </c>
      <c r="X4" s="9" t="n">
        <v>4956</v>
      </c>
      <c r="Y4" s="13" t="n">
        <v>5</v>
      </c>
      <c r="Z4" s="9" t="n">
        <v>2826.6</v>
      </c>
      <c r="AA4" s="13" t="n">
        <v>1</v>
      </c>
      <c r="AB4" s="9" t="n">
        <v>700</v>
      </c>
      <c r="AC4" s="13" t="n">
        <f aca="false">SUM(E4,G4,I4,K4,M4,O4,Q4,S4,U4,W4,Y4,AA4)</f>
        <v>70</v>
      </c>
      <c r="AD4" s="9" t="n">
        <f aca="false">SUM(F4,H4,J4,L4,N4,P4,R4,T4,V4,X4,Z4,AB4)</f>
        <v>65673.51</v>
      </c>
    </row>
    <row r="5" customFormat="false" ht="15" hidden="false" customHeight="false" outlineLevel="0" collapsed="false">
      <c r="A5" s="7" t="n">
        <v>2019</v>
      </c>
      <c r="B5" s="7" t="s">
        <v>40</v>
      </c>
      <c r="C5" s="7" t="s">
        <v>41</v>
      </c>
      <c r="D5" s="7" t="s">
        <v>45</v>
      </c>
      <c r="E5" s="13" t="n">
        <v>1</v>
      </c>
      <c r="F5" s="9" t="n">
        <v>353</v>
      </c>
      <c r="G5" s="13" t="n">
        <v>5</v>
      </c>
      <c r="H5" s="9" t="n">
        <v>3528.6</v>
      </c>
      <c r="I5" s="13" t="n">
        <v>1</v>
      </c>
      <c r="J5" s="9" t="n">
        <v>400</v>
      </c>
      <c r="K5" s="13" t="n">
        <v>4</v>
      </c>
      <c r="L5" s="9" t="n">
        <v>2026</v>
      </c>
      <c r="M5" s="13" t="n">
        <v>2</v>
      </c>
      <c r="N5" s="9" t="n">
        <v>1074.4</v>
      </c>
      <c r="O5" s="13" t="n">
        <v>1</v>
      </c>
      <c r="P5" s="9" t="n">
        <v>300</v>
      </c>
      <c r="Q5" s="13" t="n">
        <v>2</v>
      </c>
      <c r="R5" s="9" t="n">
        <v>2862</v>
      </c>
      <c r="S5" s="13" t="n">
        <v>2</v>
      </c>
      <c r="T5" s="9" t="n">
        <v>1030</v>
      </c>
      <c r="U5" s="13" t="n">
        <v>1</v>
      </c>
      <c r="V5" s="9" t="n">
        <v>621</v>
      </c>
      <c r="W5" s="13" t="n">
        <v>2</v>
      </c>
      <c r="X5" s="9" t="n">
        <v>1405</v>
      </c>
      <c r="Y5" s="13" t="n">
        <v>3</v>
      </c>
      <c r="Z5" s="9" t="n">
        <v>3826</v>
      </c>
      <c r="AA5" s="13" t="n">
        <v>1</v>
      </c>
      <c r="AB5" s="9" t="n">
        <v>400</v>
      </c>
      <c r="AC5" s="13" t="n">
        <f aca="false">SUM(E5,G5,I5,K5,M5,O5,Q5,S5,U5,W5,Y5,AA5)</f>
        <v>25</v>
      </c>
      <c r="AD5" s="9" t="n">
        <f aca="false">SUM(F5,H5,J5,L5,N5,P5,R5,T5,V5,X5,Z5,AB5)</f>
        <v>17826</v>
      </c>
    </row>
    <row r="6" customFormat="false" ht="15" hidden="false" customHeight="false" outlineLevel="0" collapsed="false">
      <c r="A6" s="7" t="n">
        <v>2019</v>
      </c>
      <c r="B6" s="7" t="s">
        <v>40</v>
      </c>
      <c r="C6" s="7" t="s">
        <v>41</v>
      </c>
      <c r="D6" s="7" t="s">
        <v>58</v>
      </c>
      <c r="E6" s="13"/>
      <c r="F6" s="9"/>
      <c r="G6" s="13"/>
      <c r="H6" s="9"/>
      <c r="I6" s="13"/>
      <c r="J6" s="9"/>
      <c r="K6" s="13"/>
      <c r="L6" s="9"/>
      <c r="M6" s="13"/>
      <c r="N6" s="9"/>
      <c r="O6" s="13"/>
      <c r="P6" s="9"/>
      <c r="Q6" s="13"/>
      <c r="R6" s="9"/>
      <c r="S6" s="13"/>
      <c r="T6" s="9"/>
      <c r="U6" s="13"/>
      <c r="V6" s="9"/>
      <c r="W6" s="13" t="n">
        <v>1</v>
      </c>
      <c r="X6" s="9" t="n">
        <v>140</v>
      </c>
      <c r="Y6" s="13" t="n">
        <v>2</v>
      </c>
      <c r="Z6" s="9" t="n">
        <v>396</v>
      </c>
      <c r="AA6" s="13" t="n">
        <v>1</v>
      </c>
      <c r="AB6" s="9" t="n">
        <v>165</v>
      </c>
      <c r="AC6" s="13" t="n">
        <f aca="false">SUM(E6,G6,I6,K6,M6,O6,Q6,S6,U6,W6,Y6,AA6)</f>
        <v>4</v>
      </c>
      <c r="AD6" s="9" t="n">
        <f aca="false">SUM(F6,H6,J6,L6,N6,P6,R6,T6,V6,X6,Z6,AB6)</f>
        <v>701</v>
      </c>
    </row>
    <row r="7" customFormat="false" ht="15" hidden="false" customHeight="false" outlineLevel="0" collapsed="false">
      <c r="A7" s="7" t="n">
        <v>2019</v>
      </c>
      <c r="B7" s="7" t="s">
        <v>40</v>
      </c>
      <c r="C7" s="7" t="s">
        <v>41</v>
      </c>
      <c r="D7" s="7" t="s">
        <v>47</v>
      </c>
      <c r="E7" s="13" t="n">
        <v>3</v>
      </c>
      <c r="F7" s="9" t="n">
        <v>2819.49</v>
      </c>
      <c r="G7" s="13" t="n">
        <v>3</v>
      </c>
      <c r="H7" s="9" t="n">
        <v>4578</v>
      </c>
      <c r="I7" s="13" t="n">
        <v>5</v>
      </c>
      <c r="J7" s="9" t="n">
        <v>6774.43</v>
      </c>
      <c r="K7" s="13" t="n">
        <v>5</v>
      </c>
      <c r="L7" s="9" t="n">
        <v>5595.34</v>
      </c>
      <c r="M7" s="13" t="n">
        <v>3</v>
      </c>
      <c r="N7" s="9" t="n">
        <v>3111.18</v>
      </c>
      <c r="O7" s="13" t="n">
        <v>3</v>
      </c>
      <c r="P7" s="9" t="n">
        <v>2560.46</v>
      </c>
      <c r="Q7" s="13" t="n">
        <v>1</v>
      </c>
      <c r="R7" s="9" t="n">
        <v>1433.5</v>
      </c>
      <c r="S7" s="13" t="n">
        <v>3</v>
      </c>
      <c r="T7" s="9" t="n">
        <v>3537.51</v>
      </c>
      <c r="U7" s="13" t="n">
        <v>2</v>
      </c>
      <c r="V7" s="9" t="n">
        <v>5155.03</v>
      </c>
      <c r="W7" s="13" t="n">
        <v>1</v>
      </c>
      <c r="X7" s="9" t="n">
        <v>1155.6</v>
      </c>
      <c r="Y7" s="13" t="n">
        <v>2</v>
      </c>
      <c r="Z7" s="9" t="n">
        <v>1300</v>
      </c>
      <c r="AA7" s="13" t="n">
        <v>3</v>
      </c>
      <c r="AB7" s="9" t="n">
        <v>6000</v>
      </c>
      <c r="AC7" s="13" t="n">
        <f aca="false">SUM(E7,G7,I7,K7,M7,O7,Q7,S7,U7,W7,Y7,AA7)</f>
        <v>34</v>
      </c>
      <c r="AD7" s="9" t="n">
        <f aca="false">SUM(F7,H7,J7,L7,N7,P7,R7,T7,V7,X7,Z7,AB7)</f>
        <v>44020.54</v>
      </c>
    </row>
    <row r="8" customFormat="false" ht="15" hidden="false" customHeight="false" outlineLevel="0" collapsed="false">
      <c r="A8" s="7" t="n">
        <v>2019</v>
      </c>
      <c r="B8" s="7" t="s">
        <v>40</v>
      </c>
      <c r="C8" s="7" t="s">
        <v>41</v>
      </c>
      <c r="D8" s="7" t="s">
        <v>49</v>
      </c>
      <c r="E8" s="13" t="n">
        <v>2</v>
      </c>
      <c r="F8" s="9" t="n">
        <v>1338</v>
      </c>
      <c r="G8" s="13"/>
      <c r="H8" s="9"/>
      <c r="I8" s="13"/>
      <c r="J8" s="9"/>
      <c r="K8" s="13" t="n">
        <v>2</v>
      </c>
      <c r="L8" s="9" t="n">
        <v>3017.16</v>
      </c>
      <c r="M8" s="13"/>
      <c r="N8" s="9"/>
      <c r="O8" s="13" t="n">
        <v>5</v>
      </c>
      <c r="P8" s="9" t="n">
        <v>3278.75</v>
      </c>
      <c r="Q8" s="13" t="n">
        <v>1</v>
      </c>
      <c r="R8" s="9" t="n">
        <v>441</v>
      </c>
      <c r="S8" s="13" t="n">
        <v>2</v>
      </c>
      <c r="T8" s="9" t="n">
        <v>520</v>
      </c>
      <c r="U8" s="13" t="n">
        <v>1</v>
      </c>
      <c r="V8" s="9" t="n">
        <v>234</v>
      </c>
      <c r="W8" s="13" t="n">
        <v>18</v>
      </c>
      <c r="X8" s="9" t="n">
        <v>17911.41</v>
      </c>
      <c r="Y8" s="13" t="n">
        <v>7</v>
      </c>
      <c r="Z8" s="9" t="n">
        <v>9844.03</v>
      </c>
      <c r="AA8" s="13" t="n">
        <v>10</v>
      </c>
      <c r="AB8" s="9" t="n">
        <v>9851.65</v>
      </c>
      <c r="AC8" s="13" t="n">
        <f aca="false">SUM(E8,G8,I8,K8,M8,O8,Q8,S8,U8,W8,Y8,AA8)</f>
        <v>48</v>
      </c>
      <c r="AD8" s="9" t="n">
        <f aca="false">SUM(F8,H8,J8,L8,N8,P8,R8,T8,V8,X8,Z8,AB8)</f>
        <v>46436</v>
      </c>
    </row>
    <row r="9" customFormat="false" ht="15" hidden="false" customHeight="false" outlineLevel="0" collapsed="false">
      <c r="A9" s="7" t="n">
        <v>2019</v>
      </c>
      <c r="B9" s="7" t="s">
        <v>40</v>
      </c>
      <c r="C9" s="7" t="s">
        <v>41</v>
      </c>
      <c r="D9" s="7" t="s">
        <v>57</v>
      </c>
      <c r="E9" s="13"/>
      <c r="F9" s="9"/>
      <c r="G9" s="13"/>
      <c r="H9" s="9"/>
      <c r="I9" s="13"/>
      <c r="J9" s="9"/>
      <c r="K9" s="13"/>
      <c r="L9" s="9"/>
      <c r="M9" s="13"/>
      <c r="N9" s="9"/>
      <c r="O9" s="13" t="n">
        <v>1</v>
      </c>
      <c r="P9" s="9" t="n">
        <v>500</v>
      </c>
      <c r="Q9" s="13"/>
      <c r="R9" s="9"/>
      <c r="S9" s="13"/>
      <c r="T9" s="9"/>
      <c r="U9" s="13"/>
      <c r="V9" s="9"/>
      <c r="W9" s="13"/>
      <c r="X9" s="9"/>
      <c r="Y9" s="13"/>
      <c r="Z9" s="9"/>
      <c r="AA9" s="13"/>
      <c r="AB9" s="9"/>
      <c r="AC9" s="13" t="n">
        <f aca="false">SUM(E9,G9,I9,K9,M9,O9,Q9,S9,U9,W9,Y9,AA9)</f>
        <v>1</v>
      </c>
      <c r="AD9" s="9" t="n">
        <f aca="false">SUM(F9,H9,J9,L9,N9,P9,R9,T9,V9,X9,Z9,AB9)</f>
        <v>500</v>
      </c>
    </row>
    <row r="10" customFormat="false" ht="15" hidden="false" customHeight="false" outlineLevel="0" collapsed="false">
      <c r="A10" s="14" t="n">
        <v>2019</v>
      </c>
      <c r="B10" s="14" t="s">
        <v>40</v>
      </c>
      <c r="C10" s="14" t="s">
        <v>41</v>
      </c>
      <c r="D10" s="14" t="s">
        <v>78</v>
      </c>
      <c r="E10" s="15" t="n">
        <v>17</v>
      </c>
      <c r="F10" s="16" t="n">
        <v>11020.09</v>
      </c>
      <c r="G10" s="15" t="n">
        <v>10</v>
      </c>
      <c r="H10" s="16" t="n">
        <v>12256.6</v>
      </c>
      <c r="I10" s="15" t="n">
        <v>13</v>
      </c>
      <c r="J10" s="16" t="n">
        <v>14724.77</v>
      </c>
      <c r="K10" s="15" t="n">
        <v>16</v>
      </c>
      <c r="L10" s="16" t="n">
        <v>13816.8</v>
      </c>
      <c r="M10" s="15" t="n">
        <v>17</v>
      </c>
      <c r="N10" s="16" t="n">
        <v>17411.58</v>
      </c>
      <c r="O10" s="15" t="n">
        <v>13</v>
      </c>
      <c r="P10" s="16" t="n">
        <v>8499.21</v>
      </c>
      <c r="Q10" s="15" t="n">
        <v>13</v>
      </c>
      <c r="R10" s="16" t="n">
        <v>18199.6</v>
      </c>
      <c r="S10" s="15" t="n">
        <v>10</v>
      </c>
      <c r="T10" s="16" t="n">
        <v>7767.51</v>
      </c>
      <c r="U10" s="15" t="n">
        <v>10</v>
      </c>
      <c r="V10" s="16" t="n">
        <v>10583.6</v>
      </c>
      <c r="W10" s="15" t="n">
        <v>28</v>
      </c>
      <c r="X10" s="16" t="n">
        <v>25568.01</v>
      </c>
      <c r="Y10" s="15" t="n">
        <v>19</v>
      </c>
      <c r="Z10" s="16" t="n">
        <v>18192.63</v>
      </c>
      <c r="AA10" s="15" t="n">
        <v>16</v>
      </c>
      <c r="AB10" s="16" t="n">
        <v>17116.65</v>
      </c>
      <c r="AC10" s="15" t="n">
        <f aca="false">SUM(E10,G10,I10,K10,M10,O10,Q10,S10,U10,W10,Y10,AA10)</f>
        <v>182</v>
      </c>
      <c r="AD10" s="16" t="n">
        <f aca="false">SUM(F10,H10,J10,L10,N10,P10,R10,T10,V10,X10,Z10,AB10)</f>
        <v>175157.05</v>
      </c>
    </row>
    <row r="11" customFormat="false" ht="15" hidden="false" customHeight="false" outlineLevel="0" collapsed="false">
      <c r="A11" s="7" t="n">
        <v>2019</v>
      </c>
      <c r="B11" s="7" t="s">
        <v>40</v>
      </c>
      <c r="C11" s="7" t="s">
        <v>51</v>
      </c>
      <c r="D11" s="7" t="s">
        <v>47</v>
      </c>
      <c r="E11" s="13" t="n">
        <v>2</v>
      </c>
      <c r="F11" s="9" t="n">
        <v>7649.46</v>
      </c>
      <c r="G11" s="13" t="n">
        <v>3</v>
      </c>
      <c r="H11" s="9" t="n">
        <v>14807.02</v>
      </c>
      <c r="I11" s="13" t="n">
        <v>6</v>
      </c>
      <c r="J11" s="9" t="n">
        <v>24581.28</v>
      </c>
      <c r="K11" s="13" t="n">
        <v>2</v>
      </c>
      <c r="L11" s="9" t="n">
        <v>4985.86</v>
      </c>
      <c r="M11" s="13" t="n">
        <v>1</v>
      </c>
      <c r="N11" s="9" t="n">
        <v>767.75</v>
      </c>
      <c r="O11" s="13" t="n">
        <v>1</v>
      </c>
      <c r="P11" s="9" t="n">
        <v>1200</v>
      </c>
      <c r="Q11" s="13" t="n">
        <v>2</v>
      </c>
      <c r="R11" s="9" t="n">
        <v>9500</v>
      </c>
      <c r="S11" s="13" t="n">
        <v>2</v>
      </c>
      <c r="T11" s="9" t="n">
        <v>11990</v>
      </c>
      <c r="U11" s="13"/>
      <c r="V11" s="9"/>
      <c r="W11" s="13" t="n">
        <v>1</v>
      </c>
      <c r="X11" s="9" t="n">
        <v>1000</v>
      </c>
      <c r="Y11" s="13" t="n">
        <v>3</v>
      </c>
      <c r="Z11" s="9" t="n">
        <v>7300</v>
      </c>
      <c r="AA11" s="13" t="n">
        <v>5</v>
      </c>
      <c r="AB11" s="9" t="n">
        <v>15331.6</v>
      </c>
      <c r="AC11" s="13" t="n">
        <f aca="false">SUM(E11,G11,I11,K11,M11,O11,Q11,S11,U11,W11,Y11,AA11)</f>
        <v>28</v>
      </c>
      <c r="AD11" s="9" t="n">
        <f aca="false">SUM(F11,H11,J11,L11,N11,P11,R11,T11,V11,X11,Z11,AB11)</f>
        <v>99112.97</v>
      </c>
    </row>
    <row r="12" customFormat="false" ht="15" hidden="false" customHeight="false" outlineLevel="0" collapsed="false">
      <c r="A12" s="14" t="n">
        <v>2019</v>
      </c>
      <c r="B12" s="14" t="s">
        <v>40</v>
      </c>
      <c r="C12" s="14" t="s">
        <v>51</v>
      </c>
      <c r="D12" s="14" t="s">
        <v>78</v>
      </c>
      <c r="E12" s="15" t="n">
        <v>2</v>
      </c>
      <c r="F12" s="16" t="n">
        <v>7649.46</v>
      </c>
      <c r="G12" s="15" t="n">
        <v>3</v>
      </c>
      <c r="H12" s="16" t="n">
        <v>14807.02</v>
      </c>
      <c r="I12" s="15" t="n">
        <v>6</v>
      </c>
      <c r="J12" s="16" t="n">
        <v>24581.28</v>
      </c>
      <c r="K12" s="15" t="n">
        <v>2</v>
      </c>
      <c r="L12" s="16" t="n">
        <v>4985.86</v>
      </c>
      <c r="M12" s="15" t="n">
        <v>1</v>
      </c>
      <c r="N12" s="16" t="n">
        <v>767.75</v>
      </c>
      <c r="O12" s="15" t="n">
        <v>1</v>
      </c>
      <c r="P12" s="16" t="n">
        <v>1200</v>
      </c>
      <c r="Q12" s="15" t="n">
        <v>2</v>
      </c>
      <c r="R12" s="16" t="n">
        <v>9500</v>
      </c>
      <c r="S12" s="15" t="n">
        <v>2</v>
      </c>
      <c r="T12" s="16" t="n">
        <v>11990</v>
      </c>
      <c r="U12" s="15"/>
      <c r="V12" s="16"/>
      <c r="W12" s="15" t="n">
        <v>1</v>
      </c>
      <c r="X12" s="16" t="n">
        <v>1000</v>
      </c>
      <c r="Y12" s="15" t="n">
        <v>3</v>
      </c>
      <c r="Z12" s="16" t="n">
        <v>7300</v>
      </c>
      <c r="AA12" s="15" t="n">
        <v>5</v>
      </c>
      <c r="AB12" s="16" t="n">
        <v>15331.6</v>
      </c>
      <c r="AC12" s="15" t="n">
        <f aca="false">SUM(E12,G12,I12,K12,M12,O12,Q12,S12,U12,W12,Y12,AA12)</f>
        <v>28</v>
      </c>
      <c r="AD12" s="16" t="n">
        <f aca="false">SUM(F12,H12,J12,L12,N12,P12,R12,T12,V12,X12,Z12,AB12)</f>
        <v>99112.97</v>
      </c>
    </row>
    <row r="13" customFormat="false" ht="15" hidden="false" customHeight="false" outlineLevel="0" collapsed="false">
      <c r="A13" s="7" t="n">
        <v>2020</v>
      </c>
      <c r="B13" s="7" t="s">
        <v>53</v>
      </c>
      <c r="C13" s="7" t="s">
        <v>41</v>
      </c>
      <c r="D13" s="7" t="s">
        <v>45</v>
      </c>
      <c r="E13" s="13"/>
      <c r="F13" s="9"/>
      <c r="G13" s="13"/>
      <c r="H13" s="9"/>
      <c r="I13" s="13"/>
      <c r="J13" s="9"/>
      <c r="K13" s="13"/>
      <c r="L13" s="9"/>
      <c r="M13" s="13"/>
      <c r="N13" s="9"/>
      <c r="O13" s="13"/>
      <c r="P13" s="9"/>
      <c r="Q13" s="13"/>
      <c r="R13" s="9"/>
      <c r="S13" s="13"/>
      <c r="T13" s="9"/>
      <c r="U13" s="13"/>
      <c r="V13" s="9"/>
      <c r="W13" s="13"/>
      <c r="X13" s="9"/>
      <c r="Y13" s="13" t="n">
        <v>1</v>
      </c>
      <c r="Z13" s="9" t="n">
        <v>1540.4</v>
      </c>
      <c r="AA13" s="13"/>
      <c r="AB13" s="9"/>
      <c r="AC13" s="13" t="n">
        <f aca="false">SUM(E13,G13,I13,K13,M13,O13,Q13,S13,U13,W13,Y13,AA13)</f>
        <v>1</v>
      </c>
      <c r="AD13" s="9" t="n">
        <f aca="false">SUM(F13,H13,J13,L13,N13,P13,R13,T13,V13,X13,Z13,AB13)</f>
        <v>1540.4</v>
      </c>
    </row>
    <row r="14" customFormat="false" ht="15" hidden="false" customHeight="false" outlineLevel="0" collapsed="false">
      <c r="A14" s="14" t="n">
        <v>2020</v>
      </c>
      <c r="B14" s="14" t="s">
        <v>53</v>
      </c>
      <c r="C14" s="14" t="s">
        <v>41</v>
      </c>
      <c r="D14" s="14" t="s">
        <v>79</v>
      </c>
      <c r="E14" s="15"/>
      <c r="F14" s="16"/>
      <c r="G14" s="15"/>
      <c r="H14" s="16"/>
      <c r="I14" s="15"/>
      <c r="J14" s="16"/>
      <c r="K14" s="15"/>
      <c r="L14" s="16"/>
      <c r="M14" s="15"/>
      <c r="N14" s="16"/>
      <c r="O14" s="15"/>
      <c r="P14" s="16"/>
      <c r="Q14" s="15"/>
      <c r="R14" s="16"/>
      <c r="S14" s="15"/>
      <c r="T14" s="16"/>
      <c r="U14" s="15"/>
      <c r="V14" s="16"/>
      <c r="W14" s="15"/>
      <c r="X14" s="16"/>
      <c r="Y14" s="15"/>
      <c r="Z14" s="16"/>
      <c r="AA14" s="15"/>
      <c r="AB14" s="16"/>
      <c r="AC14" s="15" t="n">
        <f aca="false">SUM(E14,G14,I14,K14,M14,O14,Q14,S14,U14,W14,Y14,AA14)</f>
        <v>0</v>
      </c>
      <c r="AD14" s="16" t="n">
        <f aca="false">SUM(F14,H14,J14,L14,N14,P14,R14,T14,V14,X14,Z14,AB14)</f>
        <v>0</v>
      </c>
    </row>
    <row r="15" customFormat="false" ht="15" hidden="false" customHeight="false" outlineLevel="0" collapsed="false">
      <c r="A15" s="14" t="n">
        <v>2020</v>
      </c>
      <c r="B15" s="14" t="s">
        <v>53</v>
      </c>
      <c r="C15" s="14" t="s">
        <v>41</v>
      </c>
      <c r="D15" s="14" t="s">
        <v>80</v>
      </c>
      <c r="E15" s="15"/>
      <c r="F15" s="16"/>
      <c r="G15" s="15"/>
      <c r="H15" s="16"/>
      <c r="I15" s="15"/>
      <c r="J15" s="16"/>
      <c r="K15" s="15"/>
      <c r="L15" s="16"/>
      <c r="M15" s="15"/>
      <c r="N15" s="16"/>
      <c r="O15" s="15"/>
      <c r="P15" s="16"/>
      <c r="Q15" s="15"/>
      <c r="R15" s="16"/>
      <c r="S15" s="15"/>
      <c r="T15" s="16"/>
      <c r="U15" s="15"/>
      <c r="V15" s="16"/>
      <c r="W15" s="15"/>
      <c r="X15" s="16"/>
      <c r="Y15" s="15" t="n">
        <v>1</v>
      </c>
      <c r="Z15" s="16" t="n">
        <v>1540.4</v>
      </c>
      <c r="AA15" s="15"/>
      <c r="AB15" s="16"/>
      <c r="AC15" s="15" t="n">
        <f aca="false">SUM(E15,G15,I15,K15,M15,O15,Q15,S15,U15,W15,Y15,AA15)</f>
        <v>1</v>
      </c>
      <c r="AD15" s="16" t="n">
        <f aca="false">SUM(F15,H15,J15,L15,N15,P15,R15,T15,V15,X15,Z15,AB15)</f>
        <v>1540.4</v>
      </c>
    </row>
    <row r="16" customFormat="false" ht="15" hidden="false" customHeight="false" outlineLevel="0" collapsed="false">
      <c r="A16" s="7" t="n">
        <v>2020</v>
      </c>
      <c r="B16" s="7" t="s">
        <v>53</v>
      </c>
      <c r="C16" s="7" t="s">
        <v>54</v>
      </c>
      <c r="D16" s="7" t="s">
        <v>56</v>
      </c>
      <c r="E16" s="13"/>
      <c r="F16" s="9"/>
      <c r="G16" s="13" t="n">
        <v>1</v>
      </c>
      <c r="H16" s="9" t="n">
        <v>3098.4</v>
      </c>
      <c r="I16" s="13" t="n">
        <v>1</v>
      </c>
      <c r="J16" s="9" t="n">
        <v>1478.8</v>
      </c>
      <c r="K16" s="13" t="n">
        <v>1</v>
      </c>
      <c r="L16" s="9" t="n">
        <v>3410</v>
      </c>
      <c r="M16" s="13" t="n">
        <v>1</v>
      </c>
      <c r="N16" s="9" t="n">
        <v>247.5</v>
      </c>
      <c r="O16" s="13" t="n">
        <v>1</v>
      </c>
      <c r="P16" s="9" t="n">
        <v>247.5</v>
      </c>
      <c r="Q16" s="13" t="n">
        <v>1</v>
      </c>
      <c r="R16" s="9" t="n">
        <v>4092</v>
      </c>
      <c r="S16" s="13"/>
      <c r="T16" s="9"/>
      <c r="U16" s="13" t="n">
        <v>1</v>
      </c>
      <c r="V16" s="9" t="n">
        <v>4774</v>
      </c>
      <c r="W16" s="13" t="n">
        <v>1</v>
      </c>
      <c r="X16" s="9" t="n">
        <v>425.25</v>
      </c>
      <c r="Y16" s="13" t="n">
        <v>2</v>
      </c>
      <c r="Z16" s="9" t="n">
        <v>11321</v>
      </c>
      <c r="AA16" s="13" t="n">
        <v>1</v>
      </c>
      <c r="AB16" s="9" t="n">
        <v>94.5</v>
      </c>
      <c r="AC16" s="13" t="n">
        <f aca="false">SUM(E16,G16,I16,K16,M16,O16,Q16,S16,U16,W16,Y16,AA16)</f>
        <v>11</v>
      </c>
      <c r="AD16" s="9" t="n">
        <f aca="false">SUM(F16,H16,J16,L16,N16,P16,R16,T16,V16,X16,Z16,AB16)</f>
        <v>29188.95</v>
      </c>
    </row>
    <row r="17" customFormat="false" ht="15" hidden="false" customHeight="false" outlineLevel="0" collapsed="false">
      <c r="A17" s="7" t="n">
        <v>2020</v>
      </c>
      <c r="B17" s="7" t="s">
        <v>40</v>
      </c>
      <c r="C17" s="7" t="s">
        <v>41</v>
      </c>
      <c r="D17" s="7" t="s">
        <v>43</v>
      </c>
      <c r="E17" s="13" t="n">
        <v>8</v>
      </c>
      <c r="F17" s="9" t="n">
        <v>7620</v>
      </c>
      <c r="G17" s="13" t="n">
        <v>6</v>
      </c>
      <c r="H17" s="9" t="n">
        <v>3823</v>
      </c>
      <c r="I17" s="13" t="n">
        <v>5</v>
      </c>
      <c r="J17" s="9" t="n">
        <v>3970</v>
      </c>
      <c r="K17" s="13" t="n">
        <v>7</v>
      </c>
      <c r="L17" s="9" t="n">
        <v>7688</v>
      </c>
      <c r="M17" s="13" t="n">
        <v>5</v>
      </c>
      <c r="N17" s="9" t="n">
        <v>3829</v>
      </c>
      <c r="O17" s="13" t="n">
        <v>10</v>
      </c>
      <c r="P17" s="9" t="n">
        <v>8451.62</v>
      </c>
      <c r="Q17" s="13" t="n">
        <v>7</v>
      </c>
      <c r="R17" s="9" t="n">
        <v>6165</v>
      </c>
      <c r="S17" s="13" t="n">
        <v>9</v>
      </c>
      <c r="T17" s="9" t="n">
        <v>5536.7</v>
      </c>
      <c r="U17" s="13" t="n">
        <v>5</v>
      </c>
      <c r="V17" s="9" t="n">
        <v>5250</v>
      </c>
      <c r="W17" s="13" t="n">
        <v>12</v>
      </c>
      <c r="X17" s="9" t="n">
        <v>7279</v>
      </c>
      <c r="Y17" s="13" t="n">
        <v>6</v>
      </c>
      <c r="Z17" s="9" t="n">
        <v>6025</v>
      </c>
      <c r="AA17" s="13" t="n">
        <v>9</v>
      </c>
      <c r="AB17" s="9" t="n">
        <v>12017.99</v>
      </c>
      <c r="AC17" s="13" t="n">
        <f aca="false">SUM(E17,G17,I17,K17,M17,O17,Q17,S17,U17,W17,Y17,AA17)</f>
        <v>89</v>
      </c>
      <c r="AD17" s="9" t="n">
        <f aca="false">SUM(F17,H17,J17,L17,N17,P17,R17,T17,V17,X17,Z17,AB17)</f>
        <v>77655.31</v>
      </c>
    </row>
    <row r="18" customFormat="false" ht="15" hidden="false" customHeight="false" outlineLevel="0" collapsed="false">
      <c r="A18" s="7" t="n">
        <v>2020</v>
      </c>
      <c r="B18" s="7" t="s">
        <v>40</v>
      </c>
      <c r="C18" s="7" t="s">
        <v>41</v>
      </c>
      <c r="D18" s="7" t="s">
        <v>45</v>
      </c>
      <c r="E18" s="13" t="n">
        <v>3</v>
      </c>
      <c r="F18" s="9" t="n">
        <v>2996.2</v>
      </c>
      <c r="G18" s="13" t="n">
        <v>1</v>
      </c>
      <c r="H18" s="9" t="n">
        <v>400</v>
      </c>
      <c r="I18" s="13" t="n">
        <v>2</v>
      </c>
      <c r="J18" s="9" t="n">
        <v>860</v>
      </c>
      <c r="K18" s="13" t="n">
        <v>2</v>
      </c>
      <c r="L18" s="9" t="n">
        <v>2085</v>
      </c>
      <c r="M18" s="13" t="n">
        <v>1</v>
      </c>
      <c r="N18" s="9" t="n">
        <v>360</v>
      </c>
      <c r="O18" s="13"/>
      <c r="P18" s="9"/>
      <c r="Q18" s="13" t="n">
        <v>1</v>
      </c>
      <c r="R18" s="9" t="n">
        <v>410</v>
      </c>
      <c r="S18" s="13" t="n">
        <v>1</v>
      </c>
      <c r="T18" s="9" t="n">
        <v>400</v>
      </c>
      <c r="U18" s="13" t="n">
        <v>2</v>
      </c>
      <c r="V18" s="9" t="n">
        <v>689.5</v>
      </c>
      <c r="W18" s="13" t="n">
        <v>1</v>
      </c>
      <c r="X18" s="9" t="n">
        <v>1340</v>
      </c>
      <c r="Y18" s="13" t="n">
        <v>2</v>
      </c>
      <c r="Z18" s="9" t="n">
        <v>750</v>
      </c>
      <c r="AA18" s="13" t="n">
        <v>2</v>
      </c>
      <c r="AB18" s="9" t="n">
        <v>3410</v>
      </c>
      <c r="AC18" s="13" t="n">
        <f aca="false">SUM(E18,G18,I18,K18,M18,O18,Q18,S18,U18,W18,Y18,AA18)</f>
        <v>18</v>
      </c>
      <c r="AD18" s="9" t="n">
        <f aca="false">SUM(F18,H18,J18,L18,N18,P18,R18,T18,V18,X18,Z18,AB18)</f>
        <v>13700.7</v>
      </c>
    </row>
    <row r="19" customFormat="false" ht="15" hidden="false" customHeight="false" outlineLevel="0" collapsed="false">
      <c r="A19" s="7" t="n">
        <v>2020</v>
      </c>
      <c r="B19" s="7" t="s">
        <v>40</v>
      </c>
      <c r="C19" s="7" t="s">
        <v>41</v>
      </c>
      <c r="D19" s="7" t="s">
        <v>58</v>
      </c>
      <c r="E19" s="13" t="n">
        <v>1</v>
      </c>
      <c r="F19" s="9" t="n">
        <v>667</v>
      </c>
      <c r="G19" s="13"/>
      <c r="H19" s="9"/>
      <c r="I19" s="13"/>
      <c r="J19" s="9"/>
      <c r="K19" s="13"/>
      <c r="L19" s="9"/>
      <c r="M19" s="13"/>
      <c r="N19" s="9"/>
      <c r="O19" s="13"/>
      <c r="P19" s="9"/>
      <c r="Q19" s="13"/>
      <c r="R19" s="9"/>
      <c r="S19" s="13"/>
      <c r="T19" s="9"/>
      <c r="U19" s="13" t="n">
        <v>2</v>
      </c>
      <c r="V19" s="9" t="n">
        <v>732.7</v>
      </c>
      <c r="W19" s="13" t="n">
        <v>2</v>
      </c>
      <c r="X19" s="9" t="n">
        <v>762.75</v>
      </c>
      <c r="Y19" s="13"/>
      <c r="Z19" s="9"/>
      <c r="AA19" s="13" t="n">
        <v>1</v>
      </c>
      <c r="AB19" s="9" t="n">
        <v>191</v>
      </c>
      <c r="AC19" s="13" t="n">
        <f aca="false">SUM(E19,G19,I19,K19,M19,O19,Q19,S19,U19,W19,Y19,AA19)</f>
        <v>6</v>
      </c>
      <c r="AD19" s="9" t="n">
        <f aca="false">SUM(F19,H19,J19,L19,N19,P19,R19,T19,V19,X19,Z19,AB19)</f>
        <v>2353.45</v>
      </c>
    </row>
    <row r="20" customFormat="false" ht="15" hidden="false" customHeight="false" outlineLevel="0" collapsed="false">
      <c r="A20" s="7" t="n">
        <v>2020</v>
      </c>
      <c r="B20" s="7" t="s">
        <v>40</v>
      </c>
      <c r="C20" s="7" t="s">
        <v>41</v>
      </c>
      <c r="D20" s="7" t="s">
        <v>47</v>
      </c>
      <c r="E20" s="13" t="n">
        <v>2</v>
      </c>
      <c r="F20" s="9" t="n">
        <v>290.1</v>
      </c>
      <c r="G20" s="13" t="n">
        <v>5</v>
      </c>
      <c r="H20" s="9" t="n">
        <v>6919.98</v>
      </c>
      <c r="I20" s="13" t="n">
        <v>2</v>
      </c>
      <c r="J20" s="9" t="n">
        <v>2720</v>
      </c>
      <c r="K20" s="13"/>
      <c r="L20" s="9"/>
      <c r="M20" s="13" t="n">
        <v>5</v>
      </c>
      <c r="N20" s="9" t="n">
        <v>7824.41</v>
      </c>
      <c r="O20" s="13" t="n">
        <v>5</v>
      </c>
      <c r="P20" s="9" t="n">
        <v>5844.956</v>
      </c>
      <c r="Q20" s="13" t="n">
        <v>3</v>
      </c>
      <c r="R20" s="9" t="n">
        <v>4256.85</v>
      </c>
      <c r="S20" s="13" t="n">
        <v>4</v>
      </c>
      <c r="T20" s="9" t="n">
        <v>3988.41</v>
      </c>
      <c r="U20" s="13"/>
      <c r="V20" s="9"/>
      <c r="W20" s="13"/>
      <c r="X20" s="9"/>
      <c r="Y20" s="13" t="n">
        <v>4</v>
      </c>
      <c r="Z20" s="9" t="n">
        <v>3750.7</v>
      </c>
      <c r="AA20" s="13" t="n">
        <v>2</v>
      </c>
      <c r="AB20" s="9" t="n">
        <v>2030.54</v>
      </c>
      <c r="AC20" s="13" t="n">
        <f aca="false">SUM(E20,G20,I20,K20,M20,O20,Q20,S20,U20,W20,Y20,AA20)</f>
        <v>32</v>
      </c>
      <c r="AD20" s="9" t="n">
        <f aca="false">SUM(F20,H20,J20,L20,N20,P20,R20,T20,V20,X20,Z20,AB20)</f>
        <v>37625.946</v>
      </c>
    </row>
    <row r="21" customFormat="false" ht="15" hidden="false" customHeight="false" outlineLevel="0" collapsed="false">
      <c r="A21" s="7" t="n">
        <v>2020</v>
      </c>
      <c r="B21" s="7" t="s">
        <v>40</v>
      </c>
      <c r="C21" s="7" t="s">
        <v>41</v>
      </c>
      <c r="D21" s="7" t="s">
        <v>49</v>
      </c>
      <c r="E21" s="13" t="n">
        <v>2</v>
      </c>
      <c r="F21" s="9" t="n">
        <v>2262.8</v>
      </c>
      <c r="G21" s="13" t="n">
        <v>1</v>
      </c>
      <c r="H21" s="9" t="n">
        <v>608.1</v>
      </c>
      <c r="I21" s="13" t="n">
        <v>1</v>
      </c>
      <c r="J21" s="9" t="n">
        <v>336</v>
      </c>
      <c r="K21" s="13"/>
      <c r="L21" s="9"/>
      <c r="M21" s="13" t="n">
        <v>3</v>
      </c>
      <c r="N21" s="9" t="n">
        <v>1775.71</v>
      </c>
      <c r="O21" s="13" t="n">
        <v>2</v>
      </c>
      <c r="P21" s="9" t="n">
        <v>2114.3</v>
      </c>
      <c r="Q21" s="13" t="n">
        <v>3</v>
      </c>
      <c r="R21" s="9" t="n">
        <v>1158</v>
      </c>
      <c r="S21" s="13" t="n">
        <v>1</v>
      </c>
      <c r="T21" s="9" t="n">
        <v>300.1</v>
      </c>
      <c r="U21" s="13" t="n">
        <v>3</v>
      </c>
      <c r="V21" s="9" t="n">
        <v>1693.9</v>
      </c>
      <c r="W21" s="13" t="n">
        <v>17</v>
      </c>
      <c r="X21" s="9" t="n">
        <v>18701.98</v>
      </c>
      <c r="Y21" s="13" t="n">
        <v>14</v>
      </c>
      <c r="Z21" s="9" t="n">
        <v>16630.86</v>
      </c>
      <c r="AA21" s="13" t="n">
        <v>11</v>
      </c>
      <c r="AB21" s="9" t="n">
        <v>8459.7</v>
      </c>
      <c r="AC21" s="13" t="n">
        <f aca="false">SUM(E21,G21,I21,K21,M21,O21,Q21,S21,U21,W21,Y21,AA21)</f>
        <v>58</v>
      </c>
      <c r="AD21" s="9" t="n">
        <f aca="false">SUM(F21,H21,J21,L21,N21,P21,R21,T21,V21,X21,Z21,AB21)</f>
        <v>54041.45</v>
      </c>
    </row>
    <row r="22" customFormat="false" ht="15" hidden="false" customHeight="false" outlineLevel="0" collapsed="false">
      <c r="A22" s="14" t="n">
        <v>2020</v>
      </c>
      <c r="B22" s="14" t="s">
        <v>40</v>
      </c>
      <c r="C22" s="14" t="s">
        <v>41</v>
      </c>
      <c r="D22" s="14" t="s">
        <v>78</v>
      </c>
      <c r="E22" s="15" t="n">
        <v>16</v>
      </c>
      <c r="F22" s="16" t="n">
        <v>13836.1</v>
      </c>
      <c r="G22" s="15" t="n">
        <v>13</v>
      </c>
      <c r="H22" s="16" t="n">
        <v>11751.08</v>
      </c>
      <c r="I22" s="15" t="n">
        <v>10</v>
      </c>
      <c r="J22" s="16" t="n">
        <v>7886</v>
      </c>
      <c r="K22" s="15" t="n">
        <v>9</v>
      </c>
      <c r="L22" s="16" t="n">
        <v>9773</v>
      </c>
      <c r="M22" s="15" t="n">
        <v>14</v>
      </c>
      <c r="N22" s="16" t="n">
        <v>13789.12</v>
      </c>
      <c r="O22" s="15" t="n">
        <v>17</v>
      </c>
      <c r="P22" s="16" t="n">
        <v>16410.876</v>
      </c>
      <c r="Q22" s="15" t="n">
        <v>14</v>
      </c>
      <c r="R22" s="16" t="n">
        <v>11989.85</v>
      </c>
      <c r="S22" s="15" t="n">
        <v>15</v>
      </c>
      <c r="T22" s="16" t="n">
        <v>10225.21</v>
      </c>
      <c r="U22" s="15" t="n">
        <v>12</v>
      </c>
      <c r="V22" s="16" t="n">
        <v>8366.1</v>
      </c>
      <c r="W22" s="15" t="n">
        <v>32</v>
      </c>
      <c r="X22" s="16" t="n">
        <v>28083.73</v>
      </c>
      <c r="Y22" s="15" t="n">
        <v>26</v>
      </c>
      <c r="Z22" s="16" t="n">
        <v>27156.56</v>
      </c>
      <c r="AA22" s="15" t="n">
        <v>25</v>
      </c>
      <c r="AB22" s="16" t="n">
        <v>26109.23</v>
      </c>
      <c r="AC22" s="15" t="n">
        <f aca="false">SUM(E22,G22,I22,K22,M22,O22,Q22,S22,U22,W22,Y22,AA22)</f>
        <v>203</v>
      </c>
      <c r="AD22" s="16" t="n">
        <f aca="false">SUM(F22,H22,J22,L22,N22,P22,R22,T22,V22,X22,Z22,AB22)</f>
        <v>185376.856</v>
      </c>
    </row>
    <row r="23" customFormat="false" ht="15" hidden="false" customHeight="false" outlineLevel="0" collapsed="false">
      <c r="A23" s="7" t="n">
        <v>2020</v>
      </c>
      <c r="B23" s="7" t="s">
        <v>40</v>
      </c>
      <c r="C23" s="7" t="s">
        <v>51</v>
      </c>
      <c r="D23" s="7" t="s">
        <v>47</v>
      </c>
      <c r="E23" s="13" t="n">
        <v>3</v>
      </c>
      <c r="F23" s="9" t="n">
        <v>6630</v>
      </c>
      <c r="G23" s="13" t="n">
        <v>5</v>
      </c>
      <c r="H23" s="9" t="n">
        <v>15200</v>
      </c>
      <c r="I23" s="13" t="n">
        <v>2</v>
      </c>
      <c r="J23" s="9" t="n">
        <v>9223</v>
      </c>
      <c r="K23" s="13" t="n">
        <v>2</v>
      </c>
      <c r="L23" s="9" t="n">
        <v>12086.05</v>
      </c>
      <c r="M23" s="13" t="n">
        <v>1</v>
      </c>
      <c r="N23" s="9" t="n">
        <v>3610</v>
      </c>
      <c r="O23" s="13" t="n">
        <v>2</v>
      </c>
      <c r="P23" s="9" t="n">
        <v>6321.5</v>
      </c>
      <c r="Q23" s="13" t="n">
        <v>3</v>
      </c>
      <c r="R23" s="9" t="n">
        <v>8906.82</v>
      </c>
      <c r="S23" s="13" t="n">
        <v>1</v>
      </c>
      <c r="T23" s="9" t="n">
        <v>4000</v>
      </c>
      <c r="U23" s="13"/>
      <c r="V23" s="9"/>
      <c r="W23" s="13"/>
      <c r="X23" s="9"/>
      <c r="Y23" s="13"/>
      <c r="Z23" s="9"/>
      <c r="AA23" s="13" t="n">
        <v>3</v>
      </c>
      <c r="AB23" s="9" t="n">
        <v>11500</v>
      </c>
      <c r="AC23" s="13" t="n">
        <f aca="false">SUM(E23,G23,I23,K23,M23,O23,Q23,S23,U23,W23,Y23,AA23)</f>
        <v>22</v>
      </c>
      <c r="AD23" s="9" t="n">
        <f aca="false">SUM(F23,H23,J23,L23,N23,P23,R23,T23,V23,X23,Z23,AB23)</f>
        <v>77477.37</v>
      </c>
    </row>
    <row r="24" customFormat="false" ht="15" hidden="false" customHeight="false" outlineLevel="0" collapsed="false">
      <c r="A24" s="14" t="n">
        <v>2020</v>
      </c>
      <c r="B24" s="14" t="s">
        <v>40</v>
      </c>
      <c r="C24" s="14" t="s">
        <v>51</v>
      </c>
      <c r="D24" s="14" t="s">
        <v>78</v>
      </c>
      <c r="E24" s="15" t="n">
        <v>3</v>
      </c>
      <c r="F24" s="16" t="n">
        <v>6630</v>
      </c>
      <c r="G24" s="15" t="n">
        <v>5</v>
      </c>
      <c r="H24" s="16" t="n">
        <v>15200</v>
      </c>
      <c r="I24" s="15" t="n">
        <v>2</v>
      </c>
      <c r="J24" s="16" t="n">
        <v>9223</v>
      </c>
      <c r="K24" s="15" t="n">
        <v>2</v>
      </c>
      <c r="L24" s="16" t="n">
        <v>12086.05</v>
      </c>
      <c r="M24" s="15" t="n">
        <v>1</v>
      </c>
      <c r="N24" s="16" t="n">
        <v>3610</v>
      </c>
      <c r="O24" s="15" t="n">
        <v>2</v>
      </c>
      <c r="P24" s="16" t="n">
        <v>6321.5</v>
      </c>
      <c r="Q24" s="15" t="n">
        <v>3</v>
      </c>
      <c r="R24" s="16" t="n">
        <v>8906.82</v>
      </c>
      <c r="S24" s="15" t="n">
        <v>1</v>
      </c>
      <c r="T24" s="16" t="n">
        <v>4000</v>
      </c>
      <c r="U24" s="15"/>
      <c r="V24" s="16"/>
      <c r="W24" s="15"/>
      <c r="X24" s="16"/>
      <c r="Y24" s="15"/>
      <c r="Z24" s="16"/>
      <c r="AA24" s="15" t="n">
        <v>3</v>
      </c>
      <c r="AB24" s="16" t="n">
        <v>11500</v>
      </c>
      <c r="AC24" s="15" t="n">
        <f aca="false">SUM(E24,G24,I24,K24,M24,O24,Q24,S24,U24,W24,Y24,AA24)</f>
        <v>22</v>
      </c>
      <c r="AD24" s="16" t="n">
        <f aca="false">SUM(F24,H24,J24,L24,N24,P24,R24,T24,V24,X24,Z24,AB24)</f>
        <v>77477.37</v>
      </c>
    </row>
    <row r="25" customFormat="false" ht="15" hidden="false" customHeight="false" outlineLevel="0" collapsed="false">
      <c r="A25" s="7" t="n">
        <v>2021</v>
      </c>
      <c r="B25" s="7" t="s">
        <v>53</v>
      </c>
      <c r="C25" s="7" t="s">
        <v>41</v>
      </c>
      <c r="D25" s="7" t="s">
        <v>43</v>
      </c>
      <c r="E25" s="13"/>
      <c r="F25" s="9"/>
      <c r="G25" s="13"/>
      <c r="H25" s="9"/>
      <c r="I25" s="13"/>
      <c r="J25" s="9"/>
      <c r="K25" s="13"/>
      <c r="L25" s="9"/>
      <c r="M25" s="13"/>
      <c r="N25" s="9"/>
      <c r="O25" s="13"/>
      <c r="P25" s="9"/>
      <c r="Q25" s="13"/>
      <c r="R25" s="9"/>
      <c r="S25" s="13"/>
      <c r="T25" s="9"/>
      <c r="U25" s="13" t="n">
        <v>1</v>
      </c>
      <c r="V25" s="9" t="n">
        <v>10</v>
      </c>
      <c r="W25" s="13"/>
      <c r="X25" s="9"/>
      <c r="Y25" s="13"/>
      <c r="Z25" s="9"/>
      <c r="AA25" s="13"/>
      <c r="AB25" s="9"/>
      <c r="AC25" s="13" t="n">
        <f aca="false">SUM(E25,G25,I25,K25,M25,O25,Q25,S25,U25,W25,Y25,AA25)</f>
        <v>1</v>
      </c>
      <c r="AD25" s="9" t="n">
        <f aca="false">SUM(F25,H25,J25,L25,N25,P25,R25,T25,V25,X25,Z25,AB25)</f>
        <v>10</v>
      </c>
    </row>
    <row r="26" customFormat="false" ht="15" hidden="false" customHeight="false" outlineLevel="0" collapsed="false">
      <c r="A26" s="7" t="n">
        <v>2021</v>
      </c>
      <c r="B26" s="7" t="s">
        <v>53</v>
      </c>
      <c r="C26" s="7" t="s">
        <v>41</v>
      </c>
      <c r="D26" s="7" t="s">
        <v>45</v>
      </c>
      <c r="E26" s="13"/>
      <c r="F26" s="9"/>
      <c r="G26" s="13"/>
      <c r="H26" s="9"/>
      <c r="I26" s="13"/>
      <c r="J26" s="9"/>
      <c r="K26" s="13"/>
      <c r="L26" s="9"/>
      <c r="M26" s="13"/>
      <c r="N26" s="9"/>
      <c r="O26" s="13"/>
      <c r="P26" s="9"/>
      <c r="Q26" s="13"/>
      <c r="R26" s="9"/>
      <c r="S26" s="13"/>
      <c r="T26" s="9"/>
      <c r="U26" s="13"/>
      <c r="V26" s="9"/>
      <c r="W26" s="13" t="n">
        <v>1</v>
      </c>
      <c r="X26" s="9" t="n">
        <v>1772.06</v>
      </c>
      <c r="Y26" s="13" t="n">
        <v>1</v>
      </c>
      <c r="Z26" s="9" t="n">
        <v>2003.64</v>
      </c>
      <c r="AA26" s="13"/>
      <c r="AB26" s="9"/>
      <c r="AC26" s="13" t="n">
        <f aca="false">SUM(E26,G26,I26,K26,M26,O26,Q26,S26,U26,W26,Y26,AA26)</f>
        <v>2</v>
      </c>
      <c r="AD26" s="9" t="n">
        <f aca="false">SUM(F26,H26,J26,L26,N26,P26,R26,T26,V26,X26,Z26,AB26)</f>
        <v>3775.7</v>
      </c>
    </row>
    <row r="27" customFormat="false" ht="15" hidden="false" customHeight="false" outlineLevel="0" collapsed="false">
      <c r="A27" s="7" t="n">
        <v>2021</v>
      </c>
      <c r="B27" s="7" t="s">
        <v>53</v>
      </c>
      <c r="C27" s="7" t="s">
        <v>54</v>
      </c>
      <c r="D27" s="7" t="s">
        <v>59</v>
      </c>
      <c r="E27" s="13"/>
      <c r="F27" s="9"/>
      <c r="G27" s="13"/>
      <c r="H27" s="9"/>
      <c r="I27" s="13" t="n">
        <v>1</v>
      </c>
      <c r="J27" s="9" t="n">
        <v>576</v>
      </c>
      <c r="K27" s="13"/>
      <c r="L27" s="9"/>
      <c r="M27" s="13" t="n">
        <v>1</v>
      </c>
      <c r="N27" s="9" t="n">
        <v>682</v>
      </c>
      <c r="O27" s="13"/>
      <c r="P27" s="9"/>
      <c r="Q27" s="13" t="n">
        <v>1</v>
      </c>
      <c r="R27" s="9" t="n">
        <v>180</v>
      </c>
      <c r="S27" s="13" t="n">
        <v>1</v>
      </c>
      <c r="T27" s="9" t="n">
        <v>192</v>
      </c>
      <c r="U27" s="13" t="n">
        <v>1</v>
      </c>
      <c r="V27" s="9" t="n">
        <v>180</v>
      </c>
      <c r="W27" s="13"/>
      <c r="X27" s="9"/>
      <c r="Y27" s="13"/>
      <c r="Z27" s="9"/>
      <c r="AA27" s="13"/>
      <c r="AB27" s="9"/>
      <c r="AC27" s="13" t="n">
        <f aca="false">SUM(E27,G27,I27,K27,M27,O27,Q27,S27,U27,W27,Y27,AA27)</f>
        <v>5</v>
      </c>
      <c r="AD27" s="9" t="n">
        <f aca="false">SUM(F27,H27,J27,L27,N27,P27,R27,T27,V27,X27,Z27,AB27)</f>
        <v>1810</v>
      </c>
    </row>
    <row r="28" customFormat="false" ht="15" hidden="false" customHeight="false" outlineLevel="0" collapsed="false">
      <c r="A28" s="7" t="n">
        <v>2021</v>
      </c>
      <c r="B28" s="7" t="s">
        <v>53</v>
      </c>
      <c r="C28" s="7" t="s">
        <v>54</v>
      </c>
      <c r="D28" s="7" t="s">
        <v>56</v>
      </c>
      <c r="E28" s="13"/>
      <c r="F28" s="9"/>
      <c r="G28" s="13"/>
      <c r="H28" s="9"/>
      <c r="I28" s="13"/>
      <c r="J28" s="9"/>
      <c r="K28" s="13" t="n">
        <v>2</v>
      </c>
      <c r="L28" s="9" t="n">
        <v>702.75</v>
      </c>
      <c r="M28" s="13" t="n">
        <v>2</v>
      </c>
      <c r="N28" s="9" t="n">
        <v>4638.5</v>
      </c>
      <c r="O28" s="13" t="n">
        <v>2</v>
      </c>
      <c r="P28" s="9" t="n">
        <v>120</v>
      </c>
      <c r="Q28" s="13"/>
      <c r="R28" s="9"/>
      <c r="S28" s="13" t="n">
        <v>1</v>
      </c>
      <c r="T28" s="9" t="n">
        <v>3410</v>
      </c>
      <c r="U28" s="13" t="n">
        <v>2</v>
      </c>
      <c r="V28" s="9" t="n">
        <v>1281</v>
      </c>
      <c r="W28" s="13" t="n">
        <v>5</v>
      </c>
      <c r="X28" s="9" t="n">
        <v>13383.25</v>
      </c>
      <c r="Y28" s="13" t="n">
        <v>1</v>
      </c>
      <c r="Z28" s="9" t="n">
        <v>36</v>
      </c>
      <c r="AA28" s="13" t="n">
        <v>1</v>
      </c>
      <c r="AB28" s="9" t="n">
        <v>270</v>
      </c>
      <c r="AC28" s="13" t="n">
        <f aca="false">SUM(E28,G28,I28,K28,M28,O28,Q28,S28,U28,W28,Y28,AA28)</f>
        <v>16</v>
      </c>
      <c r="AD28" s="9" t="n">
        <f aca="false">SUM(F28,H28,J28,L28,N28,P28,R28,T28,V28,X28,Z28,AB28)</f>
        <v>23841.5</v>
      </c>
    </row>
    <row r="29" customFormat="false" ht="15" hidden="false" customHeight="false" outlineLevel="0" collapsed="false">
      <c r="A29" s="7" t="n">
        <v>2021</v>
      </c>
      <c r="B29" s="7" t="s">
        <v>40</v>
      </c>
      <c r="C29" s="7" t="s">
        <v>41</v>
      </c>
      <c r="D29" s="7" t="s">
        <v>43</v>
      </c>
      <c r="E29" s="13" t="n">
        <v>12</v>
      </c>
      <c r="F29" s="9" t="n">
        <v>7215</v>
      </c>
      <c r="G29" s="13" t="n">
        <v>4</v>
      </c>
      <c r="H29" s="9" t="n">
        <v>2346.36</v>
      </c>
      <c r="I29" s="13" t="n">
        <v>9</v>
      </c>
      <c r="J29" s="9" t="n">
        <v>7977</v>
      </c>
      <c r="K29" s="13" t="n">
        <v>4</v>
      </c>
      <c r="L29" s="9" t="n">
        <v>5300</v>
      </c>
      <c r="M29" s="13" t="n">
        <v>9</v>
      </c>
      <c r="N29" s="9" t="n">
        <v>8900</v>
      </c>
      <c r="O29" s="13"/>
      <c r="P29" s="9"/>
      <c r="Q29" s="13" t="n">
        <v>3</v>
      </c>
      <c r="R29" s="9" t="n">
        <v>2050</v>
      </c>
      <c r="S29" s="13" t="n">
        <v>6</v>
      </c>
      <c r="T29" s="9" t="n">
        <v>10141.9</v>
      </c>
      <c r="U29" s="13" t="n">
        <v>5</v>
      </c>
      <c r="V29" s="9" t="n">
        <v>6330</v>
      </c>
      <c r="W29" s="13" t="n">
        <v>6</v>
      </c>
      <c r="X29" s="9" t="n">
        <v>5008.89</v>
      </c>
      <c r="Y29" s="13" t="n">
        <v>6</v>
      </c>
      <c r="Z29" s="9" t="n">
        <v>8377.425</v>
      </c>
      <c r="AA29" s="13" t="n">
        <v>8</v>
      </c>
      <c r="AB29" s="9" t="n">
        <v>8839.25</v>
      </c>
      <c r="AC29" s="13" t="n">
        <f aca="false">SUM(E29,G29,I29,K29,M29,O29,Q29,S29,U29,W29,Y29,AA29)</f>
        <v>72</v>
      </c>
      <c r="AD29" s="9" t="n">
        <f aca="false">SUM(F29,H29,J29,L29,N29,P29,R29,T29,V29,X29,Z29,AB29)</f>
        <v>72485.825</v>
      </c>
    </row>
    <row r="30" customFormat="false" ht="15" hidden="false" customHeight="false" outlineLevel="0" collapsed="false">
      <c r="A30" s="7" t="n">
        <v>2021</v>
      </c>
      <c r="B30" s="7" t="s">
        <v>40</v>
      </c>
      <c r="C30" s="7" t="s">
        <v>41</v>
      </c>
      <c r="D30" s="7" t="s">
        <v>45</v>
      </c>
      <c r="E30" s="13"/>
      <c r="F30" s="9"/>
      <c r="G30" s="13" t="n">
        <v>1</v>
      </c>
      <c r="H30" s="9" t="n">
        <v>400</v>
      </c>
      <c r="I30" s="13" t="n">
        <v>1</v>
      </c>
      <c r="J30" s="9" t="n">
        <v>2800</v>
      </c>
      <c r="K30" s="13" t="n">
        <v>1</v>
      </c>
      <c r="L30" s="9" t="n">
        <v>400</v>
      </c>
      <c r="M30" s="13" t="n">
        <v>2</v>
      </c>
      <c r="N30" s="9" t="n">
        <v>1785.8</v>
      </c>
      <c r="O30" s="13" t="n">
        <v>1</v>
      </c>
      <c r="P30" s="9" t="n">
        <v>400</v>
      </c>
      <c r="Q30" s="13"/>
      <c r="R30" s="9"/>
      <c r="S30" s="13" t="n">
        <v>2</v>
      </c>
      <c r="T30" s="9" t="n">
        <v>800</v>
      </c>
      <c r="U30" s="13" t="n">
        <v>2</v>
      </c>
      <c r="V30" s="9" t="n">
        <v>2350</v>
      </c>
      <c r="W30" s="13" t="n">
        <v>3</v>
      </c>
      <c r="X30" s="9" t="n">
        <v>9097</v>
      </c>
      <c r="Y30" s="13" t="n">
        <v>3</v>
      </c>
      <c r="Z30" s="9" t="n">
        <v>1638.875</v>
      </c>
      <c r="AA30" s="13" t="n">
        <v>3</v>
      </c>
      <c r="AB30" s="9" t="n">
        <v>2700</v>
      </c>
      <c r="AC30" s="13" t="n">
        <f aca="false">SUM(E30,G30,I30,K30,M30,O30,Q30,S30,U30,W30,Y30,AA30)</f>
        <v>19</v>
      </c>
      <c r="AD30" s="9" t="n">
        <f aca="false">SUM(F30,H30,J30,L30,N30,P30,R30,T30,V30,X30,Z30,AB30)</f>
        <v>22371.675</v>
      </c>
    </row>
    <row r="31" customFormat="false" ht="15" hidden="false" customHeight="false" outlineLevel="0" collapsed="false">
      <c r="A31" s="7" t="n">
        <v>2021</v>
      </c>
      <c r="B31" s="7" t="s">
        <v>40</v>
      </c>
      <c r="C31" s="7" t="s">
        <v>41</v>
      </c>
      <c r="D31" s="7" t="s">
        <v>58</v>
      </c>
      <c r="E31" s="13"/>
      <c r="F31" s="9"/>
      <c r="G31" s="13"/>
      <c r="H31" s="9"/>
      <c r="I31" s="13"/>
      <c r="J31" s="9"/>
      <c r="K31" s="13"/>
      <c r="L31" s="9"/>
      <c r="M31" s="13"/>
      <c r="N31" s="9"/>
      <c r="O31" s="13"/>
      <c r="P31" s="9"/>
      <c r="Q31" s="13"/>
      <c r="R31" s="9"/>
      <c r="S31" s="13"/>
      <c r="T31" s="9"/>
      <c r="U31" s="13" t="n">
        <v>3</v>
      </c>
      <c r="V31" s="9" t="n">
        <v>1288</v>
      </c>
      <c r="W31" s="13" t="n">
        <v>1</v>
      </c>
      <c r="X31" s="9" t="n">
        <v>140</v>
      </c>
      <c r="Y31" s="13"/>
      <c r="Z31" s="9"/>
      <c r="AA31" s="13"/>
      <c r="AB31" s="9"/>
      <c r="AC31" s="13" t="n">
        <f aca="false">SUM(E31,G31,I31,K31,M31,O31,Q31,S31,U31,W31,Y31,AA31)</f>
        <v>4</v>
      </c>
      <c r="AD31" s="9" t="n">
        <f aca="false">SUM(F31,H31,J31,L31,N31,P31,R31,T31,V31,X31,Z31,AB31)</f>
        <v>1428</v>
      </c>
    </row>
    <row r="32" customFormat="false" ht="15" hidden="false" customHeight="false" outlineLevel="0" collapsed="false">
      <c r="A32" s="7" t="n">
        <v>2021</v>
      </c>
      <c r="B32" s="7" t="s">
        <v>40</v>
      </c>
      <c r="C32" s="7" t="s">
        <v>41</v>
      </c>
      <c r="D32" s="7" t="s">
        <v>47</v>
      </c>
      <c r="E32" s="13" t="n">
        <v>4</v>
      </c>
      <c r="F32" s="9" t="n">
        <v>1910.17</v>
      </c>
      <c r="G32" s="13" t="n">
        <v>1</v>
      </c>
      <c r="H32" s="9" t="n">
        <v>1278.38</v>
      </c>
      <c r="I32" s="13" t="n">
        <v>5</v>
      </c>
      <c r="J32" s="9" t="n">
        <v>4667.63</v>
      </c>
      <c r="K32" s="13" t="n">
        <v>2</v>
      </c>
      <c r="L32" s="9" t="n">
        <v>2408.74</v>
      </c>
      <c r="M32" s="13" t="n">
        <v>4</v>
      </c>
      <c r="N32" s="9" t="n">
        <v>4557.59</v>
      </c>
      <c r="O32" s="13" t="n">
        <v>3</v>
      </c>
      <c r="P32" s="9" t="n">
        <v>3735.66</v>
      </c>
      <c r="Q32" s="13" t="n">
        <v>2</v>
      </c>
      <c r="R32" s="9" t="n">
        <v>1938.22</v>
      </c>
      <c r="S32" s="13" t="n">
        <v>2</v>
      </c>
      <c r="T32" s="9" t="n">
        <v>3466.04</v>
      </c>
      <c r="U32" s="13"/>
      <c r="V32" s="9"/>
      <c r="W32" s="13" t="n">
        <v>1</v>
      </c>
      <c r="X32" s="9" t="n">
        <v>1.5</v>
      </c>
      <c r="Y32" s="13" t="n">
        <v>2</v>
      </c>
      <c r="Z32" s="9" t="n">
        <v>160</v>
      </c>
      <c r="AA32" s="13"/>
      <c r="AB32" s="9"/>
      <c r="AC32" s="13" t="n">
        <f aca="false">SUM(E32,G32,I32,K32,M32,O32,Q32,S32,U32,W32,Y32,AA32)</f>
        <v>26</v>
      </c>
      <c r="AD32" s="9" t="n">
        <f aca="false">SUM(F32,H32,J32,L32,N32,P32,R32,T32,V32,X32,Z32,AB32)</f>
        <v>24123.93</v>
      </c>
    </row>
    <row r="33" customFormat="false" ht="15" hidden="false" customHeight="false" outlineLevel="0" collapsed="false">
      <c r="A33" s="7" t="n">
        <v>2021</v>
      </c>
      <c r="B33" s="7" t="s">
        <v>40</v>
      </c>
      <c r="C33" s="7" t="s">
        <v>41</v>
      </c>
      <c r="D33" s="7" t="s">
        <v>49</v>
      </c>
      <c r="E33" s="13" t="n">
        <v>1</v>
      </c>
      <c r="F33" s="9" t="n">
        <v>479</v>
      </c>
      <c r="G33" s="13" t="n">
        <v>2</v>
      </c>
      <c r="H33" s="9" t="n">
        <v>2179.75</v>
      </c>
      <c r="I33" s="13" t="n">
        <v>1</v>
      </c>
      <c r="J33" s="9" t="n">
        <v>981</v>
      </c>
      <c r="K33" s="13" t="n">
        <v>1</v>
      </c>
      <c r="L33" s="9" t="n">
        <v>313</v>
      </c>
      <c r="M33" s="13" t="n">
        <v>2</v>
      </c>
      <c r="N33" s="9" t="n">
        <v>1068</v>
      </c>
      <c r="O33" s="13"/>
      <c r="P33" s="9"/>
      <c r="Q33" s="13" t="n">
        <v>1</v>
      </c>
      <c r="R33" s="9" t="n">
        <v>111.25</v>
      </c>
      <c r="S33" s="13" t="n">
        <v>1</v>
      </c>
      <c r="T33" s="9" t="n">
        <v>711.75</v>
      </c>
      <c r="U33" s="13" t="n">
        <v>3</v>
      </c>
      <c r="V33" s="9" t="n">
        <v>1829</v>
      </c>
      <c r="W33" s="13" t="n">
        <v>14</v>
      </c>
      <c r="X33" s="9" t="n">
        <v>24864.6</v>
      </c>
      <c r="Y33" s="13" t="n">
        <v>13</v>
      </c>
      <c r="Z33" s="9" t="n">
        <v>17976.79</v>
      </c>
      <c r="AA33" s="13" t="n">
        <v>5</v>
      </c>
      <c r="AB33" s="9" t="n">
        <v>5466.05</v>
      </c>
      <c r="AC33" s="13" t="n">
        <f aca="false">SUM(E33,G33,I33,K33,M33,O33,Q33,S33,U33,W33,Y33,AA33)</f>
        <v>44</v>
      </c>
      <c r="AD33" s="9" t="n">
        <f aca="false">SUM(F33,H33,J33,L33,N33,P33,R33,T33,V33,X33,Z33,AB33)</f>
        <v>55980.19</v>
      </c>
    </row>
    <row r="34" customFormat="false" ht="15" hidden="false" customHeight="false" outlineLevel="0" collapsed="false">
      <c r="A34" s="7" t="n">
        <v>2021</v>
      </c>
      <c r="B34" s="7" t="s">
        <v>40</v>
      </c>
      <c r="C34" s="7" t="s">
        <v>51</v>
      </c>
      <c r="D34" s="7" t="s">
        <v>47</v>
      </c>
      <c r="E34" s="13" t="n">
        <v>5</v>
      </c>
      <c r="F34" s="9" t="n">
        <v>23775</v>
      </c>
      <c r="G34" s="13" t="n">
        <v>2</v>
      </c>
      <c r="H34" s="9" t="n">
        <v>6300</v>
      </c>
      <c r="I34" s="13"/>
      <c r="J34" s="9"/>
      <c r="K34" s="13" t="n">
        <v>4</v>
      </c>
      <c r="L34" s="9" t="n">
        <v>15700</v>
      </c>
      <c r="M34" s="13" t="n">
        <v>2</v>
      </c>
      <c r="N34" s="9" t="n">
        <v>5500</v>
      </c>
      <c r="O34" s="13" t="n">
        <v>2</v>
      </c>
      <c r="P34" s="9" t="n">
        <v>7222.14</v>
      </c>
      <c r="Q34" s="13" t="n">
        <v>2</v>
      </c>
      <c r="R34" s="9" t="n">
        <v>5500</v>
      </c>
      <c r="S34" s="13"/>
      <c r="T34" s="9"/>
      <c r="U34" s="13"/>
      <c r="V34" s="9"/>
      <c r="W34" s="13" t="n">
        <v>2</v>
      </c>
      <c r="X34" s="9" t="n">
        <v>7377</v>
      </c>
      <c r="Y34" s="13" t="n">
        <v>2</v>
      </c>
      <c r="Z34" s="9" t="n">
        <v>4500</v>
      </c>
      <c r="AA34" s="13" t="n">
        <v>4</v>
      </c>
      <c r="AB34" s="9" t="n">
        <v>16000</v>
      </c>
      <c r="AC34" s="13" t="n">
        <f aca="false">SUM(E34,G34,I34,K34,M34,O34,Q34,S34,U34,W34,Y34,AA34)</f>
        <v>25</v>
      </c>
      <c r="AD34" s="9" t="n">
        <f aca="false">SUM(F34,H34,J34,L34,N34,P34,R34,T34,V34,X34,Z34,AB34)</f>
        <v>91874.14</v>
      </c>
    </row>
    <row r="35" customFormat="false" ht="15" hidden="false" customHeight="false" outlineLevel="0" collapsed="false">
      <c r="A35" s="7" t="n">
        <v>2022</v>
      </c>
      <c r="B35" s="7" t="s">
        <v>53</v>
      </c>
      <c r="C35" s="7" t="s">
        <v>41</v>
      </c>
      <c r="D35" s="7" t="s">
        <v>60</v>
      </c>
      <c r="E35" s="13"/>
      <c r="F35" s="9"/>
      <c r="G35" s="13"/>
      <c r="H35" s="9"/>
      <c r="I35" s="13"/>
      <c r="J35" s="9"/>
      <c r="K35" s="13" t="n">
        <v>1</v>
      </c>
      <c r="L35" s="9" t="n">
        <v>220</v>
      </c>
      <c r="M35" s="13"/>
      <c r="N35" s="9"/>
      <c r="O35" s="13"/>
      <c r="P35" s="9"/>
      <c r="Q35" s="13"/>
      <c r="R35" s="9"/>
      <c r="S35" s="13"/>
      <c r="T35" s="9"/>
      <c r="U35" s="13"/>
      <c r="V35" s="9"/>
      <c r="W35" s="13"/>
      <c r="X35" s="9"/>
      <c r="Y35" s="13"/>
      <c r="Z35" s="9"/>
      <c r="AA35" s="13"/>
      <c r="AB35" s="9"/>
      <c r="AC35" s="13" t="n">
        <f aca="false">SUM(E35,G35,I35,K35,M35,O35,Q35,S35,U35,W35,Y35,AA35)</f>
        <v>1</v>
      </c>
      <c r="AD35" s="9" t="n">
        <f aca="false">SUM(F35,H35,J35,L35,N35,P35,R35,T35,V35,X35,Z35,AB35)</f>
        <v>220</v>
      </c>
    </row>
    <row r="36" customFormat="false" ht="15" hidden="false" customHeight="false" outlineLevel="0" collapsed="false">
      <c r="A36" s="14" t="n">
        <v>2022</v>
      </c>
      <c r="B36" s="14" t="s">
        <v>53</v>
      </c>
      <c r="C36" s="14" t="s">
        <v>41</v>
      </c>
      <c r="D36" s="14" t="s">
        <v>79</v>
      </c>
      <c r="E36" s="15"/>
      <c r="F36" s="16"/>
      <c r="G36" s="15"/>
      <c r="H36" s="16"/>
      <c r="I36" s="15"/>
      <c r="J36" s="16"/>
      <c r="K36" s="15"/>
      <c r="L36" s="16"/>
      <c r="M36" s="15"/>
      <c r="N36" s="16"/>
      <c r="O36" s="15"/>
      <c r="P36" s="16"/>
      <c r="Q36" s="15"/>
      <c r="R36" s="16"/>
      <c r="S36" s="15"/>
      <c r="T36" s="16"/>
      <c r="U36" s="15"/>
      <c r="V36" s="16"/>
      <c r="W36" s="15"/>
      <c r="X36" s="16"/>
      <c r="Y36" s="15"/>
      <c r="Z36" s="16"/>
      <c r="AA36" s="15"/>
      <c r="AB36" s="16"/>
      <c r="AC36" s="15" t="n">
        <f aca="false">SUM(E36,G36,I36,K36,M36,O36,Q36,S36,U36,W36,Y36,AA36)</f>
        <v>0</v>
      </c>
      <c r="AD36" s="16" t="n">
        <f aca="false">SUM(F36,H36,J36,L36,N36,P36,R36,T36,V36,X36,Z36,AB36)</f>
        <v>0</v>
      </c>
    </row>
    <row r="37" customFormat="false" ht="15" hidden="false" customHeight="false" outlineLevel="0" collapsed="false">
      <c r="A37" s="14" t="n">
        <v>2022</v>
      </c>
      <c r="B37" s="14" t="s">
        <v>53</v>
      </c>
      <c r="C37" s="14" t="s">
        <v>41</v>
      </c>
      <c r="D37" s="14" t="s">
        <v>80</v>
      </c>
      <c r="E37" s="15"/>
      <c r="F37" s="16"/>
      <c r="G37" s="15"/>
      <c r="H37" s="16"/>
      <c r="I37" s="15"/>
      <c r="J37" s="16"/>
      <c r="K37" s="15" t="n">
        <v>1</v>
      </c>
      <c r="L37" s="16" t="n">
        <v>220</v>
      </c>
      <c r="M37" s="15"/>
      <c r="N37" s="16"/>
      <c r="O37" s="15"/>
      <c r="P37" s="16"/>
      <c r="Q37" s="15"/>
      <c r="R37" s="16"/>
      <c r="S37" s="15"/>
      <c r="T37" s="16"/>
      <c r="U37" s="15"/>
      <c r="V37" s="16"/>
      <c r="W37" s="15"/>
      <c r="X37" s="16"/>
      <c r="Y37" s="15"/>
      <c r="Z37" s="16"/>
      <c r="AA37" s="15"/>
      <c r="AB37" s="16"/>
      <c r="AC37" s="15" t="n">
        <f aca="false">SUM(E37,G37,I37,K37,M37,O37,Q37,S37,U37,W37,Y37,AA37)</f>
        <v>1</v>
      </c>
      <c r="AD37" s="16" t="n">
        <f aca="false">SUM(F37,H37,J37,L37,N37,P37,R37,T37,V37,X37,Z37,AB37)</f>
        <v>220</v>
      </c>
    </row>
    <row r="38" customFormat="false" ht="15" hidden="false" customHeight="false" outlineLevel="0" collapsed="false">
      <c r="A38" s="7" t="n">
        <v>2022</v>
      </c>
      <c r="B38" s="7" t="s">
        <v>53</v>
      </c>
      <c r="C38" s="7" t="s">
        <v>54</v>
      </c>
      <c r="D38" s="7" t="s">
        <v>59</v>
      </c>
      <c r="E38" s="13" t="n">
        <v>1</v>
      </c>
      <c r="F38" s="9" t="n">
        <v>460</v>
      </c>
      <c r="G38" s="13"/>
      <c r="H38" s="9"/>
      <c r="I38" s="13"/>
      <c r="J38" s="9"/>
      <c r="K38" s="13"/>
      <c r="L38" s="9"/>
      <c r="M38" s="13"/>
      <c r="N38" s="9"/>
      <c r="O38" s="13"/>
      <c r="P38" s="9"/>
      <c r="Q38" s="13" t="n">
        <v>1</v>
      </c>
      <c r="R38" s="9" t="n">
        <v>276</v>
      </c>
      <c r="S38" s="13"/>
      <c r="T38" s="9"/>
      <c r="U38" s="13"/>
      <c r="V38" s="9"/>
      <c r="W38" s="13"/>
      <c r="X38" s="9"/>
      <c r="Y38" s="13"/>
      <c r="Z38" s="9"/>
      <c r="AA38" s="13"/>
      <c r="AB38" s="9"/>
      <c r="AC38" s="13" t="n">
        <f aca="false">SUM(E38,G38,I38,K38,M38,O38,Q38,S38,U38,W38,Y38,AA38)</f>
        <v>2</v>
      </c>
      <c r="AD38" s="9" t="n">
        <f aca="false">SUM(F38,H38,J38,L38,N38,P38,R38,T38,V38,X38,Z38,AB38)</f>
        <v>736</v>
      </c>
    </row>
    <row r="39" customFormat="false" ht="15" hidden="false" customHeight="false" outlineLevel="0" collapsed="false">
      <c r="A39" s="7" t="n">
        <v>2022</v>
      </c>
      <c r="B39" s="7" t="s">
        <v>53</v>
      </c>
      <c r="C39" s="7" t="s">
        <v>54</v>
      </c>
      <c r="D39" s="7" t="s">
        <v>56</v>
      </c>
      <c r="E39" s="13" t="n">
        <v>2</v>
      </c>
      <c r="F39" s="9" t="n">
        <v>829</v>
      </c>
      <c r="G39" s="13" t="n">
        <v>3</v>
      </c>
      <c r="H39" s="9" t="n">
        <v>2341.4</v>
      </c>
      <c r="I39" s="13" t="n">
        <v>2</v>
      </c>
      <c r="J39" s="9" t="n">
        <v>6941.8</v>
      </c>
      <c r="K39" s="13" t="n">
        <v>2</v>
      </c>
      <c r="L39" s="9" t="n">
        <v>3412.8</v>
      </c>
      <c r="M39" s="13" t="n">
        <v>3</v>
      </c>
      <c r="N39" s="9" t="n">
        <v>6597.375</v>
      </c>
      <c r="O39" s="13" t="n">
        <v>1</v>
      </c>
      <c r="P39" s="9" t="n">
        <v>2.25</v>
      </c>
      <c r="Q39" s="13" t="n">
        <v>2</v>
      </c>
      <c r="R39" s="9" t="n">
        <v>1226.25</v>
      </c>
      <c r="S39" s="13" t="n">
        <v>4</v>
      </c>
      <c r="T39" s="9" t="n">
        <v>15550.5</v>
      </c>
      <c r="U39" s="13" t="n">
        <v>3</v>
      </c>
      <c r="V39" s="9" t="n">
        <v>1699.5</v>
      </c>
      <c r="W39" s="13"/>
      <c r="X39" s="9"/>
      <c r="Y39" s="13"/>
      <c r="Z39" s="9"/>
      <c r="AA39" s="13" t="n">
        <v>2</v>
      </c>
      <c r="AB39" s="9" t="n">
        <v>6272.3</v>
      </c>
      <c r="AC39" s="13" t="n">
        <f aca="false">SUM(E39,G39,I39,K39,M39,O39,Q39,S39,U39,W39,Y39,AA39)</f>
        <v>24</v>
      </c>
      <c r="AD39" s="9" t="n">
        <f aca="false">SUM(F39,H39,J39,L39,N39,P39,R39,T39,V39,X39,Z39,AB39)</f>
        <v>44873.175</v>
      </c>
    </row>
    <row r="40" customFormat="false" ht="15" hidden="false" customHeight="false" outlineLevel="0" collapsed="false">
      <c r="A40" s="7" t="n">
        <v>2022</v>
      </c>
      <c r="B40" s="7" t="s">
        <v>40</v>
      </c>
      <c r="C40" s="7" t="s">
        <v>41</v>
      </c>
      <c r="D40" s="7" t="s">
        <v>43</v>
      </c>
      <c r="E40" s="13" t="n">
        <v>4</v>
      </c>
      <c r="F40" s="9" t="n">
        <v>5600</v>
      </c>
      <c r="G40" s="13" t="n">
        <v>4</v>
      </c>
      <c r="H40" s="9" t="n">
        <v>4548.6</v>
      </c>
      <c r="I40" s="13" t="n">
        <v>2</v>
      </c>
      <c r="J40" s="9" t="n">
        <v>1080.258</v>
      </c>
      <c r="K40" s="13" t="n">
        <v>6</v>
      </c>
      <c r="L40" s="9" t="n">
        <v>9020</v>
      </c>
      <c r="M40" s="13" t="n">
        <v>7</v>
      </c>
      <c r="N40" s="9" t="n">
        <v>6053.175</v>
      </c>
      <c r="O40" s="13" t="n">
        <v>6</v>
      </c>
      <c r="P40" s="9" t="n">
        <v>3210</v>
      </c>
      <c r="Q40" s="13" t="n">
        <v>7</v>
      </c>
      <c r="R40" s="9" t="n">
        <v>13500</v>
      </c>
      <c r="S40" s="13" t="n">
        <v>6</v>
      </c>
      <c r="T40" s="9" t="n">
        <v>6096</v>
      </c>
      <c r="U40" s="13" t="n">
        <v>3</v>
      </c>
      <c r="V40" s="9" t="n">
        <v>4780</v>
      </c>
      <c r="W40" s="13" t="n">
        <v>7</v>
      </c>
      <c r="X40" s="9" t="n">
        <v>14334.3</v>
      </c>
      <c r="Y40" s="13" t="n">
        <v>6</v>
      </c>
      <c r="Z40" s="9" t="n">
        <v>11862.5</v>
      </c>
      <c r="AA40" s="13" t="n">
        <v>9</v>
      </c>
      <c r="AB40" s="9" t="n">
        <v>9467</v>
      </c>
      <c r="AC40" s="13" t="n">
        <f aca="false">SUM(E40,G40,I40,K40,M40,O40,Q40,S40,U40,W40,Y40,AA40)</f>
        <v>67</v>
      </c>
      <c r="AD40" s="9" t="n">
        <f aca="false">SUM(F40,H40,J40,L40,N40,P40,R40,T40,V40,X40,Z40,AB40)</f>
        <v>89551.833</v>
      </c>
    </row>
    <row r="41" customFormat="false" ht="15" hidden="false" customHeight="false" outlineLevel="0" collapsed="false">
      <c r="A41" s="7" t="n">
        <v>2022</v>
      </c>
      <c r="B41" s="7" t="s">
        <v>40</v>
      </c>
      <c r="C41" s="7" t="s">
        <v>41</v>
      </c>
      <c r="D41" s="7" t="s">
        <v>45</v>
      </c>
      <c r="E41" s="13"/>
      <c r="F41" s="9"/>
      <c r="G41" s="13" t="n">
        <v>2</v>
      </c>
      <c r="H41" s="9" t="n">
        <v>3400</v>
      </c>
      <c r="I41" s="13" t="n">
        <v>6</v>
      </c>
      <c r="J41" s="9" t="n">
        <v>12223.1</v>
      </c>
      <c r="K41" s="13" t="n">
        <v>2</v>
      </c>
      <c r="L41" s="9" t="n">
        <v>2430</v>
      </c>
      <c r="M41" s="13" t="n">
        <v>2</v>
      </c>
      <c r="N41" s="9" t="n">
        <v>1131.5</v>
      </c>
      <c r="O41" s="13" t="n">
        <v>1</v>
      </c>
      <c r="P41" s="9" t="n">
        <v>400</v>
      </c>
      <c r="Q41" s="13" t="n">
        <v>2</v>
      </c>
      <c r="R41" s="9" t="n">
        <v>3050</v>
      </c>
      <c r="S41" s="13" t="n">
        <v>1</v>
      </c>
      <c r="T41" s="9" t="n">
        <v>400</v>
      </c>
      <c r="U41" s="13" t="n">
        <v>1</v>
      </c>
      <c r="V41" s="9" t="n">
        <v>400</v>
      </c>
      <c r="W41" s="13"/>
      <c r="X41" s="9"/>
      <c r="Y41" s="13"/>
      <c r="Z41" s="9"/>
      <c r="AA41" s="13" t="n">
        <v>1</v>
      </c>
      <c r="AB41" s="9" t="n">
        <v>400</v>
      </c>
      <c r="AC41" s="13" t="n">
        <f aca="false">SUM(E41,G41,I41,K41,M41,O41,Q41,S41,U41,W41,Y41,AA41)</f>
        <v>18</v>
      </c>
      <c r="AD41" s="9" t="n">
        <f aca="false">SUM(F41,H41,J41,L41,N41,P41,R41,T41,V41,X41,Z41,AB41)</f>
        <v>23834.6</v>
      </c>
    </row>
    <row r="42" customFormat="false" ht="15" hidden="false" customHeight="false" outlineLevel="0" collapsed="false">
      <c r="A42" s="7" t="n">
        <v>2022</v>
      </c>
      <c r="B42" s="7" t="s">
        <v>40</v>
      </c>
      <c r="C42" s="7" t="s">
        <v>41</v>
      </c>
      <c r="D42" s="7" t="s">
        <v>58</v>
      </c>
      <c r="E42" s="13"/>
      <c r="F42" s="9"/>
      <c r="G42" s="13"/>
      <c r="H42" s="9"/>
      <c r="I42" s="13"/>
      <c r="J42" s="9"/>
      <c r="K42" s="13"/>
      <c r="L42" s="9"/>
      <c r="M42" s="13"/>
      <c r="N42" s="9"/>
      <c r="O42" s="13" t="n">
        <v>1</v>
      </c>
      <c r="P42" s="9" t="n">
        <v>356</v>
      </c>
      <c r="Q42" s="13"/>
      <c r="R42" s="9"/>
      <c r="S42" s="13"/>
      <c r="T42" s="9"/>
      <c r="U42" s="13" t="n">
        <v>3</v>
      </c>
      <c r="V42" s="9" t="n">
        <v>1170.1</v>
      </c>
      <c r="W42" s="13"/>
      <c r="X42" s="9"/>
      <c r="Y42" s="13" t="n">
        <v>2</v>
      </c>
      <c r="Z42" s="9" t="n">
        <v>570.7</v>
      </c>
      <c r="AA42" s="13"/>
      <c r="AB42" s="9"/>
      <c r="AC42" s="13" t="n">
        <f aca="false">SUM(E42,G42,I42,K42,M42,O42,Q42,S42,U42,W42,Y42,AA42)</f>
        <v>6</v>
      </c>
      <c r="AD42" s="9" t="n">
        <f aca="false">SUM(F42,H42,J42,L42,N42,P42,R42,T42,V42,X42,Z42,AB42)</f>
        <v>2096.8</v>
      </c>
    </row>
    <row r="43" customFormat="false" ht="15" hidden="false" customHeight="false" outlineLevel="0" collapsed="false">
      <c r="A43" s="7" t="n">
        <v>2022</v>
      </c>
      <c r="B43" s="7" t="s">
        <v>40</v>
      </c>
      <c r="C43" s="7" t="s">
        <v>41</v>
      </c>
      <c r="D43" s="7" t="s">
        <v>47</v>
      </c>
      <c r="E43" s="13"/>
      <c r="F43" s="9"/>
      <c r="G43" s="13" t="n">
        <v>4</v>
      </c>
      <c r="H43" s="9" t="n">
        <v>4561.89</v>
      </c>
      <c r="I43" s="13" t="n">
        <v>3</v>
      </c>
      <c r="J43" s="9" t="n">
        <v>5305.64</v>
      </c>
      <c r="K43" s="13" t="n">
        <v>6</v>
      </c>
      <c r="L43" s="9" t="n">
        <v>5928.71</v>
      </c>
      <c r="M43" s="13" t="n">
        <v>2</v>
      </c>
      <c r="N43" s="9" t="n">
        <v>3094.24</v>
      </c>
      <c r="O43" s="13" t="n">
        <v>3</v>
      </c>
      <c r="P43" s="9" t="n">
        <v>6086.5</v>
      </c>
      <c r="Q43" s="13"/>
      <c r="R43" s="9"/>
      <c r="S43" s="13" t="n">
        <v>4</v>
      </c>
      <c r="T43" s="9" t="n">
        <v>5659.79</v>
      </c>
      <c r="U43" s="13" t="n">
        <v>3</v>
      </c>
      <c r="V43" s="9" t="n">
        <v>3578.49</v>
      </c>
      <c r="W43" s="13" t="n">
        <v>3</v>
      </c>
      <c r="X43" s="9" t="n">
        <v>3485.93</v>
      </c>
      <c r="Y43" s="13" t="n">
        <v>1</v>
      </c>
      <c r="Z43" s="9" t="n">
        <v>1750</v>
      </c>
      <c r="AA43" s="13"/>
      <c r="AB43" s="9"/>
      <c r="AC43" s="13" t="n">
        <f aca="false">SUM(E43,G43,I43,K43,M43,O43,Q43,S43,U43,W43,Y43,AA43)</f>
        <v>29</v>
      </c>
      <c r="AD43" s="9" t="n">
        <f aca="false">SUM(F43,H43,J43,L43,N43,P43,R43,T43,V43,X43,Z43,AB43)</f>
        <v>39451.19</v>
      </c>
    </row>
    <row r="44" customFormat="false" ht="15" hidden="false" customHeight="false" outlineLevel="0" collapsed="false">
      <c r="A44" s="7" t="n">
        <v>2022</v>
      </c>
      <c r="B44" s="7" t="s">
        <v>40</v>
      </c>
      <c r="C44" s="7" t="s">
        <v>41</v>
      </c>
      <c r="D44" s="7" t="s">
        <v>49</v>
      </c>
      <c r="E44" s="13" t="n">
        <v>1</v>
      </c>
      <c r="F44" s="9" t="n">
        <v>1171.44</v>
      </c>
      <c r="G44" s="13" t="n">
        <v>1</v>
      </c>
      <c r="H44" s="9" t="n">
        <v>60</v>
      </c>
      <c r="I44" s="13" t="n">
        <v>1</v>
      </c>
      <c r="J44" s="9" t="n">
        <v>775</v>
      </c>
      <c r="K44" s="13"/>
      <c r="L44" s="9"/>
      <c r="M44" s="13" t="n">
        <v>1</v>
      </c>
      <c r="N44" s="9" t="n">
        <v>344</v>
      </c>
      <c r="O44" s="13" t="n">
        <v>1</v>
      </c>
      <c r="P44" s="9" t="n">
        <v>170</v>
      </c>
      <c r="Q44" s="13"/>
      <c r="R44" s="9"/>
      <c r="S44" s="13" t="n">
        <v>2</v>
      </c>
      <c r="T44" s="9" t="n">
        <v>1264</v>
      </c>
      <c r="U44" s="13" t="n">
        <v>1</v>
      </c>
      <c r="V44" s="9" t="n">
        <v>2007</v>
      </c>
      <c r="W44" s="13" t="n">
        <v>16</v>
      </c>
      <c r="X44" s="9" t="n">
        <v>21482.23</v>
      </c>
      <c r="Y44" s="13" t="n">
        <v>5</v>
      </c>
      <c r="Z44" s="9" t="n">
        <v>11937.34</v>
      </c>
      <c r="AA44" s="13" t="n">
        <v>3</v>
      </c>
      <c r="AB44" s="9" t="n">
        <v>4678.09</v>
      </c>
      <c r="AC44" s="13" t="n">
        <f aca="false">SUM(E44,G44,I44,K44,M44,O44,Q44,S44,U44,W44,Y44,AA44)</f>
        <v>32</v>
      </c>
      <c r="AD44" s="9" t="n">
        <f aca="false">SUM(F44,H44,J44,L44,N44,P44,R44,T44,V44,X44,Z44,AB44)</f>
        <v>43889.1</v>
      </c>
    </row>
    <row r="45" customFormat="false" ht="15" hidden="false" customHeight="false" outlineLevel="0" collapsed="false">
      <c r="A45" s="14" t="n">
        <v>2022</v>
      </c>
      <c r="B45" s="14" t="s">
        <v>40</v>
      </c>
      <c r="C45" s="14" t="s">
        <v>41</v>
      </c>
      <c r="D45" s="14" t="s">
        <v>78</v>
      </c>
      <c r="E45" s="15" t="n">
        <v>5</v>
      </c>
      <c r="F45" s="16" t="n">
        <v>6771.44</v>
      </c>
      <c r="G45" s="15" t="n">
        <v>11</v>
      </c>
      <c r="H45" s="16" t="n">
        <v>12570.49</v>
      </c>
      <c r="I45" s="15" t="n">
        <v>12</v>
      </c>
      <c r="J45" s="16" t="n">
        <v>19383.998</v>
      </c>
      <c r="K45" s="15" t="n">
        <v>14</v>
      </c>
      <c r="L45" s="16" t="n">
        <v>17378.71</v>
      </c>
      <c r="M45" s="15" t="n">
        <v>12</v>
      </c>
      <c r="N45" s="16" t="n">
        <v>10622.915</v>
      </c>
      <c r="O45" s="15" t="n">
        <v>12</v>
      </c>
      <c r="P45" s="16" t="n">
        <v>10222.5</v>
      </c>
      <c r="Q45" s="15" t="n">
        <v>9</v>
      </c>
      <c r="R45" s="16" t="n">
        <v>16550</v>
      </c>
      <c r="S45" s="15" t="n">
        <v>13</v>
      </c>
      <c r="T45" s="16" t="n">
        <v>13419.79</v>
      </c>
      <c r="U45" s="15" t="n">
        <v>11</v>
      </c>
      <c r="V45" s="16" t="n">
        <v>11935.59</v>
      </c>
      <c r="W45" s="15" t="n">
        <v>26</v>
      </c>
      <c r="X45" s="16" t="n">
        <v>39302.46</v>
      </c>
      <c r="Y45" s="15" t="n">
        <v>14</v>
      </c>
      <c r="Z45" s="16" t="n">
        <v>26120.54</v>
      </c>
      <c r="AA45" s="15" t="n">
        <v>13</v>
      </c>
      <c r="AB45" s="16" t="n">
        <v>14545.09</v>
      </c>
      <c r="AC45" s="15" t="n">
        <f aca="false">SUM(E45,G45,I45,K45,M45,O45,Q45,S45,U45,W45,Y45,AA45)</f>
        <v>152</v>
      </c>
      <c r="AD45" s="16" t="n">
        <f aca="false">SUM(F45,H45,J45,L45,N45,P45,R45,T45,V45,X45,Z45,AB45)</f>
        <v>198823.523</v>
      </c>
    </row>
    <row r="46" customFormat="false" ht="15" hidden="false" customHeight="false" outlineLevel="0" collapsed="false">
      <c r="A46" s="7" t="n">
        <v>2022</v>
      </c>
      <c r="B46" s="7" t="s">
        <v>40</v>
      </c>
      <c r="C46" s="7" t="s">
        <v>51</v>
      </c>
      <c r="D46" s="7" t="s">
        <v>47</v>
      </c>
      <c r="E46" s="13" t="n">
        <v>9</v>
      </c>
      <c r="F46" s="9" t="n">
        <v>33397.5</v>
      </c>
      <c r="G46" s="13" t="n">
        <v>4</v>
      </c>
      <c r="H46" s="9" t="n">
        <v>26000</v>
      </c>
      <c r="I46" s="13" t="n">
        <v>3</v>
      </c>
      <c r="J46" s="9" t="n">
        <v>2670.61</v>
      </c>
      <c r="K46" s="13" t="n">
        <v>1</v>
      </c>
      <c r="L46" s="9" t="n">
        <v>1000</v>
      </c>
      <c r="M46" s="13" t="n">
        <v>4</v>
      </c>
      <c r="N46" s="9" t="n">
        <v>12278.85</v>
      </c>
      <c r="O46" s="13" t="n">
        <v>1</v>
      </c>
      <c r="P46" s="9" t="n">
        <v>1500</v>
      </c>
      <c r="Q46" s="13" t="n">
        <v>5</v>
      </c>
      <c r="R46" s="9" t="n">
        <v>17195.15</v>
      </c>
      <c r="S46" s="13" t="n">
        <v>1</v>
      </c>
      <c r="T46" s="9" t="n">
        <v>1502.35</v>
      </c>
      <c r="U46" s="13" t="n">
        <v>1</v>
      </c>
      <c r="V46" s="9" t="n">
        <v>800</v>
      </c>
      <c r="W46" s="13" t="n">
        <v>1</v>
      </c>
      <c r="X46" s="9" t="n">
        <v>1519.33</v>
      </c>
      <c r="Y46" s="13" t="n">
        <v>1</v>
      </c>
      <c r="Z46" s="9" t="n">
        <v>5000</v>
      </c>
      <c r="AA46" s="13" t="n">
        <v>8</v>
      </c>
      <c r="AB46" s="9" t="n">
        <v>13720</v>
      </c>
      <c r="AC46" s="13" t="n">
        <f aca="false">SUM(E46,G46,I46,K46,M46,O46,Q46,S46,U46,W46,Y46,AA46)</f>
        <v>39</v>
      </c>
      <c r="AD46" s="9" t="n">
        <f aca="false">SUM(F46,H46,J46,L46,N46,P46,R46,T46,V46,X46,Z46,AB46)</f>
        <v>116583.79</v>
      </c>
    </row>
    <row r="47" customFormat="false" ht="15" hidden="false" customHeight="false" outlineLevel="0" collapsed="false">
      <c r="A47" s="14" t="n">
        <v>2022</v>
      </c>
      <c r="B47" s="14" t="s">
        <v>40</v>
      </c>
      <c r="C47" s="14" t="s">
        <v>51</v>
      </c>
      <c r="D47" s="14" t="s">
        <v>78</v>
      </c>
      <c r="E47" s="15" t="n">
        <v>9</v>
      </c>
      <c r="F47" s="16" t="n">
        <v>33397.5</v>
      </c>
      <c r="G47" s="15" t="n">
        <v>4</v>
      </c>
      <c r="H47" s="16" t="n">
        <v>26000</v>
      </c>
      <c r="I47" s="15" t="n">
        <v>3</v>
      </c>
      <c r="J47" s="16" t="n">
        <v>2670.61</v>
      </c>
      <c r="K47" s="15" t="n">
        <v>1</v>
      </c>
      <c r="L47" s="16" t="n">
        <v>1000</v>
      </c>
      <c r="M47" s="15" t="n">
        <v>4</v>
      </c>
      <c r="N47" s="16" t="n">
        <v>12278.85</v>
      </c>
      <c r="O47" s="15" t="n">
        <v>1</v>
      </c>
      <c r="P47" s="16" t="n">
        <v>1500</v>
      </c>
      <c r="Q47" s="15" t="n">
        <v>5</v>
      </c>
      <c r="R47" s="16" t="n">
        <v>17195.15</v>
      </c>
      <c r="S47" s="15" t="n">
        <v>1</v>
      </c>
      <c r="T47" s="16" t="n">
        <v>1502.35</v>
      </c>
      <c r="U47" s="15" t="n">
        <v>1</v>
      </c>
      <c r="V47" s="16" t="n">
        <v>800</v>
      </c>
      <c r="W47" s="15" t="n">
        <v>1</v>
      </c>
      <c r="X47" s="16" t="n">
        <v>1519.33</v>
      </c>
      <c r="Y47" s="15" t="n">
        <v>1</v>
      </c>
      <c r="Z47" s="16" t="n">
        <v>5000</v>
      </c>
      <c r="AA47" s="15" t="n">
        <v>8</v>
      </c>
      <c r="AB47" s="16" t="n">
        <v>13720</v>
      </c>
      <c r="AC47" s="15" t="n">
        <f aca="false">SUM(E47,G47,I47,K47,M47,O47,Q47,S47,U47,W47,Y47,AA47)</f>
        <v>39</v>
      </c>
      <c r="AD47" s="16" t="n">
        <f aca="false">SUM(F47,H47,J47,L47,N47,P47,R47,T47,V47,X47,Z47,AB47)</f>
        <v>116583.79</v>
      </c>
    </row>
    <row r="48" customFormat="false" ht="15" hidden="false" customHeight="false" outlineLevel="0" collapsed="false">
      <c r="A48" s="7" t="n">
        <v>2023</v>
      </c>
      <c r="B48" s="7" t="s">
        <v>53</v>
      </c>
      <c r="C48" s="7" t="s">
        <v>41</v>
      </c>
      <c r="D48" s="7" t="s">
        <v>56</v>
      </c>
      <c r="E48" s="13"/>
      <c r="F48" s="9"/>
      <c r="G48" s="13"/>
      <c r="H48" s="9"/>
      <c r="I48" s="13"/>
      <c r="J48" s="9"/>
      <c r="K48" s="13"/>
      <c r="L48" s="9"/>
      <c r="M48" s="13"/>
      <c r="N48" s="9"/>
      <c r="O48" s="13"/>
      <c r="P48" s="9"/>
      <c r="Q48" s="13"/>
      <c r="R48" s="9"/>
      <c r="S48" s="13"/>
      <c r="T48" s="9"/>
      <c r="U48" s="13"/>
      <c r="V48" s="9"/>
      <c r="W48" s="13"/>
      <c r="X48" s="9"/>
      <c r="Y48" s="13" t="n">
        <v>1</v>
      </c>
      <c r="Z48" s="9" t="n">
        <v>529</v>
      </c>
      <c r="AA48" s="13"/>
      <c r="AB48" s="9"/>
      <c r="AC48" s="13" t="n">
        <f aca="false">SUM(E48,G48,I48,K48,M48,O48,Q48,S48,U48,W48,Y48,AA48)</f>
        <v>1</v>
      </c>
      <c r="AD48" s="9" t="n">
        <f aca="false">SUM(F48,H48,J48,L48,N48,P48,R48,T48,V48,X48,Z48,AB48)</f>
        <v>529</v>
      </c>
    </row>
    <row r="49" customFormat="false" ht="15" hidden="false" customHeight="false" outlineLevel="0" collapsed="false">
      <c r="A49" s="14" t="n">
        <v>2023</v>
      </c>
      <c r="B49" s="14" t="s">
        <v>53</v>
      </c>
      <c r="C49" s="14" t="s">
        <v>41</v>
      </c>
      <c r="D49" s="14" t="s">
        <v>79</v>
      </c>
      <c r="E49" s="15"/>
      <c r="F49" s="16"/>
      <c r="G49" s="15"/>
      <c r="H49" s="16"/>
      <c r="I49" s="15"/>
      <c r="J49" s="16"/>
      <c r="K49" s="15"/>
      <c r="L49" s="16"/>
      <c r="M49" s="15"/>
      <c r="N49" s="16"/>
      <c r="O49" s="15"/>
      <c r="P49" s="16"/>
      <c r="Q49" s="15"/>
      <c r="R49" s="16"/>
      <c r="S49" s="15"/>
      <c r="T49" s="16"/>
      <c r="U49" s="15"/>
      <c r="V49" s="16"/>
      <c r="W49" s="15"/>
      <c r="X49" s="16"/>
      <c r="Y49" s="15"/>
      <c r="Z49" s="16"/>
      <c r="AA49" s="15"/>
      <c r="AB49" s="16"/>
      <c r="AC49" s="15" t="n">
        <f aca="false">SUM(E49,G49,I49,K49,M49,O49,Q49,S49,U49,W49,Y49,AA49)</f>
        <v>0</v>
      </c>
      <c r="AD49" s="16" t="n">
        <f aca="false">SUM(F49,H49,J49,L49,N49,P49,R49,T49,V49,X49,Z49,AB49)</f>
        <v>0</v>
      </c>
    </row>
    <row r="50" customFormat="false" ht="15" hidden="false" customHeight="false" outlineLevel="0" collapsed="false">
      <c r="A50" s="14" t="n">
        <v>2023</v>
      </c>
      <c r="B50" s="14" t="s">
        <v>53</v>
      </c>
      <c r="C50" s="14" t="s">
        <v>41</v>
      </c>
      <c r="D50" s="14" t="s">
        <v>80</v>
      </c>
      <c r="E50" s="15"/>
      <c r="F50" s="16"/>
      <c r="G50" s="15"/>
      <c r="H50" s="16"/>
      <c r="I50" s="15"/>
      <c r="J50" s="16"/>
      <c r="K50" s="15"/>
      <c r="L50" s="16"/>
      <c r="M50" s="15"/>
      <c r="N50" s="16"/>
      <c r="O50" s="15"/>
      <c r="P50" s="16"/>
      <c r="Q50" s="15"/>
      <c r="R50" s="16"/>
      <c r="S50" s="15"/>
      <c r="T50" s="16"/>
      <c r="U50" s="15"/>
      <c r="V50" s="16"/>
      <c r="W50" s="15"/>
      <c r="X50" s="16"/>
      <c r="Y50" s="15" t="n">
        <v>1</v>
      </c>
      <c r="Z50" s="16" t="n">
        <v>529</v>
      </c>
      <c r="AA50" s="15"/>
      <c r="AB50" s="16"/>
      <c r="AC50" s="15" t="n">
        <f aca="false">SUM(E50,G50,I50,K50,M50,O50,Q50,S50,U50,W50,Y50,AA50)</f>
        <v>1</v>
      </c>
      <c r="AD50" s="16" t="n">
        <f aca="false">SUM(F50,H50,J50,L50,N50,P50,R50,T50,V50,X50,Z50,AB50)</f>
        <v>529</v>
      </c>
    </row>
    <row r="51" customFormat="false" ht="15" hidden="false" customHeight="false" outlineLevel="0" collapsed="false">
      <c r="A51" s="7" t="n">
        <v>2023</v>
      </c>
      <c r="B51" s="7" t="s">
        <v>53</v>
      </c>
      <c r="C51" s="7" t="s">
        <v>54</v>
      </c>
      <c r="D51" s="7" t="s">
        <v>56</v>
      </c>
      <c r="E51" s="13" t="n">
        <v>1</v>
      </c>
      <c r="F51" s="9" t="n">
        <v>12.8</v>
      </c>
      <c r="G51" s="13" t="n">
        <v>1</v>
      </c>
      <c r="H51" s="9" t="n">
        <v>252</v>
      </c>
      <c r="I51" s="13" t="n">
        <v>3</v>
      </c>
      <c r="J51" s="9" t="n">
        <v>1052</v>
      </c>
      <c r="K51" s="13" t="n">
        <v>1</v>
      </c>
      <c r="L51" s="9" t="n">
        <v>170</v>
      </c>
      <c r="M51" s="13" t="n">
        <v>1</v>
      </c>
      <c r="N51" s="9" t="n">
        <v>12.8</v>
      </c>
      <c r="O51" s="13" t="n">
        <v>2</v>
      </c>
      <c r="P51" s="9" t="n">
        <v>753</v>
      </c>
      <c r="Q51" s="13"/>
      <c r="R51" s="9"/>
      <c r="S51" s="13" t="n">
        <v>4</v>
      </c>
      <c r="T51" s="9" t="n">
        <v>3555.9</v>
      </c>
      <c r="U51" s="13" t="n">
        <v>3</v>
      </c>
      <c r="V51" s="9" t="n">
        <v>774.255</v>
      </c>
      <c r="W51" s="13" t="n">
        <v>2</v>
      </c>
      <c r="X51" s="9" t="n">
        <v>3332.03</v>
      </c>
      <c r="Y51" s="13" t="n">
        <v>1</v>
      </c>
      <c r="Z51" s="9" t="n">
        <v>25.65</v>
      </c>
      <c r="AA51" s="13" t="n">
        <v>2</v>
      </c>
      <c r="AB51" s="9" t="n">
        <v>1174.4</v>
      </c>
      <c r="AC51" s="13" t="n">
        <f aca="false">SUM(E51,G51,I51,K51,M51,O51,Q51,S51,U51,W51,Y51,AA51)</f>
        <v>21</v>
      </c>
      <c r="AD51" s="9" t="n">
        <f aca="false">SUM(F51,H51,J51,L51,N51,P51,R51,T51,V51,X51,Z51,AB51)</f>
        <v>11114.835</v>
      </c>
    </row>
    <row r="52" customFormat="false" ht="15" hidden="false" customHeight="false" outlineLevel="0" collapsed="false">
      <c r="A52" s="7" t="n">
        <v>2023</v>
      </c>
      <c r="B52" s="7" t="s">
        <v>40</v>
      </c>
      <c r="C52" s="7" t="s">
        <v>41</v>
      </c>
      <c r="D52" s="7" t="s">
        <v>43</v>
      </c>
      <c r="E52" s="13" t="n">
        <v>4</v>
      </c>
      <c r="F52" s="9" t="n">
        <v>5310</v>
      </c>
      <c r="G52" s="13" t="n">
        <v>4</v>
      </c>
      <c r="H52" s="9" t="n">
        <v>4148</v>
      </c>
      <c r="I52" s="13" t="n">
        <v>2</v>
      </c>
      <c r="J52" s="9" t="n">
        <v>4289</v>
      </c>
      <c r="K52" s="13" t="n">
        <v>9</v>
      </c>
      <c r="L52" s="9" t="n">
        <v>9121</v>
      </c>
      <c r="M52" s="13" t="n">
        <v>5</v>
      </c>
      <c r="N52" s="9" t="n">
        <v>5400</v>
      </c>
      <c r="O52" s="13" t="n">
        <v>5</v>
      </c>
      <c r="P52" s="9" t="n">
        <v>6690</v>
      </c>
      <c r="Q52" s="13" t="n">
        <v>10</v>
      </c>
      <c r="R52" s="9" t="n">
        <v>15790.1</v>
      </c>
      <c r="S52" s="13" t="n">
        <v>1</v>
      </c>
      <c r="T52" s="9" t="n">
        <v>480</v>
      </c>
      <c r="U52" s="13" t="n">
        <v>3</v>
      </c>
      <c r="V52" s="9" t="n">
        <v>2763</v>
      </c>
      <c r="W52" s="13" t="n">
        <v>6</v>
      </c>
      <c r="X52" s="9" t="n">
        <v>8900</v>
      </c>
      <c r="Y52" s="13" t="n">
        <v>4</v>
      </c>
      <c r="Z52" s="9" t="n">
        <v>5361</v>
      </c>
      <c r="AA52" s="13" t="n">
        <v>3</v>
      </c>
      <c r="AB52" s="9" t="n">
        <v>5990.7</v>
      </c>
      <c r="AC52" s="13" t="n">
        <f aca="false">SUM(E52,G52,I52,K52,M52,O52,Q52,S52,U52,W52,Y52,AA52)</f>
        <v>56</v>
      </c>
      <c r="AD52" s="9" t="n">
        <f aca="false">SUM(F52,H52,J52,L52,N52,P52,R52,T52,V52,X52,Z52,AB52)</f>
        <v>74242.8</v>
      </c>
    </row>
    <row r="53" customFormat="false" ht="15" hidden="false" customHeight="false" outlineLevel="0" collapsed="false">
      <c r="A53" s="7" t="n">
        <v>2023</v>
      </c>
      <c r="B53" s="7" t="s">
        <v>40</v>
      </c>
      <c r="C53" s="7" t="s">
        <v>41</v>
      </c>
      <c r="D53" s="7" t="s">
        <v>45</v>
      </c>
      <c r="E53" s="13" t="n">
        <v>2</v>
      </c>
      <c r="F53" s="9" t="n">
        <v>682</v>
      </c>
      <c r="G53" s="13" t="n">
        <v>1</v>
      </c>
      <c r="H53" s="9" t="n">
        <v>878</v>
      </c>
      <c r="I53" s="13"/>
      <c r="J53" s="9"/>
      <c r="K53" s="13" t="n">
        <v>1</v>
      </c>
      <c r="L53" s="9" t="n">
        <v>2800</v>
      </c>
      <c r="M53" s="13" t="n">
        <v>2</v>
      </c>
      <c r="N53" s="9" t="n">
        <v>2960</v>
      </c>
      <c r="O53" s="13" t="n">
        <v>2</v>
      </c>
      <c r="P53" s="9" t="n">
        <v>900</v>
      </c>
      <c r="Q53" s="13" t="n">
        <v>1</v>
      </c>
      <c r="R53" s="9" t="n">
        <v>296</v>
      </c>
      <c r="S53" s="13"/>
      <c r="T53" s="9"/>
      <c r="U53" s="13"/>
      <c r="V53" s="9"/>
      <c r="W53" s="13"/>
      <c r="X53" s="9"/>
      <c r="Y53" s="13" t="n">
        <v>3</v>
      </c>
      <c r="Z53" s="9" t="n">
        <v>4080</v>
      </c>
      <c r="AA53" s="13"/>
      <c r="AB53" s="9"/>
      <c r="AC53" s="13" t="n">
        <f aca="false">SUM(E53,G53,I53,K53,M53,O53,Q53,S53,U53,W53,Y53,AA53)</f>
        <v>12</v>
      </c>
      <c r="AD53" s="9" t="n">
        <f aca="false">SUM(F53,H53,J53,L53,N53,P53,R53,T53,V53,X53,Z53,AB53)</f>
        <v>12596</v>
      </c>
    </row>
    <row r="54" customFormat="false" ht="15" hidden="false" customHeight="false" outlineLevel="0" collapsed="false">
      <c r="A54" s="7" t="n">
        <v>2023</v>
      </c>
      <c r="B54" s="7" t="s">
        <v>40</v>
      </c>
      <c r="C54" s="7" t="s">
        <v>41</v>
      </c>
      <c r="D54" s="7" t="s">
        <v>58</v>
      </c>
      <c r="E54" s="13" t="n">
        <v>1</v>
      </c>
      <c r="F54" s="9" t="n">
        <v>184</v>
      </c>
      <c r="G54" s="13"/>
      <c r="H54" s="9"/>
      <c r="I54" s="13"/>
      <c r="J54" s="9"/>
      <c r="K54" s="13"/>
      <c r="L54" s="9"/>
      <c r="M54" s="13"/>
      <c r="N54" s="9"/>
      <c r="O54" s="13"/>
      <c r="P54" s="9"/>
      <c r="Q54" s="13"/>
      <c r="R54" s="9"/>
      <c r="S54" s="13"/>
      <c r="T54" s="9"/>
      <c r="U54" s="13" t="n">
        <v>1</v>
      </c>
      <c r="V54" s="9" t="n">
        <v>160</v>
      </c>
      <c r="W54" s="13" t="n">
        <v>1</v>
      </c>
      <c r="X54" s="9" t="n">
        <v>488</v>
      </c>
      <c r="Y54" s="13"/>
      <c r="Z54" s="9"/>
      <c r="AA54" s="13" t="n">
        <v>1</v>
      </c>
      <c r="AB54" s="9" t="n">
        <v>262.8</v>
      </c>
      <c r="AC54" s="13" t="n">
        <f aca="false">SUM(E54,G54,I54,K54,M54,O54,Q54,S54,U54,W54,Y54,AA54)</f>
        <v>4</v>
      </c>
      <c r="AD54" s="9" t="n">
        <f aca="false">SUM(F54,H54,J54,L54,N54,P54,R54,T54,V54,X54,Z54,AB54)</f>
        <v>1094.8</v>
      </c>
    </row>
    <row r="55" customFormat="false" ht="15" hidden="false" customHeight="false" outlineLevel="0" collapsed="false">
      <c r="A55" s="7" t="n">
        <v>2023</v>
      </c>
      <c r="B55" s="7" t="s">
        <v>40</v>
      </c>
      <c r="C55" s="7" t="s">
        <v>41</v>
      </c>
      <c r="D55" s="7" t="s">
        <v>47</v>
      </c>
      <c r="E55" s="13" t="n">
        <v>3</v>
      </c>
      <c r="F55" s="9" t="n">
        <v>4560.71</v>
      </c>
      <c r="G55" s="13" t="n">
        <v>2</v>
      </c>
      <c r="H55" s="9" t="n">
        <v>3446.81</v>
      </c>
      <c r="I55" s="13" t="n">
        <v>4</v>
      </c>
      <c r="J55" s="9" t="n">
        <v>6089.76</v>
      </c>
      <c r="K55" s="13" t="n">
        <v>3</v>
      </c>
      <c r="L55" s="9" t="n">
        <v>5128.29</v>
      </c>
      <c r="M55" s="13" t="n">
        <v>2</v>
      </c>
      <c r="N55" s="9" t="n">
        <v>4810.19</v>
      </c>
      <c r="O55" s="13" t="n">
        <v>3</v>
      </c>
      <c r="P55" s="9" t="n">
        <v>5268.2</v>
      </c>
      <c r="Q55" s="13" t="n">
        <v>3</v>
      </c>
      <c r="R55" s="9" t="n">
        <v>2411.9</v>
      </c>
      <c r="S55" s="13" t="n">
        <v>4</v>
      </c>
      <c r="T55" s="9" t="n">
        <v>7314.96</v>
      </c>
      <c r="U55" s="13" t="n">
        <v>2</v>
      </c>
      <c r="V55" s="9" t="n">
        <v>4278.02</v>
      </c>
      <c r="W55" s="13" t="n">
        <v>1</v>
      </c>
      <c r="X55" s="9" t="n">
        <v>1584.1</v>
      </c>
      <c r="Y55" s="13" t="n">
        <v>2</v>
      </c>
      <c r="Z55" s="9" t="n">
        <v>2935.37</v>
      </c>
      <c r="AA55" s="13"/>
      <c r="AB55" s="9"/>
      <c r="AC55" s="13" t="n">
        <f aca="false">SUM(E55,G55,I55,K55,M55,O55,Q55,S55,U55,W55,Y55,AA55)</f>
        <v>29</v>
      </c>
      <c r="AD55" s="9" t="n">
        <f aca="false">SUM(F55,H55,J55,L55,N55,P55,R55,T55,V55,X55,Z55,AB55)</f>
        <v>47828.31</v>
      </c>
    </row>
    <row r="56" customFormat="false" ht="15" hidden="false" customHeight="false" outlineLevel="0" collapsed="false">
      <c r="A56" s="7" t="n">
        <v>2023</v>
      </c>
      <c r="B56" s="7" t="s">
        <v>40</v>
      </c>
      <c r="C56" s="7" t="s">
        <v>41</v>
      </c>
      <c r="D56" s="7" t="s">
        <v>49</v>
      </c>
      <c r="E56" s="13" t="n">
        <v>2</v>
      </c>
      <c r="F56" s="9" t="n">
        <v>2200.41</v>
      </c>
      <c r="G56" s="13" t="n">
        <v>1</v>
      </c>
      <c r="H56" s="9" t="n">
        <v>334.3</v>
      </c>
      <c r="I56" s="13" t="n">
        <v>1</v>
      </c>
      <c r="J56" s="9" t="n">
        <v>967.2</v>
      </c>
      <c r="K56" s="13" t="n">
        <v>4</v>
      </c>
      <c r="L56" s="9" t="n">
        <v>3603.25</v>
      </c>
      <c r="M56" s="13"/>
      <c r="N56" s="9"/>
      <c r="O56" s="13"/>
      <c r="P56" s="9"/>
      <c r="Q56" s="13"/>
      <c r="R56" s="9"/>
      <c r="S56" s="13" t="n">
        <v>1</v>
      </c>
      <c r="T56" s="9" t="n">
        <v>830.79</v>
      </c>
      <c r="U56" s="13" t="n">
        <v>2</v>
      </c>
      <c r="V56" s="9" t="n">
        <v>1352</v>
      </c>
      <c r="W56" s="13" t="n">
        <v>4</v>
      </c>
      <c r="X56" s="9" t="n">
        <v>2500.25</v>
      </c>
      <c r="Y56" s="13" t="n">
        <v>7</v>
      </c>
      <c r="Z56" s="9" t="n">
        <v>6488.69</v>
      </c>
      <c r="AA56" s="13" t="n">
        <v>7</v>
      </c>
      <c r="AB56" s="9" t="n">
        <v>10831.7</v>
      </c>
      <c r="AC56" s="13" t="n">
        <f aca="false">SUM(E56,G56,I56,K56,M56,O56,Q56,S56,U56,W56,Y56,AA56)</f>
        <v>29</v>
      </c>
      <c r="AD56" s="9" t="n">
        <f aca="false">SUM(F56,H56,J56,L56,N56,P56,R56,T56,V56,X56,Z56,AB56)</f>
        <v>29108.59</v>
      </c>
    </row>
    <row r="57" customFormat="false" ht="15" hidden="false" customHeight="false" outlineLevel="0" collapsed="false">
      <c r="A57" s="14" t="n">
        <v>2023</v>
      </c>
      <c r="B57" s="14" t="s">
        <v>40</v>
      </c>
      <c r="C57" s="14" t="s">
        <v>41</v>
      </c>
      <c r="D57" s="14" t="s">
        <v>78</v>
      </c>
      <c r="E57" s="15" t="n">
        <v>12</v>
      </c>
      <c r="F57" s="16" t="n">
        <v>12937.12</v>
      </c>
      <c r="G57" s="15" t="n">
        <v>8</v>
      </c>
      <c r="H57" s="16" t="n">
        <v>8807.11</v>
      </c>
      <c r="I57" s="15" t="n">
        <v>7</v>
      </c>
      <c r="J57" s="16" t="n">
        <v>11345.96</v>
      </c>
      <c r="K57" s="15" t="n">
        <v>17</v>
      </c>
      <c r="L57" s="16" t="n">
        <v>20652.54</v>
      </c>
      <c r="M57" s="15" t="n">
        <v>9</v>
      </c>
      <c r="N57" s="16" t="n">
        <v>13170.19</v>
      </c>
      <c r="O57" s="15" t="n">
        <v>10</v>
      </c>
      <c r="P57" s="16" t="n">
        <v>12858.2</v>
      </c>
      <c r="Q57" s="15" t="n">
        <v>14</v>
      </c>
      <c r="R57" s="16" t="n">
        <v>18498</v>
      </c>
      <c r="S57" s="15" t="n">
        <v>6</v>
      </c>
      <c r="T57" s="16" t="n">
        <v>8625.75</v>
      </c>
      <c r="U57" s="15" t="n">
        <v>8</v>
      </c>
      <c r="V57" s="16" t="n">
        <v>8553.02</v>
      </c>
      <c r="W57" s="15" t="n">
        <v>12</v>
      </c>
      <c r="X57" s="16" t="n">
        <v>13472.35</v>
      </c>
      <c r="Y57" s="15" t="n">
        <v>16</v>
      </c>
      <c r="Z57" s="16" t="n">
        <v>18865.06</v>
      </c>
      <c r="AA57" s="15" t="n">
        <v>11</v>
      </c>
      <c r="AB57" s="16" t="n">
        <v>17085.2</v>
      </c>
      <c r="AC57" s="15" t="n">
        <f aca="false">SUM(E57,G57,I57,K57,M57,O57,Q57,S57,U57,W57,Y57,AA57)</f>
        <v>130</v>
      </c>
      <c r="AD57" s="16" t="n">
        <f aca="false">SUM(F57,H57,J57,L57,N57,P57,R57,T57,V57,X57,Z57,AB57)</f>
        <v>164870.5</v>
      </c>
    </row>
    <row r="58" customFormat="false" ht="15" hidden="false" customHeight="false" outlineLevel="0" collapsed="false">
      <c r="A58" s="7" t="n">
        <v>2023</v>
      </c>
      <c r="B58" s="7" t="s">
        <v>40</v>
      </c>
      <c r="C58" s="7" t="s">
        <v>51</v>
      </c>
      <c r="D58" s="7" t="s">
        <v>47</v>
      </c>
      <c r="E58" s="13" t="n">
        <v>2</v>
      </c>
      <c r="F58" s="9" t="n">
        <v>2500</v>
      </c>
      <c r="G58" s="13" t="n">
        <v>6</v>
      </c>
      <c r="H58" s="9" t="n">
        <v>19490</v>
      </c>
      <c r="I58" s="13" t="n">
        <v>9</v>
      </c>
      <c r="J58" s="9" t="n">
        <v>28500</v>
      </c>
      <c r="K58" s="13" t="n">
        <v>4</v>
      </c>
      <c r="L58" s="9" t="n">
        <v>20000</v>
      </c>
      <c r="M58" s="13" t="n">
        <v>3</v>
      </c>
      <c r="N58" s="9" t="n">
        <v>11067.88</v>
      </c>
      <c r="O58" s="13" t="n">
        <v>1</v>
      </c>
      <c r="P58" s="9" t="n">
        <v>4572.14</v>
      </c>
      <c r="Q58" s="13" t="n">
        <v>7</v>
      </c>
      <c r="R58" s="9" t="n">
        <v>18462.05</v>
      </c>
      <c r="S58" s="13" t="n">
        <v>1</v>
      </c>
      <c r="T58" s="9" t="n">
        <v>500</v>
      </c>
      <c r="U58" s="13"/>
      <c r="V58" s="9"/>
      <c r="W58" s="13" t="n">
        <v>1</v>
      </c>
      <c r="X58" s="9" t="n">
        <v>5079</v>
      </c>
      <c r="Y58" s="13" t="n">
        <v>1</v>
      </c>
      <c r="Z58" s="9" t="n">
        <v>300</v>
      </c>
      <c r="AA58" s="13" t="n">
        <v>3</v>
      </c>
      <c r="AB58" s="9" t="n">
        <v>5821.1</v>
      </c>
      <c r="AC58" s="13" t="n">
        <f aca="false">SUM(E58,G58,I58,K58,M58,O58,Q58,S58,U58,W58,Y58,AA58)</f>
        <v>38</v>
      </c>
      <c r="AD58" s="9" t="n">
        <f aca="false">SUM(F58,H58,J58,L58,N58,P58,R58,T58,V58,X58,Z58,AB58)</f>
        <v>116292.17</v>
      </c>
    </row>
    <row r="59" customFormat="false" ht="15" hidden="false" customHeight="false" outlineLevel="0" collapsed="false">
      <c r="A59" s="14" t="n">
        <v>2023</v>
      </c>
      <c r="B59" s="14" t="s">
        <v>40</v>
      </c>
      <c r="C59" s="14" t="s">
        <v>51</v>
      </c>
      <c r="D59" s="14" t="s">
        <v>78</v>
      </c>
      <c r="E59" s="15" t="n">
        <v>2</v>
      </c>
      <c r="F59" s="16" t="n">
        <v>2500</v>
      </c>
      <c r="G59" s="15" t="n">
        <v>6</v>
      </c>
      <c r="H59" s="16" t="n">
        <v>19490</v>
      </c>
      <c r="I59" s="15" t="n">
        <v>9</v>
      </c>
      <c r="J59" s="16" t="n">
        <v>28500</v>
      </c>
      <c r="K59" s="15" t="n">
        <v>4</v>
      </c>
      <c r="L59" s="16" t="n">
        <v>20000</v>
      </c>
      <c r="M59" s="15" t="n">
        <v>3</v>
      </c>
      <c r="N59" s="16" t="n">
        <v>11067.88</v>
      </c>
      <c r="O59" s="15" t="n">
        <v>1</v>
      </c>
      <c r="P59" s="16" t="n">
        <v>4572.14</v>
      </c>
      <c r="Q59" s="15" t="n">
        <v>7</v>
      </c>
      <c r="R59" s="16" t="n">
        <v>18462.05</v>
      </c>
      <c r="S59" s="15" t="n">
        <v>1</v>
      </c>
      <c r="T59" s="16" t="n">
        <v>500</v>
      </c>
      <c r="U59" s="15"/>
      <c r="V59" s="16"/>
      <c r="W59" s="15" t="n">
        <v>1</v>
      </c>
      <c r="X59" s="16" t="n">
        <v>5079</v>
      </c>
      <c r="Y59" s="15" t="n">
        <v>1</v>
      </c>
      <c r="Z59" s="16" t="n">
        <v>300</v>
      </c>
      <c r="AA59" s="15" t="n">
        <v>3</v>
      </c>
      <c r="AB59" s="16" t="n">
        <v>5821.1</v>
      </c>
      <c r="AC59" s="15" t="n">
        <f aca="false">SUM(E59,G59,I59,K59,M59,O59,Q59,S59,U59,W59,Y59,AA59)</f>
        <v>38</v>
      </c>
      <c r="AD59" s="16" t="n">
        <f aca="false">SUM(F59,H59,J59,L59,N59,P59,R59,T59,V59,X59,Z59,AB59)</f>
        <v>116292.17</v>
      </c>
    </row>
    <row r="60" customFormat="false" ht="15" hidden="false" customHeight="false" outlineLevel="0" collapsed="false">
      <c r="A60" s="7" t="n">
        <v>2024</v>
      </c>
      <c r="B60" s="7" t="s">
        <v>53</v>
      </c>
      <c r="C60" s="7" t="s">
        <v>54</v>
      </c>
      <c r="D60" s="7" t="s">
        <v>59</v>
      </c>
      <c r="E60" s="13"/>
      <c r="F60" s="9"/>
      <c r="G60" s="13"/>
      <c r="H60" s="9"/>
      <c r="I60" s="13"/>
      <c r="J60" s="9"/>
      <c r="K60" s="13"/>
      <c r="L60" s="9"/>
      <c r="M60" s="13"/>
      <c r="N60" s="9"/>
      <c r="O60" s="13" t="n">
        <v>1</v>
      </c>
      <c r="P60" s="9" t="n">
        <v>40</v>
      </c>
      <c r="Q60" s="13"/>
      <c r="R60" s="9"/>
      <c r="S60" s="13"/>
      <c r="T60" s="9"/>
      <c r="U60" s="13"/>
      <c r="V60" s="9"/>
      <c r="W60" s="13" t="n">
        <v>1</v>
      </c>
      <c r="X60" s="9" t="n">
        <v>114</v>
      </c>
      <c r="Y60" s="13"/>
      <c r="Z60" s="9"/>
      <c r="AA60" s="13"/>
      <c r="AB60" s="9"/>
      <c r="AC60" s="13" t="n">
        <f aca="false">SUM(E60,G60,I60,K60,M60,O60,Q60,S60,U60,W60,Y60,AA60)</f>
        <v>2</v>
      </c>
      <c r="AD60" s="9" t="n">
        <f aca="false">SUM(F60,H60,J60,L60,N60,P60,R60,T60,V60,X60,Z60,AB60)</f>
        <v>154</v>
      </c>
    </row>
    <row r="61" customFormat="false" ht="15" hidden="false" customHeight="false" outlineLevel="0" collapsed="false">
      <c r="A61" s="7" t="n">
        <v>2024</v>
      </c>
      <c r="B61" s="7" t="s">
        <v>53</v>
      </c>
      <c r="C61" s="7" t="s">
        <v>54</v>
      </c>
      <c r="D61" s="7" t="s">
        <v>56</v>
      </c>
      <c r="E61" s="13" t="n">
        <v>2</v>
      </c>
      <c r="F61" s="9" t="n">
        <v>3103.38</v>
      </c>
      <c r="G61" s="13" t="n">
        <v>2</v>
      </c>
      <c r="H61" s="9" t="n">
        <v>1463.4</v>
      </c>
      <c r="I61" s="13"/>
      <c r="J61" s="9"/>
      <c r="K61" s="13" t="n">
        <v>2</v>
      </c>
      <c r="L61" s="9" t="n">
        <v>556.1</v>
      </c>
      <c r="M61" s="13" t="n">
        <v>2</v>
      </c>
      <c r="N61" s="9" t="n">
        <v>2242.8</v>
      </c>
      <c r="O61" s="13" t="n">
        <v>1</v>
      </c>
      <c r="P61" s="9" t="n">
        <v>230</v>
      </c>
      <c r="Q61" s="13" t="n">
        <v>3</v>
      </c>
      <c r="R61" s="9" t="n">
        <v>3508.5</v>
      </c>
      <c r="S61" s="13" t="n">
        <v>2</v>
      </c>
      <c r="T61" s="9" t="n">
        <v>204.25</v>
      </c>
      <c r="U61" s="13" t="n">
        <v>4</v>
      </c>
      <c r="V61" s="9" t="n">
        <v>1357.5</v>
      </c>
      <c r="W61" s="13" t="n">
        <v>2</v>
      </c>
      <c r="X61" s="9" t="n">
        <v>2500.1</v>
      </c>
      <c r="Y61" s="13" t="n">
        <v>2</v>
      </c>
      <c r="Z61" s="9" t="n">
        <v>116</v>
      </c>
      <c r="AA61" s="13" t="n">
        <v>1</v>
      </c>
      <c r="AB61" s="9" t="n">
        <v>3602.2</v>
      </c>
      <c r="AC61" s="13" t="n">
        <f aca="false">SUM(E61,G61,I61,K61,M61,O61,Q61,S61,U61,W61,Y61,AA61)</f>
        <v>23</v>
      </c>
      <c r="AD61" s="9" t="n">
        <f aca="false">SUM(F61,H61,J61,L61,N61,P61,R61,T61,V61,X61,Z61,AB61)</f>
        <v>18884.23</v>
      </c>
    </row>
    <row r="62" customFormat="false" ht="15" hidden="false" customHeight="false" outlineLevel="0" collapsed="false">
      <c r="A62" s="7" t="n">
        <v>2024</v>
      </c>
      <c r="B62" s="7" t="s">
        <v>40</v>
      </c>
      <c r="C62" s="7" t="s">
        <v>41</v>
      </c>
      <c r="D62" s="7" t="s">
        <v>43</v>
      </c>
      <c r="E62" s="13" t="n">
        <v>9</v>
      </c>
      <c r="F62" s="9" t="n">
        <v>8400</v>
      </c>
      <c r="G62" s="13" t="n">
        <v>5</v>
      </c>
      <c r="H62" s="9" t="n">
        <v>7800</v>
      </c>
      <c r="I62" s="13" t="n">
        <v>4</v>
      </c>
      <c r="J62" s="9" t="n">
        <v>5500</v>
      </c>
      <c r="K62" s="13" t="n">
        <v>5</v>
      </c>
      <c r="L62" s="9" t="n">
        <v>9400</v>
      </c>
      <c r="M62" s="13" t="n">
        <v>5</v>
      </c>
      <c r="N62" s="9" t="n">
        <v>8451.25</v>
      </c>
      <c r="O62" s="13" t="n">
        <v>6</v>
      </c>
      <c r="P62" s="9" t="n">
        <v>9551</v>
      </c>
      <c r="Q62" s="13" t="n">
        <v>7</v>
      </c>
      <c r="R62" s="9" t="n">
        <v>7982.575</v>
      </c>
      <c r="S62" s="13" t="n">
        <v>1</v>
      </c>
      <c r="T62" s="9" t="n">
        <v>3000</v>
      </c>
      <c r="U62" s="13" t="n">
        <v>2</v>
      </c>
      <c r="V62" s="9" t="n">
        <v>1400</v>
      </c>
      <c r="W62" s="13" t="n">
        <v>1</v>
      </c>
      <c r="X62" s="9" t="n">
        <v>3500</v>
      </c>
      <c r="Y62" s="13" t="n">
        <v>14</v>
      </c>
      <c r="Z62" s="9" t="n">
        <v>20255</v>
      </c>
      <c r="AA62" s="13" t="n">
        <v>5</v>
      </c>
      <c r="AB62" s="9" t="n">
        <v>4150</v>
      </c>
      <c r="AC62" s="13" t="n">
        <f aca="false">SUM(E62,G62,I62,K62,M62,O62,Q62,S62,U62,W62,Y62,AA62)</f>
        <v>64</v>
      </c>
      <c r="AD62" s="9" t="n">
        <f aca="false">SUM(F62,H62,J62,L62,N62,P62,R62,T62,V62,X62,Z62,AB62)</f>
        <v>89389.825</v>
      </c>
    </row>
    <row r="63" customFormat="false" ht="15" hidden="false" customHeight="false" outlineLevel="0" collapsed="false">
      <c r="A63" s="7" t="n">
        <v>2024</v>
      </c>
      <c r="B63" s="7" t="s">
        <v>40</v>
      </c>
      <c r="C63" s="7" t="s">
        <v>41</v>
      </c>
      <c r="D63" s="7" t="s">
        <v>45</v>
      </c>
      <c r="E63" s="13" t="n">
        <v>1</v>
      </c>
      <c r="F63" s="9" t="n">
        <v>86</v>
      </c>
      <c r="G63" s="13"/>
      <c r="H63" s="9"/>
      <c r="I63" s="13"/>
      <c r="J63" s="9"/>
      <c r="K63" s="13"/>
      <c r="L63" s="9"/>
      <c r="M63" s="13"/>
      <c r="N63" s="9"/>
      <c r="O63" s="13"/>
      <c r="P63" s="9"/>
      <c r="Q63" s="13" t="n">
        <v>1</v>
      </c>
      <c r="R63" s="9" t="n">
        <v>3000</v>
      </c>
      <c r="S63" s="13"/>
      <c r="T63" s="9"/>
      <c r="U63" s="13" t="n">
        <v>1</v>
      </c>
      <c r="V63" s="9" t="n">
        <v>1260</v>
      </c>
      <c r="W63" s="13"/>
      <c r="X63" s="9"/>
      <c r="Y63" s="13"/>
      <c r="Z63" s="9"/>
      <c r="AA63" s="13"/>
      <c r="AB63" s="9"/>
      <c r="AC63" s="13" t="n">
        <f aca="false">SUM(E63,G63,I63,K63,M63,O63,Q63,S63,U63,W63,Y63,AA63)</f>
        <v>3</v>
      </c>
      <c r="AD63" s="9" t="n">
        <f aca="false">SUM(F63,H63,J63,L63,N63,P63,R63,T63,V63,X63,Z63,AB63)</f>
        <v>4346</v>
      </c>
    </row>
    <row r="64" customFormat="false" ht="15" hidden="false" customHeight="false" outlineLevel="0" collapsed="false">
      <c r="A64" s="7" t="n">
        <v>2024</v>
      </c>
      <c r="B64" s="7" t="s">
        <v>40</v>
      </c>
      <c r="C64" s="7" t="s">
        <v>41</v>
      </c>
      <c r="D64" s="7" t="s">
        <v>58</v>
      </c>
      <c r="E64" s="13"/>
      <c r="F64" s="9"/>
      <c r="G64" s="13"/>
      <c r="H64" s="9"/>
      <c r="I64" s="13"/>
      <c r="J64" s="9"/>
      <c r="K64" s="13"/>
      <c r="L64" s="9"/>
      <c r="M64" s="13"/>
      <c r="N64" s="9"/>
      <c r="O64" s="13"/>
      <c r="P64" s="9"/>
      <c r="Q64" s="13"/>
      <c r="R64" s="9"/>
      <c r="S64" s="13"/>
      <c r="T64" s="9"/>
      <c r="U64" s="13"/>
      <c r="V64" s="9"/>
      <c r="W64" s="13" t="n">
        <v>2</v>
      </c>
      <c r="X64" s="9" t="n">
        <v>413</v>
      </c>
      <c r="Y64" s="13"/>
      <c r="Z64" s="9"/>
      <c r="AA64" s="13"/>
      <c r="AB64" s="9"/>
      <c r="AC64" s="13" t="n">
        <f aca="false">SUM(E64,G64,I64,K64,M64,O64,Q64,S64,U64,W64,Y64,AA64)</f>
        <v>2</v>
      </c>
      <c r="AD64" s="9" t="n">
        <f aca="false">SUM(F64,H64,J64,L64,N64,P64,R64,T64,V64,X64,Z64,AB64)</f>
        <v>413</v>
      </c>
    </row>
    <row r="65" customFormat="false" ht="15" hidden="false" customHeight="false" outlineLevel="0" collapsed="false">
      <c r="A65" s="7" t="n">
        <v>2024</v>
      </c>
      <c r="B65" s="7" t="s">
        <v>40</v>
      </c>
      <c r="C65" s="7" t="s">
        <v>41</v>
      </c>
      <c r="D65" s="7" t="s">
        <v>47</v>
      </c>
      <c r="E65" s="13" t="n">
        <v>3</v>
      </c>
      <c r="F65" s="9" t="n">
        <v>6140.15</v>
      </c>
      <c r="G65" s="13" t="n">
        <v>1</v>
      </c>
      <c r="H65" s="9" t="n">
        <v>1185.21</v>
      </c>
      <c r="I65" s="13" t="n">
        <v>1</v>
      </c>
      <c r="J65" s="9" t="n">
        <v>553.38</v>
      </c>
      <c r="K65" s="13"/>
      <c r="L65" s="9"/>
      <c r="M65" s="13" t="n">
        <v>3</v>
      </c>
      <c r="N65" s="9" t="n">
        <v>2969.17</v>
      </c>
      <c r="O65" s="13"/>
      <c r="P65" s="9"/>
      <c r="Q65" s="13" t="n">
        <v>1</v>
      </c>
      <c r="R65" s="9" t="n">
        <v>2500</v>
      </c>
      <c r="S65" s="13"/>
      <c r="T65" s="9"/>
      <c r="U65" s="13"/>
      <c r="V65" s="9"/>
      <c r="W65" s="13" t="n">
        <v>1</v>
      </c>
      <c r="X65" s="9" t="n">
        <v>1000</v>
      </c>
      <c r="Y65" s="13" t="n">
        <v>1</v>
      </c>
      <c r="Z65" s="9" t="n">
        <v>2439.7</v>
      </c>
      <c r="AA65" s="13"/>
      <c r="AB65" s="9"/>
      <c r="AC65" s="13" t="n">
        <f aca="false">SUM(E65,G65,I65,K65,M65,O65,Q65,S65,U65,W65,Y65,AA65)</f>
        <v>11</v>
      </c>
      <c r="AD65" s="9" t="n">
        <f aca="false">SUM(F65,H65,J65,L65,N65,P65,R65,T65,V65,X65,Z65,AB65)</f>
        <v>16787.61</v>
      </c>
    </row>
    <row r="66" customFormat="false" ht="15" hidden="false" customHeight="false" outlineLevel="0" collapsed="false">
      <c r="A66" s="7" t="n">
        <v>2024</v>
      </c>
      <c r="B66" s="7" t="s">
        <v>40</v>
      </c>
      <c r="C66" s="7" t="s">
        <v>41</v>
      </c>
      <c r="D66" s="7" t="s">
        <v>49</v>
      </c>
      <c r="E66" s="13" t="n">
        <v>6</v>
      </c>
      <c r="F66" s="9" t="n">
        <v>6754.9</v>
      </c>
      <c r="G66" s="13" t="n">
        <v>2</v>
      </c>
      <c r="H66" s="9" t="n">
        <v>1390.21</v>
      </c>
      <c r="I66" s="13" t="n">
        <v>1</v>
      </c>
      <c r="J66" s="9" t="n">
        <v>1177.84</v>
      </c>
      <c r="K66" s="13" t="n">
        <v>7</v>
      </c>
      <c r="L66" s="9" t="n">
        <v>4854.43</v>
      </c>
      <c r="M66" s="13" t="n">
        <v>6</v>
      </c>
      <c r="N66" s="9" t="n">
        <v>8625.02</v>
      </c>
      <c r="O66" s="13" t="n">
        <v>2</v>
      </c>
      <c r="P66" s="9" t="n">
        <v>1128.8</v>
      </c>
      <c r="Q66" s="13"/>
      <c r="R66" s="9"/>
      <c r="S66" s="13"/>
      <c r="T66" s="9"/>
      <c r="U66" s="13" t="n">
        <v>1</v>
      </c>
      <c r="V66" s="9" t="n">
        <v>576</v>
      </c>
      <c r="W66" s="13" t="n">
        <v>3</v>
      </c>
      <c r="X66" s="9" t="n">
        <v>2500.57</v>
      </c>
      <c r="Y66" s="13" t="n">
        <v>1</v>
      </c>
      <c r="Z66" s="9" t="n">
        <v>2164.38</v>
      </c>
      <c r="AA66" s="13" t="n">
        <v>12</v>
      </c>
      <c r="AB66" s="9" t="n">
        <v>10687.67</v>
      </c>
      <c r="AC66" s="13" t="n">
        <f aca="false">SUM(E66,G66,I66,K66,M66,O66,Q66,S66,U66,W66,Y66,AA66)</f>
        <v>41</v>
      </c>
      <c r="AD66" s="9" t="n">
        <f aca="false">SUM(F66,H66,J66,L66,N66,P66,R66,T66,V66,X66,Z66,AB66)</f>
        <v>39859.82</v>
      </c>
    </row>
    <row r="67" customFormat="false" ht="15" hidden="false" customHeight="false" outlineLevel="0" collapsed="false">
      <c r="A67" s="14" t="n">
        <v>2024</v>
      </c>
      <c r="B67" s="14" t="s">
        <v>40</v>
      </c>
      <c r="C67" s="14" t="s">
        <v>41</v>
      </c>
      <c r="D67" s="14" t="s">
        <v>78</v>
      </c>
      <c r="E67" s="15" t="n">
        <v>19</v>
      </c>
      <c r="F67" s="16" t="n">
        <v>21381.05</v>
      </c>
      <c r="G67" s="15" t="n">
        <v>8</v>
      </c>
      <c r="H67" s="16" t="n">
        <v>10375.42</v>
      </c>
      <c r="I67" s="15" t="n">
        <v>6</v>
      </c>
      <c r="J67" s="16" t="n">
        <v>7231.22</v>
      </c>
      <c r="K67" s="15" t="n">
        <v>12</v>
      </c>
      <c r="L67" s="16" t="n">
        <v>14254.43</v>
      </c>
      <c r="M67" s="15" t="n">
        <v>14</v>
      </c>
      <c r="N67" s="16" t="n">
        <v>20045.44</v>
      </c>
      <c r="O67" s="15" t="n">
        <v>8</v>
      </c>
      <c r="P67" s="16" t="n">
        <v>10679.8</v>
      </c>
      <c r="Q67" s="15" t="n">
        <v>9</v>
      </c>
      <c r="R67" s="16" t="n">
        <v>13482.575</v>
      </c>
      <c r="S67" s="15" t="n">
        <v>1</v>
      </c>
      <c r="T67" s="16" t="n">
        <v>3000</v>
      </c>
      <c r="U67" s="15" t="n">
        <v>4</v>
      </c>
      <c r="V67" s="16" t="n">
        <v>3236</v>
      </c>
      <c r="W67" s="15" t="n">
        <v>7</v>
      </c>
      <c r="X67" s="16" t="n">
        <v>7413.57</v>
      </c>
      <c r="Y67" s="15" t="n">
        <v>16</v>
      </c>
      <c r="Z67" s="16" t="n">
        <v>24859.08</v>
      </c>
      <c r="AA67" s="15" t="n">
        <v>17</v>
      </c>
      <c r="AB67" s="16" t="n">
        <v>14837.67</v>
      </c>
      <c r="AC67" s="15" t="n">
        <f aca="false">SUM(E67,G67,I67,K67,M67,O67,Q67,S67,U67,W67,Y67,AA67)</f>
        <v>121</v>
      </c>
      <c r="AD67" s="16" t="n">
        <f aca="false">SUM(F67,H67,J67,L67,N67,P67,R67,T67,V67,X67,Z67,AB67)</f>
        <v>150796.255</v>
      </c>
    </row>
    <row r="68" customFormat="false" ht="15" hidden="false" customHeight="false" outlineLevel="0" collapsed="false">
      <c r="A68" s="7" t="n">
        <v>2024</v>
      </c>
      <c r="B68" s="7" t="s">
        <v>40</v>
      </c>
      <c r="C68" s="7" t="s">
        <v>51</v>
      </c>
      <c r="D68" s="7" t="s">
        <v>43</v>
      </c>
      <c r="E68" s="13"/>
      <c r="F68" s="9"/>
      <c r="G68" s="13" t="n">
        <v>1</v>
      </c>
      <c r="H68" s="9" t="n">
        <v>400</v>
      </c>
      <c r="I68" s="13"/>
      <c r="J68" s="9"/>
      <c r="K68" s="13"/>
      <c r="L68" s="9"/>
      <c r="M68" s="13"/>
      <c r="N68" s="9"/>
      <c r="O68" s="13"/>
      <c r="P68" s="9"/>
      <c r="Q68" s="13"/>
      <c r="R68" s="9"/>
      <c r="S68" s="13"/>
      <c r="T68" s="9"/>
      <c r="U68" s="13"/>
      <c r="V68" s="9"/>
      <c r="W68" s="13"/>
      <c r="X68" s="9"/>
      <c r="Y68" s="13"/>
      <c r="Z68" s="9"/>
      <c r="AA68" s="13"/>
      <c r="AB68" s="9"/>
      <c r="AC68" s="13" t="n">
        <f aca="false">SUM(E68,G68,I68,K68,M68,O68,Q68,S68,U68,W68,Y68,AA68)</f>
        <v>1</v>
      </c>
      <c r="AD68" s="9" t="n">
        <f aca="false">SUM(F68,H68,J68,L68,N68,P68,R68,T68,V68,X68,Z68,AB68)</f>
        <v>400</v>
      </c>
    </row>
    <row r="69" customFormat="false" ht="15" hidden="false" customHeight="false" outlineLevel="0" collapsed="false">
      <c r="A69" s="7" t="n">
        <v>2024</v>
      </c>
      <c r="B69" s="7" t="s">
        <v>40</v>
      </c>
      <c r="C69" s="7" t="s">
        <v>51</v>
      </c>
      <c r="D69" s="7" t="s">
        <v>47</v>
      </c>
      <c r="E69" s="13" t="n">
        <v>3</v>
      </c>
      <c r="F69" s="9" t="n">
        <v>7000.95</v>
      </c>
      <c r="G69" s="13" t="n">
        <v>8</v>
      </c>
      <c r="H69" s="9" t="n">
        <v>15000.18</v>
      </c>
      <c r="I69" s="13" t="n">
        <v>4</v>
      </c>
      <c r="J69" s="9" t="n">
        <v>19520</v>
      </c>
      <c r="K69" s="13"/>
      <c r="L69" s="9"/>
      <c r="M69" s="13" t="n">
        <v>5</v>
      </c>
      <c r="N69" s="9" t="n">
        <v>11096.1</v>
      </c>
      <c r="O69" s="13" t="n">
        <v>1</v>
      </c>
      <c r="P69" s="9" t="n">
        <v>2723</v>
      </c>
      <c r="Q69" s="13" t="n">
        <v>1</v>
      </c>
      <c r="R69" s="9" t="n">
        <v>530</v>
      </c>
      <c r="S69" s="13" t="n">
        <v>2</v>
      </c>
      <c r="T69" s="9" t="n">
        <v>3002.18</v>
      </c>
      <c r="U69" s="13"/>
      <c r="V69" s="9"/>
      <c r="W69" s="13"/>
      <c r="X69" s="9"/>
      <c r="Y69" s="13" t="n">
        <v>1</v>
      </c>
      <c r="Z69" s="9" t="n">
        <v>3000</v>
      </c>
      <c r="AA69" s="13" t="n">
        <v>6</v>
      </c>
      <c r="AB69" s="9" t="n">
        <v>15065.94</v>
      </c>
      <c r="AC69" s="13" t="n">
        <f aca="false">SUM(E69,G69,I69,K69,M69,O69,Q69,S69,U69,W69,Y69,AA69)</f>
        <v>31</v>
      </c>
      <c r="AD69" s="9" t="n">
        <f aca="false">SUM(F69,H69,J69,L69,N69,P69,R69,T69,V69,X69,Z69,AB69)</f>
        <v>76938.35</v>
      </c>
    </row>
    <row r="70" customFormat="false" ht="15" hidden="false" customHeight="false" outlineLevel="0" collapsed="false">
      <c r="A70" s="14" t="n">
        <v>2024</v>
      </c>
      <c r="B70" s="14" t="s">
        <v>40</v>
      </c>
      <c r="C70" s="14" t="s">
        <v>51</v>
      </c>
      <c r="D70" s="14" t="s">
        <v>78</v>
      </c>
      <c r="E70" s="15" t="n">
        <v>3</v>
      </c>
      <c r="F70" s="16" t="n">
        <v>7000.95</v>
      </c>
      <c r="G70" s="15" t="n">
        <v>9</v>
      </c>
      <c r="H70" s="16" t="n">
        <v>15400.18</v>
      </c>
      <c r="I70" s="15" t="n">
        <v>4</v>
      </c>
      <c r="J70" s="16" t="n">
        <v>19520</v>
      </c>
      <c r="K70" s="15"/>
      <c r="L70" s="16"/>
      <c r="M70" s="15" t="n">
        <v>5</v>
      </c>
      <c r="N70" s="16" t="n">
        <v>11096.1</v>
      </c>
      <c r="O70" s="15" t="n">
        <v>1</v>
      </c>
      <c r="P70" s="16" t="n">
        <v>2723</v>
      </c>
      <c r="Q70" s="15" t="n">
        <v>1</v>
      </c>
      <c r="R70" s="16" t="n">
        <v>530</v>
      </c>
      <c r="S70" s="15" t="n">
        <v>2</v>
      </c>
      <c r="T70" s="16" t="n">
        <v>3002.18</v>
      </c>
      <c r="U70" s="15"/>
      <c r="V70" s="16"/>
      <c r="W70" s="15"/>
      <c r="X70" s="16"/>
      <c r="Y70" s="15" t="n">
        <v>1</v>
      </c>
      <c r="Z70" s="16" t="n">
        <v>3000</v>
      </c>
      <c r="AA70" s="15" t="n">
        <v>6</v>
      </c>
      <c r="AB70" s="16" t="n">
        <v>15065.94</v>
      </c>
      <c r="AC70" s="15" t="n">
        <f aca="false">SUM(E70,G70,I70,K70,M70,O70,Q70,S70,U70,W70,Y70,AA70)</f>
        <v>32</v>
      </c>
      <c r="AD70" s="16" t="n">
        <f aca="false">SUM(F70,H70,J70,L70,N70,P70,R70,T70,V70,X70,Z70,AB70)</f>
        <v>77338.35</v>
      </c>
    </row>
    <row r="71" customFormat="false" ht="15" hidden="false" customHeight="false" outlineLevel="0" collapsed="false">
      <c r="A71" s="7" t="n">
        <v>2025</v>
      </c>
      <c r="B71" s="7" t="s">
        <v>53</v>
      </c>
      <c r="C71" s="7" t="s">
        <v>54</v>
      </c>
      <c r="D71" s="7" t="s">
        <v>59</v>
      </c>
      <c r="E71" s="13"/>
      <c r="F71" s="9"/>
      <c r="G71" s="13" t="n">
        <v>1</v>
      </c>
      <c r="H71" s="9" t="n">
        <v>114</v>
      </c>
      <c r="I71" s="13"/>
      <c r="J71" s="9"/>
      <c r="K71" s="13"/>
      <c r="L71" s="9"/>
      <c r="M71" s="13"/>
      <c r="N71" s="9"/>
      <c r="O71" s="13"/>
      <c r="P71" s="9"/>
      <c r="Q71" s="13"/>
      <c r="R71" s="9"/>
      <c r="S71" s="13"/>
      <c r="T71" s="9"/>
      <c r="U71" s="13"/>
      <c r="V71" s="9"/>
      <c r="W71" s="13"/>
      <c r="X71" s="9"/>
      <c r="Y71" s="13"/>
      <c r="Z71" s="9"/>
      <c r="AA71" s="13"/>
      <c r="AB71" s="9"/>
      <c r="AC71" s="13" t="n">
        <f aca="false">SUM(E71,G71,I71,K71,M71,O71,Q71,S71,U71,W71,Y71,AA71)</f>
        <v>1</v>
      </c>
      <c r="AD71" s="9" t="n">
        <f aca="false">SUM(F71,H71,J71,L71,N71,P71,R71,T71,V71,X71,Z71,AB71)</f>
        <v>114</v>
      </c>
    </row>
    <row r="72" customFormat="false" ht="15" hidden="false" customHeight="false" outlineLevel="0" collapsed="false">
      <c r="A72" s="7" t="n">
        <v>2025</v>
      </c>
      <c r="B72" s="7" t="s">
        <v>53</v>
      </c>
      <c r="C72" s="7" t="s">
        <v>54</v>
      </c>
      <c r="D72" s="7" t="s">
        <v>56</v>
      </c>
      <c r="E72" s="13" t="n">
        <v>1</v>
      </c>
      <c r="F72" s="9" t="n">
        <v>420</v>
      </c>
      <c r="G72" s="13"/>
      <c r="H72" s="9"/>
      <c r="I72" s="13" t="n">
        <v>2</v>
      </c>
      <c r="J72" s="9" t="n">
        <v>4605.7</v>
      </c>
      <c r="K72" s="13" t="n">
        <v>2</v>
      </c>
      <c r="L72" s="9" t="n">
        <v>855.75</v>
      </c>
      <c r="M72" s="13"/>
      <c r="N72" s="9"/>
      <c r="O72" s="13" t="n">
        <v>4</v>
      </c>
      <c r="P72" s="9" t="n">
        <v>9572</v>
      </c>
      <c r="Q72" s="13" t="n">
        <v>1</v>
      </c>
      <c r="R72" s="9" t="n">
        <v>525</v>
      </c>
      <c r="S72" s="13"/>
      <c r="T72" s="9"/>
      <c r="U72" s="13" t="n">
        <v>1</v>
      </c>
      <c r="V72" s="9" t="n">
        <v>661.5</v>
      </c>
      <c r="W72" s="13" t="n">
        <v>2</v>
      </c>
      <c r="X72" s="9" t="n">
        <v>1165.5</v>
      </c>
      <c r="Y72" s="13"/>
      <c r="Z72" s="9"/>
      <c r="AA72" s="13"/>
      <c r="AB72" s="9"/>
      <c r="AC72" s="13" t="n">
        <f aca="false">SUM(E72,G72,I72,K72,M72,O72,Q72,S72,U72,W72,Y72,AA72)</f>
        <v>13</v>
      </c>
      <c r="AD72" s="9" t="n">
        <f aca="false">SUM(F72,H72,J72,L72,N72,P72,R72,T72,V72,X72,Z72,AB72)</f>
        <v>17805.45</v>
      </c>
    </row>
    <row r="73" customFormat="false" ht="15" hidden="false" customHeight="false" outlineLevel="0" collapsed="false">
      <c r="A73" s="7" t="n">
        <v>2025</v>
      </c>
      <c r="B73" s="7" t="s">
        <v>40</v>
      </c>
      <c r="C73" s="7" t="s">
        <v>41</v>
      </c>
      <c r="D73" s="7" t="s">
        <v>43</v>
      </c>
      <c r="E73" s="13" t="n">
        <v>1</v>
      </c>
      <c r="F73" s="9" t="n">
        <v>3500</v>
      </c>
      <c r="G73" s="13" t="n">
        <v>2</v>
      </c>
      <c r="H73" s="9" t="n">
        <v>7095</v>
      </c>
      <c r="I73" s="13" t="n">
        <v>5</v>
      </c>
      <c r="J73" s="9" t="n">
        <v>5210</v>
      </c>
      <c r="K73" s="13" t="n">
        <v>5</v>
      </c>
      <c r="L73" s="9" t="n">
        <v>5760</v>
      </c>
      <c r="M73" s="13" t="n">
        <v>2</v>
      </c>
      <c r="N73" s="9" t="n">
        <v>4660</v>
      </c>
      <c r="O73" s="13" t="n">
        <v>5</v>
      </c>
      <c r="P73" s="9" t="n">
        <v>4700</v>
      </c>
      <c r="Q73" s="13" t="n">
        <v>5</v>
      </c>
      <c r="R73" s="9" t="n">
        <v>6160</v>
      </c>
      <c r="S73" s="13" t="n">
        <v>7</v>
      </c>
      <c r="T73" s="9" t="n">
        <v>14311</v>
      </c>
      <c r="U73" s="13" t="n">
        <v>5</v>
      </c>
      <c r="V73" s="9" t="n">
        <v>14760</v>
      </c>
      <c r="W73" s="13" t="n">
        <v>4</v>
      </c>
      <c r="X73" s="9" t="n">
        <v>6044</v>
      </c>
      <c r="Y73" s="13" t="n">
        <v>8</v>
      </c>
      <c r="Z73" s="9" t="n">
        <v>4023</v>
      </c>
      <c r="AA73" s="13" t="n">
        <v>8</v>
      </c>
      <c r="AB73" s="9" t="n">
        <v>14170</v>
      </c>
      <c r="AC73" s="13" t="n">
        <f aca="false">SUM(E73,G73,I73,K73,M73,O73,Q73,S73,U73,W73,Y73,AA73)</f>
        <v>57</v>
      </c>
      <c r="AD73" s="9" t="n">
        <f aca="false">SUM(F73,H73,J73,L73,N73,P73,R73,T73,V73,X73,Z73,AB73)</f>
        <v>90393</v>
      </c>
    </row>
    <row r="74" customFormat="false" ht="15" hidden="false" customHeight="false" outlineLevel="0" collapsed="false">
      <c r="A74" s="7" t="n">
        <v>2025</v>
      </c>
      <c r="B74" s="7" t="s">
        <v>40</v>
      </c>
      <c r="C74" s="7" t="s">
        <v>41</v>
      </c>
      <c r="D74" s="7" t="s">
        <v>45</v>
      </c>
      <c r="E74" s="13" t="n">
        <v>1</v>
      </c>
      <c r="F74" s="9" t="n">
        <v>1598.6</v>
      </c>
      <c r="G74" s="13"/>
      <c r="H74" s="9"/>
      <c r="I74" s="13" t="n">
        <v>1</v>
      </c>
      <c r="J74" s="9" t="n">
        <v>400</v>
      </c>
      <c r="K74" s="13" t="n">
        <v>1</v>
      </c>
      <c r="L74" s="9" t="n">
        <v>400</v>
      </c>
      <c r="M74" s="13"/>
      <c r="N74" s="9"/>
      <c r="O74" s="13"/>
      <c r="P74" s="9"/>
      <c r="Q74" s="13"/>
      <c r="R74" s="9"/>
      <c r="S74" s="13"/>
      <c r="T74" s="9"/>
      <c r="U74" s="13" t="n">
        <v>1</v>
      </c>
      <c r="V74" s="9" t="n">
        <v>500</v>
      </c>
      <c r="W74" s="13" t="n">
        <v>1</v>
      </c>
      <c r="X74" s="9" t="n">
        <v>400</v>
      </c>
      <c r="Y74" s="13"/>
      <c r="Z74" s="9"/>
      <c r="AA74" s="13" t="n">
        <v>1</v>
      </c>
      <c r="AB74" s="9" t="n">
        <v>400</v>
      </c>
      <c r="AC74" s="13" t="n">
        <f aca="false">SUM(E74,G74,I74,K74,M74,O74,Q74,S74,U74,W74,Y74,AA74)</f>
        <v>6</v>
      </c>
      <c r="AD74" s="9" t="n">
        <f aca="false">SUM(F74,H74,J74,L74,N74,P74,R74,T74,V74,X74,Z74,AB74)</f>
        <v>3698.6</v>
      </c>
    </row>
    <row r="75" customFormat="false" ht="15" hidden="false" customHeight="false" outlineLevel="0" collapsed="false">
      <c r="A75" s="7" t="n">
        <v>2025</v>
      </c>
      <c r="B75" s="7" t="s">
        <v>40</v>
      </c>
      <c r="C75" s="7" t="s">
        <v>41</v>
      </c>
      <c r="D75" s="7" t="s">
        <v>58</v>
      </c>
      <c r="E75" s="13"/>
      <c r="F75" s="9"/>
      <c r="G75" s="13"/>
      <c r="H75" s="9"/>
      <c r="I75" s="13"/>
      <c r="J75" s="9"/>
      <c r="K75" s="13"/>
      <c r="L75" s="9"/>
      <c r="M75" s="13"/>
      <c r="N75" s="9"/>
      <c r="O75" s="13"/>
      <c r="P75" s="9"/>
      <c r="Q75" s="13"/>
      <c r="R75" s="9"/>
      <c r="S75" s="13"/>
      <c r="T75" s="9"/>
      <c r="U75" s="13"/>
      <c r="V75" s="9"/>
      <c r="W75" s="13" t="n">
        <v>1</v>
      </c>
      <c r="X75" s="9" t="n">
        <v>125</v>
      </c>
      <c r="Y75" s="13"/>
      <c r="Z75" s="9"/>
      <c r="AA75" s="13" t="n">
        <v>1</v>
      </c>
      <c r="AB75" s="9" t="n">
        <v>933</v>
      </c>
      <c r="AC75" s="13" t="n">
        <f aca="false">SUM(E75,G75,I75,K75,M75,O75,Q75,S75,U75,W75,Y75,AA75)</f>
        <v>2</v>
      </c>
      <c r="AD75" s="9" t="n">
        <f aca="false">SUM(F75,H75,J75,L75,N75,P75,R75,T75,V75,X75,Z75,AB75)</f>
        <v>1058</v>
      </c>
    </row>
    <row r="76" customFormat="false" ht="15" hidden="false" customHeight="false" outlineLevel="0" collapsed="false">
      <c r="A76" s="7" t="n">
        <v>2025</v>
      </c>
      <c r="B76" s="7" t="s">
        <v>40</v>
      </c>
      <c r="C76" s="7" t="s">
        <v>41</v>
      </c>
      <c r="D76" s="7" t="s">
        <v>47</v>
      </c>
      <c r="E76" s="13"/>
      <c r="F76" s="9"/>
      <c r="G76" s="13" t="n">
        <v>1</v>
      </c>
      <c r="H76" s="9" t="n">
        <v>322.9</v>
      </c>
      <c r="I76" s="13" t="n">
        <v>1</v>
      </c>
      <c r="J76" s="9" t="n">
        <v>954.46</v>
      </c>
      <c r="K76" s="13" t="n">
        <v>1</v>
      </c>
      <c r="L76" s="9" t="n">
        <v>1024.37</v>
      </c>
      <c r="M76" s="13" t="n">
        <v>1</v>
      </c>
      <c r="N76" s="9" t="n">
        <v>500</v>
      </c>
      <c r="O76" s="13"/>
      <c r="P76" s="9"/>
      <c r="Q76" s="13"/>
      <c r="R76" s="9"/>
      <c r="S76" s="13" t="n">
        <v>1</v>
      </c>
      <c r="T76" s="9" t="n">
        <v>937.73</v>
      </c>
      <c r="U76" s="13" t="n">
        <v>2</v>
      </c>
      <c r="V76" s="9" t="n">
        <v>4573.3</v>
      </c>
      <c r="W76" s="13"/>
      <c r="X76" s="9"/>
      <c r="Y76" s="13" t="n">
        <v>1</v>
      </c>
      <c r="Z76" s="9" t="n">
        <v>500</v>
      </c>
      <c r="AA76" s="13"/>
      <c r="AB76" s="9"/>
      <c r="AC76" s="13" t="n">
        <f aca="false">SUM(E76,G76,I76,K76,M76,O76,Q76,S76,U76,W76,Y76,AA76)</f>
        <v>8</v>
      </c>
      <c r="AD76" s="9" t="n">
        <f aca="false">SUM(F76,H76,J76,L76,N76,P76,R76,T76,V76,X76,Z76,AB76)</f>
        <v>8812.76</v>
      </c>
    </row>
    <row r="77" customFormat="false" ht="15" hidden="false" customHeight="false" outlineLevel="0" collapsed="false">
      <c r="A77" s="7" t="n">
        <v>2025</v>
      </c>
      <c r="B77" s="7" t="s">
        <v>40</v>
      </c>
      <c r="C77" s="7" t="s">
        <v>41</v>
      </c>
      <c r="D77" s="7" t="s">
        <v>49</v>
      </c>
      <c r="E77" s="13" t="n">
        <v>5</v>
      </c>
      <c r="F77" s="9" t="n">
        <v>3350.68</v>
      </c>
      <c r="G77" s="13" t="n">
        <v>7</v>
      </c>
      <c r="H77" s="9" t="n">
        <v>5214.75</v>
      </c>
      <c r="I77" s="13" t="n">
        <v>7</v>
      </c>
      <c r="J77" s="9" t="n">
        <v>9555.62</v>
      </c>
      <c r="K77" s="13" t="n">
        <v>3</v>
      </c>
      <c r="L77" s="9" t="n">
        <v>3385.44</v>
      </c>
      <c r="M77" s="13" t="n">
        <v>1</v>
      </c>
      <c r="N77" s="9" t="n">
        <v>1702</v>
      </c>
      <c r="O77" s="13" t="n">
        <v>2</v>
      </c>
      <c r="P77" s="9" t="n">
        <v>2010</v>
      </c>
      <c r="Q77" s="13" t="n">
        <v>1</v>
      </c>
      <c r="R77" s="9" t="n">
        <v>373.5</v>
      </c>
      <c r="S77" s="13" t="n">
        <v>2</v>
      </c>
      <c r="T77" s="9" t="n">
        <v>806</v>
      </c>
      <c r="U77" s="13"/>
      <c r="V77" s="9"/>
      <c r="W77" s="13" t="n">
        <v>2</v>
      </c>
      <c r="X77" s="9" t="n">
        <v>2796.53</v>
      </c>
      <c r="Y77" s="13" t="n">
        <v>3</v>
      </c>
      <c r="Z77" s="9" t="n">
        <v>4139.42</v>
      </c>
      <c r="AA77" s="13" t="n">
        <v>4</v>
      </c>
      <c r="AB77" s="9" t="n">
        <v>3106.57</v>
      </c>
      <c r="AC77" s="13" t="n">
        <f aca="false">SUM(E77,G77,I77,K77,M77,O77,Q77,S77,U77,W77,Y77,AA77)</f>
        <v>37</v>
      </c>
      <c r="AD77" s="9" t="n">
        <f aca="false">SUM(F77,H77,J77,L77,N77,P77,R77,T77,V77,X77,Z77,AB77)</f>
        <v>36440.51</v>
      </c>
    </row>
    <row r="78" customFormat="false" ht="15" hidden="false" customHeight="false" outlineLevel="0" collapsed="false">
      <c r="A78" s="14" t="n">
        <v>2025</v>
      </c>
      <c r="B78" s="14" t="s">
        <v>40</v>
      </c>
      <c r="C78" s="14" t="s">
        <v>41</v>
      </c>
      <c r="D78" s="14" t="s">
        <v>78</v>
      </c>
      <c r="E78" s="15" t="n">
        <v>7</v>
      </c>
      <c r="F78" s="16" t="n">
        <v>8449.28</v>
      </c>
      <c r="G78" s="15" t="n">
        <v>10</v>
      </c>
      <c r="H78" s="16" t="n">
        <v>12632.65</v>
      </c>
      <c r="I78" s="15" t="n">
        <v>14</v>
      </c>
      <c r="J78" s="16" t="n">
        <v>16120.08</v>
      </c>
      <c r="K78" s="15" t="n">
        <v>10</v>
      </c>
      <c r="L78" s="16" t="n">
        <v>10569.81</v>
      </c>
      <c r="M78" s="15" t="n">
        <v>4</v>
      </c>
      <c r="N78" s="16" t="n">
        <v>6862</v>
      </c>
      <c r="O78" s="15" t="n">
        <v>7</v>
      </c>
      <c r="P78" s="16" t="n">
        <v>6710</v>
      </c>
      <c r="Q78" s="15" t="n">
        <v>6</v>
      </c>
      <c r="R78" s="16" t="n">
        <v>6533.5</v>
      </c>
      <c r="S78" s="15" t="n">
        <v>10</v>
      </c>
      <c r="T78" s="16" t="n">
        <v>16054.73</v>
      </c>
      <c r="U78" s="15" t="n">
        <v>8</v>
      </c>
      <c r="V78" s="16" t="n">
        <v>19833.3</v>
      </c>
      <c r="W78" s="15" t="n">
        <v>8</v>
      </c>
      <c r="X78" s="16" t="n">
        <v>9365.53</v>
      </c>
      <c r="Y78" s="15" t="n">
        <v>12</v>
      </c>
      <c r="Z78" s="16" t="n">
        <v>8662.42</v>
      </c>
      <c r="AA78" s="15" t="n">
        <v>14</v>
      </c>
      <c r="AB78" s="16" t="n">
        <v>18609.57</v>
      </c>
      <c r="AC78" s="15" t="n">
        <f aca="false">SUM(E78,G78,I78,K78,M78,O78,Q78,S78,U78,W78,Y78,AA78)</f>
        <v>110</v>
      </c>
      <c r="AD78" s="16" t="n">
        <f aca="false">SUM(F78,H78,J78,L78,N78,P78,R78,T78,V78,X78,Z78,AB78)</f>
        <v>140402.87</v>
      </c>
    </row>
    <row r="79" customFormat="false" ht="15" hidden="false" customHeight="false" outlineLevel="0" collapsed="false">
      <c r="A79" s="7" t="n">
        <v>2025</v>
      </c>
      <c r="B79" s="7" t="s">
        <v>40</v>
      </c>
      <c r="C79" s="7" t="s">
        <v>51</v>
      </c>
      <c r="D79" s="7" t="s">
        <v>43</v>
      </c>
      <c r="E79" s="13"/>
      <c r="F79" s="9"/>
      <c r="G79" s="13"/>
      <c r="H79" s="9"/>
      <c r="I79" s="13"/>
      <c r="J79" s="9"/>
      <c r="K79" s="13"/>
      <c r="L79" s="9"/>
      <c r="M79" s="13"/>
      <c r="N79" s="9"/>
      <c r="O79" s="13"/>
      <c r="P79" s="9"/>
      <c r="Q79" s="13"/>
      <c r="R79" s="9"/>
      <c r="S79" s="13"/>
      <c r="T79" s="9"/>
      <c r="U79" s="13" t="n">
        <v>1</v>
      </c>
      <c r="V79" s="9" t="n">
        <v>700</v>
      </c>
      <c r="W79" s="13"/>
      <c r="X79" s="9"/>
      <c r="Y79" s="13"/>
      <c r="Z79" s="9"/>
      <c r="AA79" s="13" t="n">
        <v>1</v>
      </c>
      <c r="AB79" s="9" t="n">
        <v>650</v>
      </c>
      <c r="AC79" s="13" t="n">
        <f aca="false">SUM(E79,G79,I79,K79,M79,O79,Q79,S79,U79,W79,Y79,AA79)</f>
        <v>2</v>
      </c>
      <c r="AD79" s="9" t="n">
        <f aca="false">SUM(F79,H79,J79,L79,N79,P79,R79,T79,V79,X79,Z79,AB79)</f>
        <v>1350</v>
      </c>
    </row>
    <row r="80" customFormat="false" ht="15" hidden="false" customHeight="false" outlineLevel="0" collapsed="false">
      <c r="A80" s="7" t="n">
        <v>2025</v>
      </c>
      <c r="B80" s="7" t="s">
        <v>40</v>
      </c>
      <c r="C80" s="7" t="s">
        <v>51</v>
      </c>
      <c r="D80" s="7" t="s">
        <v>47</v>
      </c>
      <c r="E80" s="13" t="n">
        <v>5</v>
      </c>
      <c r="F80" s="9" t="n">
        <v>18026.04</v>
      </c>
      <c r="G80" s="13" t="n">
        <v>3</v>
      </c>
      <c r="H80" s="9" t="n">
        <v>5818.78</v>
      </c>
      <c r="I80" s="13" t="n">
        <v>9</v>
      </c>
      <c r="J80" s="9" t="n">
        <v>31412.08</v>
      </c>
      <c r="K80" s="13" t="n">
        <v>4</v>
      </c>
      <c r="L80" s="9" t="n">
        <v>12629.22</v>
      </c>
      <c r="M80" s="13" t="n">
        <v>3</v>
      </c>
      <c r="N80" s="9" t="n">
        <v>6774.75</v>
      </c>
      <c r="O80" s="13" t="n">
        <v>2</v>
      </c>
      <c r="P80" s="9" t="n">
        <v>2293.58</v>
      </c>
      <c r="Q80" s="13" t="n">
        <v>1</v>
      </c>
      <c r="R80" s="9" t="n">
        <v>5000</v>
      </c>
      <c r="S80" s="13"/>
      <c r="T80" s="9"/>
      <c r="U80" s="13"/>
      <c r="V80" s="9"/>
      <c r="W80" s="13" t="n">
        <v>1</v>
      </c>
      <c r="X80" s="9" t="n">
        <v>3203.9</v>
      </c>
      <c r="Y80" s="13"/>
      <c r="Z80" s="9"/>
      <c r="AA80" s="13" t="n">
        <v>4</v>
      </c>
      <c r="AB80" s="9" t="n">
        <v>9066.78</v>
      </c>
      <c r="AC80" s="13" t="n">
        <f aca="false">SUM(E80,G80,I80,K80,M80,O80,Q80,S80,U80,W80,Y80,AA80)</f>
        <v>32</v>
      </c>
      <c r="AD80" s="9" t="n">
        <f aca="false">SUM(F80,H80,J80,L80,N80,P80,R80,T80,V80,X80,Z80,AB80)</f>
        <v>94225.13</v>
      </c>
    </row>
    <row r="81" customFormat="false" ht="15" hidden="false" customHeight="false" outlineLevel="0" collapsed="false">
      <c r="A81" s="14" t="n">
        <v>2025</v>
      </c>
      <c r="B81" s="14" t="s">
        <v>40</v>
      </c>
      <c r="C81" s="14" t="s">
        <v>51</v>
      </c>
      <c r="D81" s="14" t="s">
        <v>78</v>
      </c>
      <c r="E81" s="15" t="n">
        <v>5</v>
      </c>
      <c r="F81" s="16" t="n">
        <v>18026.04</v>
      </c>
      <c r="G81" s="15" t="n">
        <v>3</v>
      </c>
      <c r="H81" s="16" t="n">
        <v>5818.78</v>
      </c>
      <c r="I81" s="15" t="n">
        <v>9</v>
      </c>
      <c r="J81" s="16" t="n">
        <v>31412.08</v>
      </c>
      <c r="K81" s="15" t="n">
        <v>4</v>
      </c>
      <c r="L81" s="16" t="n">
        <v>12629.22</v>
      </c>
      <c r="M81" s="15" t="n">
        <v>3</v>
      </c>
      <c r="N81" s="16" t="n">
        <v>6774.75</v>
      </c>
      <c r="O81" s="15" t="n">
        <v>2</v>
      </c>
      <c r="P81" s="16" t="n">
        <v>2293.58</v>
      </c>
      <c r="Q81" s="15" t="n">
        <v>1</v>
      </c>
      <c r="R81" s="16" t="n">
        <v>5000</v>
      </c>
      <c r="S81" s="15"/>
      <c r="T81" s="16"/>
      <c r="U81" s="15" t="n">
        <v>1</v>
      </c>
      <c r="V81" s="16" t="n">
        <v>700</v>
      </c>
      <c r="W81" s="15" t="n">
        <v>1</v>
      </c>
      <c r="X81" s="16" t="n">
        <v>3203.9</v>
      </c>
      <c r="Y81" s="15"/>
      <c r="Z81" s="16"/>
      <c r="AA81" s="15" t="n">
        <v>5</v>
      </c>
      <c r="AB81" s="16" t="n">
        <v>9716.78</v>
      </c>
      <c r="AC81" s="15" t="n">
        <f aca="false">SUM(E81,G81,I81,K81,M81,O81,Q81,S81,U81,W81,Y81,AA81)</f>
        <v>34</v>
      </c>
      <c r="AD81" s="16" t="n">
        <f aca="false">SUM(F81,H81,J81,L81,N81,P81,R81,T81,V81,X81,Z81,AB81)</f>
        <v>95575.13</v>
      </c>
    </row>
    <row r="82" customFormat="false" ht="15" hidden="false" customHeight="false" outlineLevel="0" collapsed="false">
      <c r="A82" s="7" t="n">
        <v>2025</v>
      </c>
      <c r="B82" s="7" t="s">
        <v>40</v>
      </c>
      <c r="C82" s="7" t="s">
        <v>54</v>
      </c>
      <c r="D82" s="7" t="s">
        <v>47</v>
      </c>
      <c r="E82" s="13"/>
      <c r="F82" s="9"/>
      <c r="G82" s="13"/>
      <c r="H82" s="9"/>
      <c r="I82" s="13"/>
      <c r="J82" s="9"/>
      <c r="K82" s="13"/>
      <c r="L82" s="9"/>
      <c r="M82" s="13"/>
      <c r="N82" s="9"/>
      <c r="O82" s="13"/>
      <c r="P82" s="9"/>
      <c r="Q82" s="13"/>
      <c r="R82" s="9"/>
      <c r="S82" s="13"/>
      <c r="T82" s="9"/>
      <c r="U82" s="13" t="n">
        <v>1</v>
      </c>
      <c r="V82" s="9" t="n">
        <v>222.96</v>
      </c>
      <c r="W82" s="13"/>
      <c r="X82" s="9"/>
      <c r="Y82" s="13"/>
      <c r="Z82" s="9"/>
      <c r="AA82" s="13"/>
      <c r="AB82" s="9"/>
      <c r="AC82" s="13" t="n">
        <f aca="false">SUM(E82,G82,I82,K82,M82,O82,Q82,S82,U82,W82,Y82,AA82)</f>
        <v>1</v>
      </c>
      <c r="AD82" s="9" t="n">
        <f aca="false">SUM(F82,H82,J82,L82,N82,P82,R82,T82,V82,X82,Z82,AB82)</f>
        <v>222.96</v>
      </c>
    </row>
    <row r="83" customFormat="false" ht="15" hidden="false" customHeight="false" outlineLevel="0" collapsed="false">
      <c r="A83" s="7" t="n">
        <v>2026</v>
      </c>
      <c r="B83" s="7" t="s">
        <v>53</v>
      </c>
      <c r="C83" s="7" t="s">
        <v>41</v>
      </c>
      <c r="D83" s="7" t="s">
        <v>45</v>
      </c>
      <c r="E83" s="13"/>
      <c r="F83" s="9"/>
      <c r="G83" s="13"/>
      <c r="H83" s="9"/>
      <c r="I83" s="13" t="n">
        <v>1</v>
      </c>
      <c r="J83" s="9" t="n">
        <v>2125.6</v>
      </c>
      <c r="K83" s="13"/>
      <c r="L83" s="9"/>
      <c r="M83" s="13"/>
      <c r="N83" s="9"/>
      <c r="O83" s="13"/>
      <c r="P83" s="9"/>
      <c r="Q83" s="13"/>
      <c r="R83" s="9"/>
      <c r="S83" s="13"/>
      <c r="T83" s="9"/>
      <c r="U83" s="13"/>
      <c r="V83" s="9"/>
      <c r="W83" s="13"/>
      <c r="X83" s="9"/>
      <c r="Y83" s="13"/>
      <c r="Z83" s="9"/>
      <c r="AA83" s="13"/>
      <c r="AB83" s="9"/>
      <c r="AC83" s="13" t="n">
        <f aca="false">SUM(E83,G83,I83,K83,M83,O83,Q83,S83,U83,W83,Y83,AA83)</f>
        <v>1</v>
      </c>
      <c r="AD83" s="9" t="n">
        <f aca="false">SUM(F83,H83,J83,L83,N83,P83,R83,T83,V83,X83,Z83,AB83)</f>
        <v>2125.6</v>
      </c>
    </row>
    <row r="84" customFormat="false" ht="15" hidden="false" customHeight="false" outlineLevel="0" collapsed="false">
      <c r="A84" s="7" t="n">
        <v>2026</v>
      </c>
      <c r="B84" s="7" t="s">
        <v>40</v>
      </c>
      <c r="C84" s="7" t="s">
        <v>41</v>
      </c>
      <c r="D84" s="7" t="s">
        <v>59</v>
      </c>
      <c r="E84" s="13" t="n">
        <v>2</v>
      </c>
      <c r="F84" s="9" t="n">
        <v>0.3</v>
      </c>
      <c r="G84" s="13" t="n">
        <v>4</v>
      </c>
      <c r="H84" s="9" t="n">
        <v>0.5</v>
      </c>
      <c r="I84" s="13" t="n">
        <v>1</v>
      </c>
      <c r="J84" s="9" t="n">
        <v>0.1</v>
      </c>
      <c r="K84" s="13" t="n">
        <v>1</v>
      </c>
      <c r="L84" s="9" t="n">
        <v>0.1</v>
      </c>
      <c r="M84" s="13" t="n">
        <v>3</v>
      </c>
      <c r="N84" s="9" t="n">
        <v>0.3</v>
      </c>
      <c r="O84" s="13" t="n">
        <v>2</v>
      </c>
      <c r="P84" s="9" t="n">
        <v>0.5</v>
      </c>
      <c r="Q84" s="13"/>
      <c r="R84" s="9"/>
      <c r="S84" s="13"/>
      <c r="T84" s="9"/>
      <c r="U84" s="13"/>
      <c r="V84" s="9"/>
      <c r="W84" s="13"/>
      <c r="X84" s="9"/>
      <c r="Y84" s="13"/>
      <c r="Z84" s="9"/>
      <c r="AA84" s="13"/>
      <c r="AB84" s="9"/>
      <c r="AC84" s="13" t="n">
        <f aca="false">SUM(E84,G84,I84,K84,M84,O84,Q84,S84,U84,W84,Y84,AA84)</f>
        <v>13</v>
      </c>
      <c r="AD84" s="9" t="n">
        <f aca="false">SUM(F84,H84,J84,L84,N84,P84,R84,T84,V84,X84,Z84,AB84)</f>
        <v>1.8</v>
      </c>
    </row>
    <row r="85" customFormat="false" ht="15" hidden="false" customHeight="false" outlineLevel="0" collapsed="false">
      <c r="A85" s="7" t="n">
        <v>2026</v>
      </c>
      <c r="B85" s="7" t="s">
        <v>40</v>
      </c>
      <c r="C85" s="7" t="s">
        <v>41</v>
      </c>
      <c r="D85" s="7" t="s">
        <v>62</v>
      </c>
      <c r="E85" s="13"/>
      <c r="F85" s="9"/>
      <c r="G85" s="13"/>
      <c r="H85" s="9"/>
      <c r="I85" s="13"/>
      <c r="J85" s="9"/>
      <c r="K85" s="13"/>
      <c r="L85" s="9"/>
      <c r="M85" s="13"/>
      <c r="N85" s="9"/>
      <c r="O85" s="13" t="n">
        <v>1</v>
      </c>
      <c r="P85" s="9" t="n">
        <v>0.1</v>
      </c>
      <c r="Q85" s="13"/>
      <c r="R85" s="9"/>
      <c r="S85" s="13"/>
      <c r="T85" s="9"/>
      <c r="U85" s="13"/>
      <c r="V85" s="9"/>
      <c r="W85" s="13"/>
      <c r="X85" s="9"/>
      <c r="Y85" s="13"/>
      <c r="Z85" s="9"/>
      <c r="AA85" s="13"/>
      <c r="AB85" s="9"/>
      <c r="AC85" s="13" t="n">
        <f aca="false">SUM(E85,G85,I85,K85,M85,O85,Q85,S85,U85,W85,Y85,AA85)</f>
        <v>1</v>
      </c>
      <c r="AD85" s="9" t="n">
        <f aca="false">SUM(F85,H85,J85,L85,N85,P85,R85,T85,V85,X85,Z85,AB85)</f>
        <v>0.1</v>
      </c>
    </row>
    <row r="86" customFormat="false" ht="15" hidden="false" customHeight="false" outlineLevel="0" collapsed="false">
      <c r="A86" s="7" t="n">
        <v>2026</v>
      </c>
      <c r="B86" s="7" t="s">
        <v>40</v>
      </c>
      <c r="C86" s="7" t="s">
        <v>41</v>
      </c>
      <c r="D86" s="7" t="s">
        <v>43</v>
      </c>
      <c r="E86" s="13" t="n">
        <v>5</v>
      </c>
      <c r="F86" s="9" t="n">
        <v>1870.5</v>
      </c>
      <c r="G86" s="13" t="n">
        <v>3</v>
      </c>
      <c r="H86" s="9" t="n">
        <v>5161.2</v>
      </c>
      <c r="I86" s="13" t="n">
        <v>2</v>
      </c>
      <c r="J86" s="9" t="n">
        <v>1160</v>
      </c>
      <c r="K86" s="13" t="n">
        <v>9</v>
      </c>
      <c r="L86" s="9" t="n">
        <v>12696</v>
      </c>
      <c r="M86" s="13" t="n">
        <v>9</v>
      </c>
      <c r="N86" s="9" t="n">
        <v>9137</v>
      </c>
      <c r="O86" s="13" t="n">
        <v>5</v>
      </c>
      <c r="P86" s="9" t="n">
        <v>6502.7</v>
      </c>
      <c r="Q86" s="13"/>
      <c r="R86" s="9"/>
      <c r="S86" s="13"/>
      <c r="T86" s="9"/>
      <c r="U86" s="13"/>
      <c r="V86" s="9"/>
      <c r="W86" s="13"/>
      <c r="X86" s="9"/>
      <c r="Y86" s="13"/>
      <c r="Z86" s="9"/>
      <c r="AA86" s="13"/>
      <c r="AB86" s="9"/>
      <c r="AC86" s="13" t="n">
        <f aca="false">SUM(E86,G86,I86,K86,M86,O86,Q86,S86,U86,W86,Y86,AA86)</f>
        <v>33</v>
      </c>
      <c r="AD86" s="9" t="n">
        <f aca="false">SUM(F86,H86,J86,L86,N86,P86,R86,T86,V86,X86,Z86,AB86)</f>
        <v>36527.4</v>
      </c>
    </row>
    <row r="87" customFormat="false" ht="15" hidden="false" customHeight="false" outlineLevel="0" collapsed="false">
      <c r="A87" s="7" t="n">
        <v>2026</v>
      </c>
      <c r="B87" s="7" t="s">
        <v>40</v>
      </c>
      <c r="C87" s="7" t="s">
        <v>41</v>
      </c>
      <c r="D87" s="7" t="s">
        <v>45</v>
      </c>
      <c r="E87" s="13" t="n">
        <v>1</v>
      </c>
      <c r="F87" s="9" t="n">
        <v>500</v>
      </c>
      <c r="G87" s="13"/>
      <c r="H87" s="9"/>
      <c r="I87" s="13" t="n">
        <v>1</v>
      </c>
      <c r="J87" s="9" t="n">
        <v>400</v>
      </c>
      <c r="K87" s="13" t="n">
        <v>1</v>
      </c>
      <c r="L87" s="9" t="n">
        <v>400</v>
      </c>
      <c r="M87" s="13"/>
      <c r="N87" s="9"/>
      <c r="O87" s="13" t="n">
        <v>1</v>
      </c>
      <c r="P87" s="9" t="n">
        <v>500</v>
      </c>
      <c r="Q87" s="13"/>
      <c r="R87" s="9"/>
      <c r="S87" s="13"/>
      <c r="T87" s="9"/>
      <c r="U87" s="13"/>
      <c r="V87" s="9"/>
      <c r="W87" s="13"/>
      <c r="X87" s="9"/>
      <c r="Y87" s="13"/>
      <c r="Z87" s="9"/>
      <c r="AA87" s="13"/>
      <c r="AB87" s="9"/>
      <c r="AC87" s="13" t="n">
        <f aca="false">SUM(E87,G87,I87,K87,M87,O87,Q87,S87,U87,W87,Y87,AA87)</f>
        <v>4</v>
      </c>
      <c r="AD87" s="9" t="n">
        <f aca="false">SUM(F87,H87,J87,L87,N87,P87,R87,T87,V87,X87,Z87,AB87)</f>
        <v>1800</v>
      </c>
    </row>
    <row r="88" customFormat="false" ht="15" hidden="false" customHeight="false" outlineLevel="0" collapsed="false">
      <c r="A88" s="7" t="n">
        <v>2026</v>
      </c>
      <c r="B88" s="7" t="s">
        <v>40</v>
      </c>
      <c r="C88" s="7" t="s">
        <v>41</v>
      </c>
      <c r="D88" s="7" t="s">
        <v>61</v>
      </c>
      <c r="E88" s="13" t="n">
        <v>1</v>
      </c>
      <c r="F88" s="9" t="n">
        <v>0.3</v>
      </c>
      <c r="G88" s="13"/>
      <c r="H88" s="9"/>
      <c r="I88" s="13"/>
      <c r="J88" s="9"/>
      <c r="K88" s="13"/>
      <c r="L88" s="9"/>
      <c r="M88" s="13"/>
      <c r="N88" s="9"/>
      <c r="O88" s="13"/>
      <c r="P88" s="9"/>
      <c r="Q88" s="13"/>
      <c r="R88" s="9"/>
      <c r="S88" s="13"/>
      <c r="T88" s="9"/>
      <c r="U88" s="13"/>
      <c r="V88" s="9"/>
      <c r="W88" s="13"/>
      <c r="X88" s="9"/>
      <c r="Y88" s="13"/>
      <c r="Z88" s="9"/>
      <c r="AA88" s="13"/>
      <c r="AB88" s="9"/>
      <c r="AC88" s="13" t="n">
        <f aca="false">SUM(E88,G88,I88,K88,M88,O88,Q88,S88,U88,W88,Y88,AA88)</f>
        <v>1</v>
      </c>
      <c r="AD88" s="9" t="n">
        <f aca="false">SUM(F88,H88,J88,L88,N88,P88,R88,T88,V88,X88,Z88,AB88)</f>
        <v>0.3</v>
      </c>
    </row>
    <row r="89" customFormat="false" ht="15" hidden="false" customHeight="false" outlineLevel="0" collapsed="false">
      <c r="A89" s="7" t="n">
        <v>2026</v>
      </c>
      <c r="B89" s="7" t="s">
        <v>40</v>
      </c>
      <c r="C89" s="7" t="s">
        <v>41</v>
      </c>
      <c r="D89" s="7" t="s">
        <v>47</v>
      </c>
      <c r="E89" s="13" t="n">
        <v>14</v>
      </c>
      <c r="F89" s="9" t="n">
        <v>2.2</v>
      </c>
      <c r="G89" s="13" t="n">
        <v>10</v>
      </c>
      <c r="H89" s="9" t="n">
        <v>1.1</v>
      </c>
      <c r="I89" s="13" t="n">
        <v>15</v>
      </c>
      <c r="J89" s="9" t="n">
        <v>926</v>
      </c>
      <c r="K89" s="13" t="n">
        <v>30</v>
      </c>
      <c r="L89" s="9" t="n">
        <v>775.3</v>
      </c>
      <c r="M89" s="13" t="n">
        <v>47</v>
      </c>
      <c r="N89" s="9" t="n">
        <v>973.7</v>
      </c>
      <c r="O89" s="13" t="n">
        <v>32</v>
      </c>
      <c r="P89" s="9" t="n">
        <v>995.7</v>
      </c>
      <c r="Q89" s="13"/>
      <c r="R89" s="9"/>
      <c r="S89" s="13"/>
      <c r="T89" s="9"/>
      <c r="U89" s="13"/>
      <c r="V89" s="9"/>
      <c r="W89" s="13"/>
      <c r="X89" s="9"/>
      <c r="Y89" s="13"/>
      <c r="Z89" s="9"/>
      <c r="AA89" s="13"/>
      <c r="AB89" s="9"/>
      <c r="AC89" s="13" t="n">
        <f aca="false">SUM(E89,G89,I89,K89,M89,O89,Q89,S89,U89,W89,Y89,AA89)</f>
        <v>148</v>
      </c>
      <c r="AD89" s="9" t="n">
        <f aca="false">SUM(F89,H89,J89,L89,N89,P89,R89,T89,V89,X89,Z89,AB89)</f>
        <v>3674</v>
      </c>
    </row>
    <row r="90" customFormat="false" ht="15" hidden="false" customHeight="false" outlineLevel="0" collapsed="false">
      <c r="A90" s="7" t="n">
        <v>2026</v>
      </c>
      <c r="B90" s="7" t="s">
        <v>40</v>
      </c>
      <c r="C90" s="7" t="s">
        <v>41</v>
      </c>
      <c r="D90" s="7" t="s">
        <v>49</v>
      </c>
      <c r="E90" s="13" t="n">
        <v>1</v>
      </c>
      <c r="F90" s="9" t="n">
        <v>1350</v>
      </c>
      <c r="G90" s="13" t="n">
        <v>3</v>
      </c>
      <c r="H90" s="9" t="n">
        <v>3755.6</v>
      </c>
      <c r="I90" s="13" t="n">
        <v>7</v>
      </c>
      <c r="J90" s="9" t="n">
        <v>8222</v>
      </c>
      <c r="K90" s="13" t="n">
        <v>6</v>
      </c>
      <c r="L90" s="9" t="n">
        <v>5620.2</v>
      </c>
      <c r="M90" s="13" t="n">
        <v>3</v>
      </c>
      <c r="N90" s="9" t="n">
        <v>1875</v>
      </c>
      <c r="O90" s="13" t="n">
        <v>1</v>
      </c>
      <c r="P90" s="9" t="n">
        <v>435.9</v>
      </c>
      <c r="Q90" s="13"/>
      <c r="R90" s="9"/>
      <c r="S90" s="13"/>
      <c r="T90" s="9"/>
      <c r="U90" s="13"/>
      <c r="V90" s="9"/>
      <c r="W90" s="13"/>
      <c r="X90" s="9"/>
      <c r="Y90" s="13"/>
      <c r="Z90" s="9"/>
      <c r="AA90" s="13"/>
      <c r="AB90" s="9"/>
      <c r="AC90" s="13" t="n">
        <f aca="false">SUM(E90,G90,I90,K90,M90,O90,Q90,S90,U90,W90,Y90,AA90)</f>
        <v>21</v>
      </c>
      <c r="AD90" s="9" t="n">
        <f aca="false">SUM(F90,H90,J90,L90,N90,P90,R90,T90,V90,X90,Z90,AB90)</f>
        <v>21258.7</v>
      </c>
    </row>
    <row r="91" customFormat="false" ht="15" hidden="false" customHeight="false" outlineLevel="0" collapsed="false">
      <c r="A91" s="7" t="n">
        <v>2026</v>
      </c>
      <c r="B91" s="7" t="s">
        <v>40</v>
      </c>
      <c r="C91" s="7" t="s">
        <v>41</v>
      </c>
      <c r="D91" s="7" t="s">
        <v>56</v>
      </c>
      <c r="E91" s="13"/>
      <c r="F91" s="9"/>
      <c r="G91" s="13"/>
      <c r="H91" s="9"/>
      <c r="I91" s="13" t="n">
        <v>2</v>
      </c>
      <c r="J91" s="9" t="n">
        <v>0.5</v>
      </c>
      <c r="K91" s="13" t="n">
        <v>1</v>
      </c>
      <c r="L91" s="9" t="n">
        <v>0.1</v>
      </c>
      <c r="M91" s="13" t="n">
        <v>2</v>
      </c>
      <c r="N91" s="9" t="n">
        <v>1.2</v>
      </c>
      <c r="O91" s="13"/>
      <c r="P91" s="9"/>
      <c r="Q91" s="13"/>
      <c r="R91" s="9"/>
      <c r="S91" s="13"/>
      <c r="T91" s="9"/>
      <c r="U91" s="13"/>
      <c r="V91" s="9"/>
      <c r="W91" s="13"/>
      <c r="X91" s="9"/>
      <c r="Y91" s="13"/>
      <c r="Z91" s="9"/>
      <c r="AA91" s="13"/>
      <c r="AB91" s="9"/>
      <c r="AC91" s="13" t="n">
        <f aca="false">SUM(E91,G91,I91,K91,M91,O91,Q91,S91,U91,W91,Y91,AA91)</f>
        <v>5</v>
      </c>
      <c r="AD91" s="9" t="n">
        <f aca="false">SUM(F91,H91,J91,L91,N91,P91,R91,T91,V91,X91,Z91,AB91)</f>
        <v>1.8</v>
      </c>
    </row>
    <row r="92" customFormat="false" ht="15" hidden="false" customHeight="false" outlineLevel="0" collapsed="false">
      <c r="A92" s="7" t="n">
        <v>2026</v>
      </c>
      <c r="B92" s="7" t="s">
        <v>40</v>
      </c>
      <c r="C92" s="7" t="s">
        <v>51</v>
      </c>
      <c r="D92" s="7" t="s">
        <v>47</v>
      </c>
      <c r="E92" s="13" t="n">
        <v>2</v>
      </c>
      <c r="F92" s="9" t="n">
        <v>4000</v>
      </c>
      <c r="G92" s="13" t="n">
        <v>3</v>
      </c>
      <c r="H92" s="9" t="n">
        <v>9279</v>
      </c>
      <c r="I92" s="13" t="n">
        <v>5</v>
      </c>
      <c r="J92" s="9" t="n">
        <v>20203.4</v>
      </c>
      <c r="K92" s="13" t="n">
        <v>3</v>
      </c>
      <c r="L92" s="9" t="n">
        <v>8413.5</v>
      </c>
      <c r="M92" s="13" t="n">
        <v>2</v>
      </c>
      <c r="N92" s="9" t="n">
        <v>3682</v>
      </c>
      <c r="O92" s="13" t="n">
        <v>1</v>
      </c>
      <c r="P92" s="9" t="n">
        <v>3051</v>
      </c>
      <c r="Q92" s="13"/>
      <c r="R92" s="9"/>
      <c r="S92" s="13"/>
      <c r="T92" s="9"/>
      <c r="U92" s="13"/>
      <c r="V92" s="9"/>
      <c r="W92" s="13"/>
      <c r="X92" s="9"/>
      <c r="Y92" s="13"/>
      <c r="Z92" s="9"/>
      <c r="AA92" s="13"/>
      <c r="AB92" s="9"/>
      <c r="AC92" s="13" t="n">
        <f aca="false">SUM(E92,G92,I92,K92,M92,O92,Q92,S92,U92,W92,Y92,AA92)</f>
        <v>16</v>
      </c>
      <c r="AD92" s="9" t="n">
        <f aca="false">SUM(F92,H92,J92,L92,N92,P92,R92,T92,V92,X92,Z92,AB92)</f>
        <v>48628.9</v>
      </c>
    </row>
  </sheetData>
  <mergeCells count="18"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C2"/>
    <mergeCell ref="AD1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7" min="2" style="0" width="12"/>
  </cols>
  <sheetData>
    <row r="1" customFormat="false" ht="15" hidden="false" customHeight="false" outlineLevel="0" collapsed="false">
      <c r="A1" s="17" t="s">
        <v>81</v>
      </c>
    </row>
    <row r="2" customFormat="false" ht="15" hidden="false" customHeight="false" outlineLevel="0" collapsed="false">
      <c r="A2" s="6" t="s">
        <v>37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91</v>
      </c>
      <c r="L2" s="6" t="s">
        <v>92</v>
      </c>
      <c r="M2" s="6" t="s">
        <v>93</v>
      </c>
      <c r="N2" s="6" t="s">
        <v>94</v>
      </c>
      <c r="O2" s="6" t="s">
        <v>95</v>
      </c>
      <c r="P2" s="6" t="s">
        <v>96</v>
      </c>
      <c r="Q2" s="6" t="s">
        <v>97</v>
      </c>
    </row>
    <row r="3" customFormat="false" ht="15" hidden="false" customHeight="false" outlineLevel="0" collapsed="false">
      <c r="A3" s="3" t="s">
        <v>59</v>
      </c>
      <c r="B3" s="13" t="n">
        <f aca="false">SUMIFS('Monthly Detail'!$AC$3:$AC$92,'Monthly Detail'!$A$3:$A$92,2019,'Monthly Detail'!$B$3:$B$92,"Import",'Monthly Detail'!$C$3:$C$92,"Dried deer velvet",'Monthly Detail'!$D$3:$D$92,$A3)</f>
        <v>0</v>
      </c>
      <c r="C3" s="9" t="n">
        <f aca="false">SUMIFS('Monthly Detail'!$AD$3:$AD$92,'Monthly Detail'!$A$3:$A$92,2019,'Monthly Detail'!$B$3:$B$92,"Import",'Monthly Detail'!$C$3:$C$92,"Dried deer velvet",'Monthly Detail'!$D$3:$D$92,$A3)</f>
        <v>0</v>
      </c>
      <c r="D3" s="13" t="n">
        <f aca="false">SUMIFS('Monthly Detail'!$AC$3:$AC$92,'Monthly Detail'!$A$3:$A$92,2020,'Monthly Detail'!$B$3:$B$92,"Import",'Monthly Detail'!$C$3:$C$92,"Dried deer velvet",'Monthly Detail'!$D$3:$D$92,$A3)</f>
        <v>0</v>
      </c>
      <c r="E3" s="9" t="n">
        <f aca="false">SUMIFS('Monthly Detail'!$AD$3:$AD$92,'Monthly Detail'!$A$3:$A$92,2020,'Monthly Detail'!$B$3:$B$92,"Import",'Monthly Detail'!$C$3:$C$92,"Dried deer velvet",'Monthly Detail'!$D$3:$D$92,$A3)</f>
        <v>0</v>
      </c>
      <c r="F3" s="13" t="n">
        <f aca="false">SUMIFS('Monthly Detail'!$AC$3:$AC$92,'Monthly Detail'!$A$3:$A$92,2021,'Monthly Detail'!$B$3:$B$92,"Import",'Monthly Detail'!$C$3:$C$92,"Dried deer velvet",'Monthly Detail'!$D$3:$D$92,$A3)</f>
        <v>0</v>
      </c>
      <c r="G3" s="9" t="n">
        <f aca="false">SUMIFS('Monthly Detail'!$AD$3:$AD$92,'Monthly Detail'!$A$3:$A$92,2021,'Monthly Detail'!$B$3:$B$92,"Import",'Monthly Detail'!$C$3:$C$92,"Dried deer velvet",'Monthly Detail'!$D$3:$D$92,$A3)</f>
        <v>0</v>
      </c>
      <c r="H3" s="13" t="n">
        <f aca="false">SUMIFS('Monthly Detail'!$AC$3:$AC$92,'Monthly Detail'!$A$3:$A$92,2022,'Monthly Detail'!$B$3:$B$92,"Import",'Monthly Detail'!$C$3:$C$92,"Dried deer velvet",'Monthly Detail'!$D$3:$D$92,$A3)</f>
        <v>0</v>
      </c>
      <c r="I3" s="9" t="n">
        <f aca="false">SUMIFS('Monthly Detail'!$AD$3:$AD$92,'Monthly Detail'!$A$3:$A$92,2022,'Monthly Detail'!$B$3:$B$92,"Import",'Monthly Detail'!$C$3:$C$92,"Dried deer velvet",'Monthly Detail'!$D$3:$D$92,$A3)</f>
        <v>0</v>
      </c>
      <c r="J3" s="13" t="n">
        <f aca="false">SUMIFS('Monthly Detail'!$AC$3:$AC$92,'Monthly Detail'!$A$3:$A$92,2023,'Monthly Detail'!$B$3:$B$92,"Import",'Monthly Detail'!$C$3:$C$92,"Dried deer velvet",'Monthly Detail'!$D$3:$D$92,$A3)</f>
        <v>0</v>
      </c>
      <c r="K3" s="9" t="n">
        <f aca="false">SUMIFS('Monthly Detail'!$AD$3:$AD$92,'Monthly Detail'!$A$3:$A$92,2023,'Monthly Detail'!$B$3:$B$92,"Import",'Monthly Detail'!$C$3:$C$92,"Dried deer velvet",'Monthly Detail'!$D$3:$D$92,$A3)</f>
        <v>0</v>
      </c>
      <c r="L3" s="13" t="n">
        <f aca="false">SUMIFS('Monthly Detail'!$AC$3:$AC$92,'Monthly Detail'!$A$3:$A$92,2024,'Monthly Detail'!$B$3:$B$92,"Import",'Monthly Detail'!$C$3:$C$92,"Dried deer velvet",'Monthly Detail'!$D$3:$D$92,$A3)</f>
        <v>0</v>
      </c>
      <c r="M3" s="9" t="n">
        <f aca="false">SUMIFS('Monthly Detail'!$AD$3:$AD$92,'Monthly Detail'!$A$3:$A$92,2024,'Monthly Detail'!$B$3:$B$92,"Import",'Monthly Detail'!$C$3:$C$92,"Dried deer velvet",'Monthly Detail'!$D$3:$D$92,$A3)</f>
        <v>0</v>
      </c>
      <c r="N3" s="13" t="n">
        <f aca="false">SUMIFS('Monthly Detail'!$AC$3:$AC$92,'Monthly Detail'!$A$3:$A$92,2025,'Monthly Detail'!$B$3:$B$92,"Import",'Monthly Detail'!$C$3:$C$92,"Dried deer velvet",'Monthly Detail'!$D$3:$D$92,$A3)</f>
        <v>0</v>
      </c>
      <c r="O3" s="9" t="n">
        <f aca="false">SUMIFS('Monthly Detail'!$AD$3:$AD$92,'Monthly Detail'!$A$3:$A$92,2025,'Monthly Detail'!$B$3:$B$92,"Import",'Monthly Detail'!$C$3:$C$92,"Dried deer velvet",'Monthly Detail'!$D$3:$D$92,$A3)</f>
        <v>0</v>
      </c>
      <c r="P3" s="13" t="n">
        <f aca="false">SUMIFS('Monthly Detail'!$AC$3:$AC$92,'Monthly Detail'!$A$3:$A$92,2026,'Monthly Detail'!$B$3:$B$92,"Import",'Monthly Detail'!$C$3:$C$92,"Dried deer velvet",'Monthly Detail'!$D$3:$D$92,$A3)</f>
        <v>13</v>
      </c>
      <c r="Q3" s="9" t="n">
        <f aca="false">SUMIFS('Monthly Detail'!$AD$3:$AD$92,'Monthly Detail'!$A$3:$A$92,2026,'Monthly Detail'!$B$3:$B$92,"Import",'Monthly Detail'!$C$3:$C$92,"Dried deer velvet",'Monthly Detail'!$D$3:$D$92,$A3)</f>
        <v>1.8</v>
      </c>
    </row>
    <row r="4" customFormat="false" ht="15" hidden="false" customHeight="false" outlineLevel="0" collapsed="false">
      <c r="A4" s="3" t="s">
        <v>62</v>
      </c>
      <c r="B4" s="13" t="n">
        <f aca="false">SUMIFS('Monthly Detail'!$AC$3:$AC$92,'Monthly Detail'!$A$3:$A$92,2019,'Monthly Detail'!$B$3:$B$92,"Import",'Monthly Detail'!$C$3:$C$92,"Dried deer velvet",'Monthly Detail'!$D$3:$D$92,$A4)</f>
        <v>0</v>
      </c>
      <c r="C4" s="9" t="n">
        <f aca="false">SUMIFS('Monthly Detail'!$AD$3:$AD$92,'Monthly Detail'!$A$3:$A$92,2019,'Monthly Detail'!$B$3:$B$92,"Import",'Monthly Detail'!$C$3:$C$92,"Dried deer velvet",'Monthly Detail'!$D$3:$D$92,$A4)</f>
        <v>0</v>
      </c>
      <c r="D4" s="13" t="n">
        <f aca="false">SUMIFS('Monthly Detail'!$AC$3:$AC$92,'Monthly Detail'!$A$3:$A$92,2020,'Monthly Detail'!$B$3:$B$92,"Import",'Monthly Detail'!$C$3:$C$92,"Dried deer velvet",'Monthly Detail'!$D$3:$D$92,$A4)</f>
        <v>0</v>
      </c>
      <c r="E4" s="9" t="n">
        <f aca="false">SUMIFS('Monthly Detail'!$AD$3:$AD$92,'Monthly Detail'!$A$3:$A$92,2020,'Monthly Detail'!$B$3:$B$92,"Import",'Monthly Detail'!$C$3:$C$92,"Dried deer velvet",'Monthly Detail'!$D$3:$D$92,$A4)</f>
        <v>0</v>
      </c>
      <c r="F4" s="13" t="n">
        <f aca="false">SUMIFS('Monthly Detail'!$AC$3:$AC$92,'Monthly Detail'!$A$3:$A$92,2021,'Monthly Detail'!$B$3:$B$92,"Import",'Monthly Detail'!$C$3:$C$92,"Dried deer velvet",'Monthly Detail'!$D$3:$D$92,$A4)</f>
        <v>0</v>
      </c>
      <c r="G4" s="9" t="n">
        <f aca="false">SUMIFS('Monthly Detail'!$AD$3:$AD$92,'Monthly Detail'!$A$3:$A$92,2021,'Monthly Detail'!$B$3:$B$92,"Import",'Monthly Detail'!$C$3:$C$92,"Dried deer velvet",'Monthly Detail'!$D$3:$D$92,$A4)</f>
        <v>0</v>
      </c>
      <c r="H4" s="13" t="n">
        <f aca="false">SUMIFS('Monthly Detail'!$AC$3:$AC$92,'Monthly Detail'!$A$3:$A$92,2022,'Monthly Detail'!$B$3:$B$92,"Import",'Monthly Detail'!$C$3:$C$92,"Dried deer velvet",'Monthly Detail'!$D$3:$D$92,$A4)</f>
        <v>0</v>
      </c>
      <c r="I4" s="9" t="n">
        <f aca="false">SUMIFS('Monthly Detail'!$AD$3:$AD$92,'Monthly Detail'!$A$3:$A$92,2022,'Monthly Detail'!$B$3:$B$92,"Import",'Monthly Detail'!$C$3:$C$92,"Dried deer velvet",'Monthly Detail'!$D$3:$D$92,$A4)</f>
        <v>0</v>
      </c>
      <c r="J4" s="13" t="n">
        <f aca="false">SUMIFS('Monthly Detail'!$AC$3:$AC$92,'Monthly Detail'!$A$3:$A$92,2023,'Monthly Detail'!$B$3:$B$92,"Import",'Monthly Detail'!$C$3:$C$92,"Dried deer velvet",'Monthly Detail'!$D$3:$D$92,$A4)</f>
        <v>0</v>
      </c>
      <c r="K4" s="9" t="n">
        <f aca="false">SUMIFS('Monthly Detail'!$AD$3:$AD$92,'Monthly Detail'!$A$3:$A$92,2023,'Monthly Detail'!$B$3:$B$92,"Import",'Monthly Detail'!$C$3:$C$92,"Dried deer velvet",'Monthly Detail'!$D$3:$D$92,$A4)</f>
        <v>0</v>
      </c>
      <c r="L4" s="13" t="n">
        <f aca="false">SUMIFS('Monthly Detail'!$AC$3:$AC$92,'Monthly Detail'!$A$3:$A$92,2024,'Monthly Detail'!$B$3:$B$92,"Import",'Monthly Detail'!$C$3:$C$92,"Dried deer velvet",'Monthly Detail'!$D$3:$D$92,$A4)</f>
        <v>0</v>
      </c>
      <c r="M4" s="9" t="n">
        <f aca="false">SUMIFS('Monthly Detail'!$AD$3:$AD$92,'Monthly Detail'!$A$3:$A$92,2024,'Monthly Detail'!$B$3:$B$92,"Import",'Monthly Detail'!$C$3:$C$92,"Dried deer velvet",'Monthly Detail'!$D$3:$D$92,$A4)</f>
        <v>0</v>
      </c>
      <c r="N4" s="13" t="n">
        <f aca="false">SUMIFS('Monthly Detail'!$AC$3:$AC$92,'Monthly Detail'!$A$3:$A$92,2025,'Monthly Detail'!$B$3:$B$92,"Import",'Monthly Detail'!$C$3:$C$92,"Dried deer velvet",'Monthly Detail'!$D$3:$D$92,$A4)</f>
        <v>0</v>
      </c>
      <c r="O4" s="9" t="n">
        <f aca="false">SUMIFS('Monthly Detail'!$AD$3:$AD$92,'Monthly Detail'!$A$3:$A$92,2025,'Monthly Detail'!$B$3:$B$92,"Import",'Monthly Detail'!$C$3:$C$92,"Dried deer velvet",'Monthly Detail'!$D$3:$D$92,$A4)</f>
        <v>0</v>
      </c>
      <c r="P4" s="13" t="n">
        <f aca="false">SUMIFS('Monthly Detail'!$AC$3:$AC$92,'Monthly Detail'!$A$3:$A$92,2026,'Monthly Detail'!$B$3:$B$92,"Import",'Monthly Detail'!$C$3:$C$92,"Dried deer velvet",'Monthly Detail'!$D$3:$D$92,$A4)</f>
        <v>1</v>
      </c>
      <c r="Q4" s="9" t="n">
        <f aca="false">SUMIFS('Monthly Detail'!$AD$3:$AD$92,'Monthly Detail'!$A$3:$A$92,2026,'Monthly Detail'!$B$3:$B$92,"Import",'Monthly Detail'!$C$3:$C$92,"Dried deer velvet",'Monthly Detail'!$D$3:$D$92,$A4)</f>
        <v>0.1</v>
      </c>
    </row>
    <row r="5" customFormat="false" ht="15" hidden="false" customHeight="false" outlineLevel="0" collapsed="false">
      <c r="A5" s="3" t="s">
        <v>43</v>
      </c>
      <c r="B5" s="13" t="n">
        <f aca="false">SUMIFS('Monthly Detail'!$AC$3:$AC$92,'Monthly Detail'!$A$3:$A$92,2019,'Monthly Detail'!$B$3:$B$92,"Import",'Monthly Detail'!$C$3:$C$92,"Dried deer velvet",'Monthly Detail'!$D$3:$D$92,$A5)</f>
        <v>70</v>
      </c>
      <c r="C5" s="9" t="n">
        <f aca="false">SUMIFS('Monthly Detail'!$AD$3:$AD$92,'Monthly Detail'!$A$3:$A$92,2019,'Monthly Detail'!$B$3:$B$92,"Import",'Monthly Detail'!$C$3:$C$92,"Dried deer velvet",'Monthly Detail'!$D$3:$D$92,$A5)</f>
        <v>65673.51</v>
      </c>
      <c r="D5" s="13" t="n">
        <f aca="false">SUMIFS('Monthly Detail'!$AC$3:$AC$92,'Monthly Detail'!$A$3:$A$92,2020,'Monthly Detail'!$B$3:$B$92,"Import",'Monthly Detail'!$C$3:$C$92,"Dried deer velvet",'Monthly Detail'!$D$3:$D$92,$A5)</f>
        <v>89</v>
      </c>
      <c r="E5" s="9" t="n">
        <f aca="false">SUMIFS('Monthly Detail'!$AD$3:$AD$92,'Monthly Detail'!$A$3:$A$92,2020,'Monthly Detail'!$B$3:$B$92,"Import",'Monthly Detail'!$C$3:$C$92,"Dried deer velvet",'Monthly Detail'!$D$3:$D$92,$A5)</f>
        <v>77655.31</v>
      </c>
      <c r="F5" s="13" t="n">
        <f aca="false">SUMIFS('Monthly Detail'!$AC$3:$AC$92,'Monthly Detail'!$A$3:$A$92,2021,'Monthly Detail'!$B$3:$B$92,"Import",'Monthly Detail'!$C$3:$C$92,"Dried deer velvet",'Monthly Detail'!$D$3:$D$92,$A5)</f>
        <v>72</v>
      </c>
      <c r="G5" s="9" t="n">
        <f aca="false">SUMIFS('Monthly Detail'!$AD$3:$AD$92,'Monthly Detail'!$A$3:$A$92,2021,'Monthly Detail'!$B$3:$B$92,"Import",'Monthly Detail'!$C$3:$C$92,"Dried deer velvet",'Monthly Detail'!$D$3:$D$92,$A5)</f>
        <v>72485.825</v>
      </c>
      <c r="H5" s="13" t="n">
        <f aca="false">SUMIFS('Monthly Detail'!$AC$3:$AC$92,'Monthly Detail'!$A$3:$A$92,2022,'Monthly Detail'!$B$3:$B$92,"Import",'Monthly Detail'!$C$3:$C$92,"Dried deer velvet",'Monthly Detail'!$D$3:$D$92,$A5)</f>
        <v>67</v>
      </c>
      <c r="I5" s="9" t="n">
        <f aca="false">SUMIFS('Monthly Detail'!$AD$3:$AD$92,'Monthly Detail'!$A$3:$A$92,2022,'Monthly Detail'!$B$3:$B$92,"Import",'Monthly Detail'!$C$3:$C$92,"Dried deer velvet",'Monthly Detail'!$D$3:$D$92,$A5)</f>
        <v>89551.833</v>
      </c>
      <c r="J5" s="13" t="n">
        <f aca="false">SUMIFS('Monthly Detail'!$AC$3:$AC$92,'Monthly Detail'!$A$3:$A$92,2023,'Monthly Detail'!$B$3:$B$92,"Import",'Monthly Detail'!$C$3:$C$92,"Dried deer velvet",'Monthly Detail'!$D$3:$D$92,$A5)</f>
        <v>56</v>
      </c>
      <c r="K5" s="9" t="n">
        <f aca="false">SUMIFS('Monthly Detail'!$AD$3:$AD$92,'Monthly Detail'!$A$3:$A$92,2023,'Monthly Detail'!$B$3:$B$92,"Import",'Monthly Detail'!$C$3:$C$92,"Dried deer velvet",'Monthly Detail'!$D$3:$D$92,$A5)</f>
        <v>74242.8</v>
      </c>
      <c r="L5" s="13" t="n">
        <f aca="false">SUMIFS('Monthly Detail'!$AC$3:$AC$92,'Monthly Detail'!$A$3:$A$92,2024,'Monthly Detail'!$B$3:$B$92,"Import",'Monthly Detail'!$C$3:$C$92,"Dried deer velvet",'Monthly Detail'!$D$3:$D$92,$A5)</f>
        <v>64</v>
      </c>
      <c r="M5" s="9" t="n">
        <f aca="false">SUMIFS('Monthly Detail'!$AD$3:$AD$92,'Monthly Detail'!$A$3:$A$92,2024,'Monthly Detail'!$B$3:$B$92,"Import",'Monthly Detail'!$C$3:$C$92,"Dried deer velvet",'Monthly Detail'!$D$3:$D$92,$A5)</f>
        <v>89389.825</v>
      </c>
      <c r="N5" s="13" t="n">
        <f aca="false">SUMIFS('Monthly Detail'!$AC$3:$AC$92,'Monthly Detail'!$A$3:$A$92,2025,'Monthly Detail'!$B$3:$B$92,"Import",'Monthly Detail'!$C$3:$C$92,"Dried deer velvet",'Monthly Detail'!$D$3:$D$92,$A5)</f>
        <v>57</v>
      </c>
      <c r="O5" s="9" t="n">
        <f aca="false">SUMIFS('Monthly Detail'!$AD$3:$AD$92,'Monthly Detail'!$A$3:$A$92,2025,'Monthly Detail'!$B$3:$B$92,"Import",'Monthly Detail'!$C$3:$C$92,"Dried deer velvet",'Monthly Detail'!$D$3:$D$92,$A5)</f>
        <v>90393</v>
      </c>
      <c r="P5" s="13" t="n">
        <f aca="false">SUMIFS('Monthly Detail'!$AC$3:$AC$92,'Monthly Detail'!$A$3:$A$92,2026,'Monthly Detail'!$B$3:$B$92,"Import",'Monthly Detail'!$C$3:$C$92,"Dried deer velvet",'Monthly Detail'!$D$3:$D$92,$A5)</f>
        <v>33</v>
      </c>
      <c r="Q5" s="9" t="n">
        <f aca="false">SUMIFS('Monthly Detail'!$AD$3:$AD$92,'Monthly Detail'!$A$3:$A$92,2026,'Monthly Detail'!$B$3:$B$92,"Import",'Monthly Detail'!$C$3:$C$92,"Dried deer velvet",'Monthly Detail'!$D$3:$D$92,$A5)</f>
        <v>36527.4</v>
      </c>
    </row>
    <row r="6" customFormat="false" ht="15" hidden="false" customHeight="false" outlineLevel="0" collapsed="false">
      <c r="A6" s="3" t="s">
        <v>45</v>
      </c>
      <c r="B6" s="13" t="n">
        <f aca="false">SUMIFS('Monthly Detail'!$AC$3:$AC$92,'Monthly Detail'!$A$3:$A$92,2019,'Monthly Detail'!$B$3:$B$92,"Import",'Monthly Detail'!$C$3:$C$92,"Dried deer velvet",'Monthly Detail'!$D$3:$D$92,$A6)</f>
        <v>25</v>
      </c>
      <c r="C6" s="9" t="n">
        <f aca="false">SUMIFS('Monthly Detail'!$AD$3:$AD$92,'Monthly Detail'!$A$3:$A$92,2019,'Monthly Detail'!$B$3:$B$92,"Import",'Monthly Detail'!$C$3:$C$92,"Dried deer velvet",'Monthly Detail'!$D$3:$D$92,$A6)</f>
        <v>17826</v>
      </c>
      <c r="D6" s="13" t="n">
        <f aca="false">SUMIFS('Monthly Detail'!$AC$3:$AC$92,'Monthly Detail'!$A$3:$A$92,2020,'Monthly Detail'!$B$3:$B$92,"Import",'Monthly Detail'!$C$3:$C$92,"Dried deer velvet",'Monthly Detail'!$D$3:$D$92,$A6)</f>
        <v>18</v>
      </c>
      <c r="E6" s="9" t="n">
        <f aca="false">SUMIFS('Monthly Detail'!$AD$3:$AD$92,'Monthly Detail'!$A$3:$A$92,2020,'Monthly Detail'!$B$3:$B$92,"Import",'Monthly Detail'!$C$3:$C$92,"Dried deer velvet",'Monthly Detail'!$D$3:$D$92,$A6)</f>
        <v>13700.7</v>
      </c>
      <c r="F6" s="13" t="n">
        <f aca="false">SUMIFS('Monthly Detail'!$AC$3:$AC$92,'Monthly Detail'!$A$3:$A$92,2021,'Monthly Detail'!$B$3:$B$92,"Import",'Monthly Detail'!$C$3:$C$92,"Dried deer velvet",'Monthly Detail'!$D$3:$D$92,$A6)</f>
        <v>19</v>
      </c>
      <c r="G6" s="9" t="n">
        <f aca="false">SUMIFS('Monthly Detail'!$AD$3:$AD$92,'Monthly Detail'!$A$3:$A$92,2021,'Monthly Detail'!$B$3:$B$92,"Import",'Monthly Detail'!$C$3:$C$92,"Dried deer velvet",'Monthly Detail'!$D$3:$D$92,$A6)</f>
        <v>22371.675</v>
      </c>
      <c r="H6" s="13" t="n">
        <f aca="false">SUMIFS('Monthly Detail'!$AC$3:$AC$92,'Monthly Detail'!$A$3:$A$92,2022,'Monthly Detail'!$B$3:$B$92,"Import",'Monthly Detail'!$C$3:$C$92,"Dried deer velvet",'Monthly Detail'!$D$3:$D$92,$A6)</f>
        <v>18</v>
      </c>
      <c r="I6" s="9" t="n">
        <f aca="false">SUMIFS('Monthly Detail'!$AD$3:$AD$92,'Monthly Detail'!$A$3:$A$92,2022,'Monthly Detail'!$B$3:$B$92,"Import",'Monthly Detail'!$C$3:$C$92,"Dried deer velvet",'Monthly Detail'!$D$3:$D$92,$A6)</f>
        <v>23834.6</v>
      </c>
      <c r="J6" s="13" t="n">
        <f aca="false">SUMIFS('Monthly Detail'!$AC$3:$AC$92,'Monthly Detail'!$A$3:$A$92,2023,'Monthly Detail'!$B$3:$B$92,"Import",'Monthly Detail'!$C$3:$C$92,"Dried deer velvet",'Monthly Detail'!$D$3:$D$92,$A6)</f>
        <v>12</v>
      </c>
      <c r="K6" s="9" t="n">
        <f aca="false">SUMIFS('Monthly Detail'!$AD$3:$AD$92,'Monthly Detail'!$A$3:$A$92,2023,'Monthly Detail'!$B$3:$B$92,"Import",'Monthly Detail'!$C$3:$C$92,"Dried deer velvet",'Monthly Detail'!$D$3:$D$92,$A6)</f>
        <v>12596</v>
      </c>
      <c r="L6" s="13" t="n">
        <f aca="false">SUMIFS('Monthly Detail'!$AC$3:$AC$92,'Monthly Detail'!$A$3:$A$92,2024,'Monthly Detail'!$B$3:$B$92,"Import",'Monthly Detail'!$C$3:$C$92,"Dried deer velvet",'Monthly Detail'!$D$3:$D$92,$A6)</f>
        <v>3</v>
      </c>
      <c r="M6" s="9" t="n">
        <f aca="false">SUMIFS('Monthly Detail'!$AD$3:$AD$92,'Monthly Detail'!$A$3:$A$92,2024,'Monthly Detail'!$B$3:$B$92,"Import",'Monthly Detail'!$C$3:$C$92,"Dried deer velvet",'Monthly Detail'!$D$3:$D$92,$A6)</f>
        <v>4346</v>
      </c>
      <c r="N6" s="13" t="n">
        <f aca="false">SUMIFS('Monthly Detail'!$AC$3:$AC$92,'Monthly Detail'!$A$3:$A$92,2025,'Monthly Detail'!$B$3:$B$92,"Import",'Monthly Detail'!$C$3:$C$92,"Dried deer velvet",'Monthly Detail'!$D$3:$D$92,$A6)</f>
        <v>6</v>
      </c>
      <c r="O6" s="9" t="n">
        <f aca="false">SUMIFS('Monthly Detail'!$AD$3:$AD$92,'Monthly Detail'!$A$3:$A$92,2025,'Monthly Detail'!$B$3:$B$92,"Import",'Monthly Detail'!$C$3:$C$92,"Dried deer velvet",'Monthly Detail'!$D$3:$D$92,$A6)</f>
        <v>3698.6</v>
      </c>
      <c r="P6" s="13" t="n">
        <f aca="false">SUMIFS('Monthly Detail'!$AC$3:$AC$92,'Monthly Detail'!$A$3:$A$92,2026,'Monthly Detail'!$B$3:$B$92,"Import",'Monthly Detail'!$C$3:$C$92,"Dried deer velvet",'Monthly Detail'!$D$3:$D$92,$A6)</f>
        <v>4</v>
      </c>
      <c r="Q6" s="9" t="n">
        <f aca="false">SUMIFS('Monthly Detail'!$AD$3:$AD$92,'Monthly Detail'!$A$3:$A$92,2026,'Monthly Detail'!$B$3:$B$92,"Import",'Monthly Detail'!$C$3:$C$92,"Dried deer velvet",'Monthly Detail'!$D$3:$D$92,$A6)</f>
        <v>1800</v>
      </c>
    </row>
    <row r="7" customFormat="false" ht="15" hidden="false" customHeight="false" outlineLevel="0" collapsed="false">
      <c r="A7" s="3" t="s">
        <v>58</v>
      </c>
      <c r="B7" s="13" t="n">
        <f aca="false">SUMIFS('Monthly Detail'!$AC$3:$AC$92,'Monthly Detail'!$A$3:$A$92,2019,'Monthly Detail'!$B$3:$B$92,"Import",'Monthly Detail'!$C$3:$C$92,"Dried deer velvet",'Monthly Detail'!$D$3:$D$92,$A7)</f>
        <v>4</v>
      </c>
      <c r="C7" s="9" t="n">
        <f aca="false">SUMIFS('Monthly Detail'!$AD$3:$AD$92,'Monthly Detail'!$A$3:$A$92,2019,'Monthly Detail'!$B$3:$B$92,"Import",'Monthly Detail'!$C$3:$C$92,"Dried deer velvet",'Monthly Detail'!$D$3:$D$92,$A7)</f>
        <v>701</v>
      </c>
      <c r="D7" s="13" t="n">
        <f aca="false">SUMIFS('Monthly Detail'!$AC$3:$AC$92,'Monthly Detail'!$A$3:$A$92,2020,'Monthly Detail'!$B$3:$B$92,"Import",'Monthly Detail'!$C$3:$C$92,"Dried deer velvet",'Monthly Detail'!$D$3:$D$92,$A7)</f>
        <v>6</v>
      </c>
      <c r="E7" s="9" t="n">
        <f aca="false">SUMIFS('Monthly Detail'!$AD$3:$AD$92,'Monthly Detail'!$A$3:$A$92,2020,'Monthly Detail'!$B$3:$B$92,"Import",'Monthly Detail'!$C$3:$C$92,"Dried deer velvet",'Monthly Detail'!$D$3:$D$92,$A7)</f>
        <v>2353.45</v>
      </c>
      <c r="F7" s="13" t="n">
        <f aca="false">SUMIFS('Monthly Detail'!$AC$3:$AC$92,'Monthly Detail'!$A$3:$A$92,2021,'Monthly Detail'!$B$3:$B$92,"Import",'Monthly Detail'!$C$3:$C$92,"Dried deer velvet",'Monthly Detail'!$D$3:$D$92,$A7)</f>
        <v>4</v>
      </c>
      <c r="G7" s="9" t="n">
        <f aca="false">SUMIFS('Monthly Detail'!$AD$3:$AD$92,'Monthly Detail'!$A$3:$A$92,2021,'Monthly Detail'!$B$3:$B$92,"Import",'Monthly Detail'!$C$3:$C$92,"Dried deer velvet",'Monthly Detail'!$D$3:$D$92,$A7)</f>
        <v>1428</v>
      </c>
      <c r="H7" s="13" t="n">
        <f aca="false">SUMIFS('Monthly Detail'!$AC$3:$AC$92,'Monthly Detail'!$A$3:$A$92,2022,'Monthly Detail'!$B$3:$B$92,"Import",'Monthly Detail'!$C$3:$C$92,"Dried deer velvet",'Monthly Detail'!$D$3:$D$92,$A7)</f>
        <v>6</v>
      </c>
      <c r="I7" s="9" t="n">
        <f aca="false">SUMIFS('Monthly Detail'!$AD$3:$AD$92,'Monthly Detail'!$A$3:$A$92,2022,'Monthly Detail'!$B$3:$B$92,"Import",'Monthly Detail'!$C$3:$C$92,"Dried deer velvet",'Monthly Detail'!$D$3:$D$92,$A7)</f>
        <v>2096.8</v>
      </c>
      <c r="J7" s="13" t="n">
        <f aca="false">SUMIFS('Monthly Detail'!$AC$3:$AC$92,'Monthly Detail'!$A$3:$A$92,2023,'Monthly Detail'!$B$3:$B$92,"Import",'Monthly Detail'!$C$3:$C$92,"Dried deer velvet",'Monthly Detail'!$D$3:$D$92,$A7)</f>
        <v>4</v>
      </c>
      <c r="K7" s="9" t="n">
        <f aca="false">SUMIFS('Monthly Detail'!$AD$3:$AD$92,'Monthly Detail'!$A$3:$A$92,2023,'Monthly Detail'!$B$3:$B$92,"Import",'Monthly Detail'!$C$3:$C$92,"Dried deer velvet",'Monthly Detail'!$D$3:$D$92,$A7)</f>
        <v>1094.8</v>
      </c>
      <c r="L7" s="13" t="n">
        <f aca="false">SUMIFS('Monthly Detail'!$AC$3:$AC$92,'Monthly Detail'!$A$3:$A$92,2024,'Monthly Detail'!$B$3:$B$92,"Import",'Monthly Detail'!$C$3:$C$92,"Dried deer velvet",'Monthly Detail'!$D$3:$D$92,$A7)</f>
        <v>2</v>
      </c>
      <c r="M7" s="9" t="n">
        <f aca="false">SUMIFS('Monthly Detail'!$AD$3:$AD$92,'Monthly Detail'!$A$3:$A$92,2024,'Monthly Detail'!$B$3:$B$92,"Import",'Monthly Detail'!$C$3:$C$92,"Dried deer velvet",'Monthly Detail'!$D$3:$D$92,$A7)</f>
        <v>413</v>
      </c>
      <c r="N7" s="13" t="n">
        <f aca="false">SUMIFS('Monthly Detail'!$AC$3:$AC$92,'Monthly Detail'!$A$3:$A$92,2025,'Monthly Detail'!$B$3:$B$92,"Import",'Monthly Detail'!$C$3:$C$92,"Dried deer velvet",'Monthly Detail'!$D$3:$D$92,$A7)</f>
        <v>2</v>
      </c>
      <c r="O7" s="9" t="n">
        <f aca="false">SUMIFS('Monthly Detail'!$AD$3:$AD$92,'Monthly Detail'!$A$3:$A$92,2025,'Monthly Detail'!$B$3:$B$92,"Import",'Monthly Detail'!$C$3:$C$92,"Dried deer velvet",'Monthly Detail'!$D$3:$D$92,$A7)</f>
        <v>1058</v>
      </c>
      <c r="P7" s="13" t="n">
        <f aca="false">SUMIFS('Monthly Detail'!$AC$3:$AC$92,'Monthly Detail'!$A$3:$A$92,2026,'Monthly Detail'!$B$3:$B$92,"Import",'Monthly Detail'!$C$3:$C$92,"Dried deer velvet",'Monthly Detail'!$D$3:$D$92,$A7)</f>
        <v>0</v>
      </c>
      <c r="Q7" s="9" t="n">
        <f aca="false">SUMIFS('Monthly Detail'!$AD$3:$AD$92,'Monthly Detail'!$A$3:$A$92,2026,'Monthly Detail'!$B$3:$B$92,"Import",'Monthly Detail'!$C$3:$C$92,"Dried deer velvet",'Monthly Detail'!$D$3:$D$92,$A7)</f>
        <v>0</v>
      </c>
    </row>
    <row r="8" customFormat="false" ht="15" hidden="false" customHeight="false" outlineLevel="0" collapsed="false">
      <c r="A8" s="3" t="s">
        <v>61</v>
      </c>
      <c r="B8" s="13" t="n">
        <f aca="false">SUMIFS('Monthly Detail'!$AC$3:$AC$92,'Monthly Detail'!$A$3:$A$92,2019,'Monthly Detail'!$B$3:$B$92,"Import",'Monthly Detail'!$C$3:$C$92,"Dried deer velvet",'Monthly Detail'!$D$3:$D$92,$A8)</f>
        <v>0</v>
      </c>
      <c r="C8" s="9" t="n">
        <f aca="false">SUMIFS('Monthly Detail'!$AD$3:$AD$92,'Monthly Detail'!$A$3:$A$92,2019,'Monthly Detail'!$B$3:$B$92,"Import",'Monthly Detail'!$C$3:$C$92,"Dried deer velvet",'Monthly Detail'!$D$3:$D$92,$A8)</f>
        <v>0</v>
      </c>
      <c r="D8" s="13" t="n">
        <f aca="false">SUMIFS('Monthly Detail'!$AC$3:$AC$92,'Monthly Detail'!$A$3:$A$92,2020,'Monthly Detail'!$B$3:$B$92,"Import",'Monthly Detail'!$C$3:$C$92,"Dried deer velvet",'Monthly Detail'!$D$3:$D$92,$A8)</f>
        <v>0</v>
      </c>
      <c r="E8" s="9" t="n">
        <f aca="false">SUMIFS('Monthly Detail'!$AD$3:$AD$92,'Monthly Detail'!$A$3:$A$92,2020,'Monthly Detail'!$B$3:$B$92,"Import",'Monthly Detail'!$C$3:$C$92,"Dried deer velvet",'Monthly Detail'!$D$3:$D$92,$A8)</f>
        <v>0</v>
      </c>
      <c r="F8" s="13" t="n">
        <f aca="false">SUMIFS('Monthly Detail'!$AC$3:$AC$92,'Monthly Detail'!$A$3:$A$92,2021,'Monthly Detail'!$B$3:$B$92,"Import",'Monthly Detail'!$C$3:$C$92,"Dried deer velvet",'Monthly Detail'!$D$3:$D$92,$A8)</f>
        <v>0</v>
      </c>
      <c r="G8" s="9" t="n">
        <f aca="false">SUMIFS('Monthly Detail'!$AD$3:$AD$92,'Monthly Detail'!$A$3:$A$92,2021,'Monthly Detail'!$B$3:$B$92,"Import",'Monthly Detail'!$C$3:$C$92,"Dried deer velvet",'Monthly Detail'!$D$3:$D$92,$A8)</f>
        <v>0</v>
      </c>
      <c r="H8" s="13" t="n">
        <f aca="false">SUMIFS('Monthly Detail'!$AC$3:$AC$92,'Monthly Detail'!$A$3:$A$92,2022,'Monthly Detail'!$B$3:$B$92,"Import",'Monthly Detail'!$C$3:$C$92,"Dried deer velvet",'Monthly Detail'!$D$3:$D$92,$A8)</f>
        <v>0</v>
      </c>
      <c r="I8" s="9" t="n">
        <f aca="false">SUMIFS('Monthly Detail'!$AD$3:$AD$92,'Monthly Detail'!$A$3:$A$92,2022,'Monthly Detail'!$B$3:$B$92,"Import",'Monthly Detail'!$C$3:$C$92,"Dried deer velvet",'Monthly Detail'!$D$3:$D$92,$A8)</f>
        <v>0</v>
      </c>
      <c r="J8" s="13" t="n">
        <f aca="false">SUMIFS('Monthly Detail'!$AC$3:$AC$92,'Monthly Detail'!$A$3:$A$92,2023,'Monthly Detail'!$B$3:$B$92,"Import",'Monthly Detail'!$C$3:$C$92,"Dried deer velvet",'Monthly Detail'!$D$3:$D$92,$A8)</f>
        <v>0</v>
      </c>
      <c r="K8" s="9" t="n">
        <f aca="false">SUMIFS('Monthly Detail'!$AD$3:$AD$92,'Monthly Detail'!$A$3:$A$92,2023,'Monthly Detail'!$B$3:$B$92,"Import",'Monthly Detail'!$C$3:$C$92,"Dried deer velvet",'Monthly Detail'!$D$3:$D$92,$A8)</f>
        <v>0</v>
      </c>
      <c r="L8" s="13" t="n">
        <f aca="false">SUMIFS('Monthly Detail'!$AC$3:$AC$92,'Monthly Detail'!$A$3:$A$92,2024,'Monthly Detail'!$B$3:$B$92,"Import",'Monthly Detail'!$C$3:$C$92,"Dried deer velvet",'Monthly Detail'!$D$3:$D$92,$A8)</f>
        <v>0</v>
      </c>
      <c r="M8" s="9" t="n">
        <f aca="false">SUMIFS('Monthly Detail'!$AD$3:$AD$92,'Monthly Detail'!$A$3:$A$92,2024,'Monthly Detail'!$B$3:$B$92,"Import",'Monthly Detail'!$C$3:$C$92,"Dried deer velvet",'Monthly Detail'!$D$3:$D$92,$A8)</f>
        <v>0</v>
      </c>
      <c r="N8" s="13" t="n">
        <f aca="false">SUMIFS('Monthly Detail'!$AC$3:$AC$92,'Monthly Detail'!$A$3:$A$92,2025,'Monthly Detail'!$B$3:$B$92,"Import",'Monthly Detail'!$C$3:$C$92,"Dried deer velvet",'Monthly Detail'!$D$3:$D$92,$A8)</f>
        <v>0</v>
      </c>
      <c r="O8" s="9" t="n">
        <f aca="false">SUMIFS('Monthly Detail'!$AD$3:$AD$92,'Monthly Detail'!$A$3:$A$92,2025,'Monthly Detail'!$B$3:$B$92,"Import",'Monthly Detail'!$C$3:$C$92,"Dried deer velvet",'Monthly Detail'!$D$3:$D$92,$A8)</f>
        <v>0</v>
      </c>
      <c r="P8" s="13" t="n">
        <f aca="false">SUMIFS('Monthly Detail'!$AC$3:$AC$92,'Monthly Detail'!$A$3:$A$92,2026,'Monthly Detail'!$B$3:$B$92,"Import",'Monthly Detail'!$C$3:$C$92,"Dried deer velvet",'Monthly Detail'!$D$3:$D$92,$A8)</f>
        <v>1</v>
      </c>
      <c r="Q8" s="9" t="n">
        <f aca="false">SUMIFS('Monthly Detail'!$AD$3:$AD$92,'Monthly Detail'!$A$3:$A$92,2026,'Monthly Detail'!$B$3:$B$92,"Import",'Monthly Detail'!$C$3:$C$92,"Dried deer velvet",'Monthly Detail'!$D$3:$D$92,$A8)</f>
        <v>0.3</v>
      </c>
    </row>
    <row r="9" customFormat="false" ht="15" hidden="false" customHeight="false" outlineLevel="0" collapsed="false">
      <c r="A9" s="3" t="s">
        <v>47</v>
      </c>
      <c r="B9" s="13" t="n">
        <f aca="false">SUMIFS('Monthly Detail'!$AC$3:$AC$92,'Monthly Detail'!$A$3:$A$92,2019,'Monthly Detail'!$B$3:$B$92,"Import",'Monthly Detail'!$C$3:$C$92,"Dried deer velvet",'Monthly Detail'!$D$3:$D$92,$A9)</f>
        <v>34</v>
      </c>
      <c r="C9" s="9" t="n">
        <f aca="false">SUMIFS('Monthly Detail'!$AD$3:$AD$92,'Monthly Detail'!$A$3:$A$92,2019,'Monthly Detail'!$B$3:$B$92,"Import",'Monthly Detail'!$C$3:$C$92,"Dried deer velvet",'Monthly Detail'!$D$3:$D$92,$A9)</f>
        <v>44020.54</v>
      </c>
      <c r="D9" s="13" t="n">
        <f aca="false">SUMIFS('Monthly Detail'!$AC$3:$AC$92,'Monthly Detail'!$A$3:$A$92,2020,'Monthly Detail'!$B$3:$B$92,"Import",'Monthly Detail'!$C$3:$C$92,"Dried deer velvet",'Monthly Detail'!$D$3:$D$92,$A9)</f>
        <v>32</v>
      </c>
      <c r="E9" s="9" t="n">
        <f aca="false">SUMIFS('Monthly Detail'!$AD$3:$AD$92,'Monthly Detail'!$A$3:$A$92,2020,'Monthly Detail'!$B$3:$B$92,"Import",'Monthly Detail'!$C$3:$C$92,"Dried deer velvet",'Monthly Detail'!$D$3:$D$92,$A9)</f>
        <v>37625.946</v>
      </c>
      <c r="F9" s="13" t="n">
        <f aca="false">SUMIFS('Monthly Detail'!$AC$3:$AC$92,'Monthly Detail'!$A$3:$A$92,2021,'Monthly Detail'!$B$3:$B$92,"Import",'Monthly Detail'!$C$3:$C$92,"Dried deer velvet",'Monthly Detail'!$D$3:$D$92,$A9)</f>
        <v>26</v>
      </c>
      <c r="G9" s="9" t="n">
        <f aca="false">SUMIFS('Monthly Detail'!$AD$3:$AD$92,'Monthly Detail'!$A$3:$A$92,2021,'Monthly Detail'!$B$3:$B$92,"Import",'Monthly Detail'!$C$3:$C$92,"Dried deer velvet",'Monthly Detail'!$D$3:$D$92,$A9)</f>
        <v>24123.93</v>
      </c>
      <c r="H9" s="13" t="n">
        <f aca="false">SUMIFS('Monthly Detail'!$AC$3:$AC$92,'Monthly Detail'!$A$3:$A$92,2022,'Monthly Detail'!$B$3:$B$92,"Import",'Monthly Detail'!$C$3:$C$92,"Dried deer velvet",'Monthly Detail'!$D$3:$D$92,$A9)</f>
        <v>29</v>
      </c>
      <c r="I9" s="9" t="n">
        <f aca="false">SUMIFS('Monthly Detail'!$AD$3:$AD$92,'Monthly Detail'!$A$3:$A$92,2022,'Monthly Detail'!$B$3:$B$92,"Import",'Monthly Detail'!$C$3:$C$92,"Dried deer velvet",'Monthly Detail'!$D$3:$D$92,$A9)</f>
        <v>39451.19</v>
      </c>
      <c r="J9" s="13" t="n">
        <f aca="false">SUMIFS('Monthly Detail'!$AC$3:$AC$92,'Monthly Detail'!$A$3:$A$92,2023,'Monthly Detail'!$B$3:$B$92,"Import",'Monthly Detail'!$C$3:$C$92,"Dried deer velvet",'Monthly Detail'!$D$3:$D$92,$A9)</f>
        <v>29</v>
      </c>
      <c r="K9" s="9" t="n">
        <f aca="false">SUMIFS('Monthly Detail'!$AD$3:$AD$92,'Monthly Detail'!$A$3:$A$92,2023,'Monthly Detail'!$B$3:$B$92,"Import",'Monthly Detail'!$C$3:$C$92,"Dried deer velvet",'Monthly Detail'!$D$3:$D$92,$A9)</f>
        <v>47828.31</v>
      </c>
      <c r="L9" s="13" t="n">
        <f aca="false">SUMIFS('Monthly Detail'!$AC$3:$AC$92,'Monthly Detail'!$A$3:$A$92,2024,'Monthly Detail'!$B$3:$B$92,"Import",'Monthly Detail'!$C$3:$C$92,"Dried deer velvet",'Monthly Detail'!$D$3:$D$92,$A9)</f>
        <v>11</v>
      </c>
      <c r="M9" s="9" t="n">
        <f aca="false">SUMIFS('Monthly Detail'!$AD$3:$AD$92,'Monthly Detail'!$A$3:$A$92,2024,'Monthly Detail'!$B$3:$B$92,"Import",'Monthly Detail'!$C$3:$C$92,"Dried deer velvet",'Monthly Detail'!$D$3:$D$92,$A9)</f>
        <v>16787.61</v>
      </c>
      <c r="N9" s="13" t="n">
        <f aca="false">SUMIFS('Monthly Detail'!$AC$3:$AC$92,'Monthly Detail'!$A$3:$A$92,2025,'Monthly Detail'!$B$3:$B$92,"Import",'Monthly Detail'!$C$3:$C$92,"Dried deer velvet",'Monthly Detail'!$D$3:$D$92,$A9)</f>
        <v>8</v>
      </c>
      <c r="O9" s="9" t="n">
        <f aca="false">SUMIFS('Monthly Detail'!$AD$3:$AD$92,'Monthly Detail'!$A$3:$A$92,2025,'Monthly Detail'!$B$3:$B$92,"Import",'Monthly Detail'!$C$3:$C$92,"Dried deer velvet",'Monthly Detail'!$D$3:$D$92,$A9)</f>
        <v>8812.76</v>
      </c>
      <c r="P9" s="13" t="n">
        <f aca="false">SUMIFS('Monthly Detail'!$AC$3:$AC$92,'Monthly Detail'!$A$3:$A$92,2026,'Monthly Detail'!$B$3:$B$92,"Import",'Monthly Detail'!$C$3:$C$92,"Dried deer velvet",'Monthly Detail'!$D$3:$D$92,$A9)</f>
        <v>148</v>
      </c>
      <c r="Q9" s="9" t="n">
        <f aca="false">SUMIFS('Monthly Detail'!$AD$3:$AD$92,'Monthly Detail'!$A$3:$A$92,2026,'Monthly Detail'!$B$3:$B$92,"Import",'Monthly Detail'!$C$3:$C$92,"Dried deer velvet",'Monthly Detail'!$D$3:$D$92,$A9)</f>
        <v>3674</v>
      </c>
    </row>
    <row r="10" customFormat="false" ht="15" hidden="false" customHeight="false" outlineLevel="0" collapsed="false">
      <c r="A10" s="3" t="s">
        <v>49</v>
      </c>
      <c r="B10" s="13" t="n">
        <f aca="false">SUMIFS('Monthly Detail'!$AC$3:$AC$92,'Monthly Detail'!$A$3:$A$92,2019,'Monthly Detail'!$B$3:$B$92,"Import",'Monthly Detail'!$C$3:$C$92,"Dried deer velvet",'Monthly Detail'!$D$3:$D$92,$A10)</f>
        <v>48</v>
      </c>
      <c r="C10" s="9" t="n">
        <f aca="false">SUMIFS('Monthly Detail'!$AD$3:$AD$92,'Monthly Detail'!$A$3:$A$92,2019,'Monthly Detail'!$B$3:$B$92,"Import",'Monthly Detail'!$C$3:$C$92,"Dried deer velvet",'Monthly Detail'!$D$3:$D$92,$A10)</f>
        <v>46436</v>
      </c>
      <c r="D10" s="13" t="n">
        <f aca="false">SUMIFS('Monthly Detail'!$AC$3:$AC$92,'Monthly Detail'!$A$3:$A$92,2020,'Monthly Detail'!$B$3:$B$92,"Import",'Monthly Detail'!$C$3:$C$92,"Dried deer velvet",'Monthly Detail'!$D$3:$D$92,$A10)</f>
        <v>58</v>
      </c>
      <c r="E10" s="9" t="n">
        <f aca="false">SUMIFS('Monthly Detail'!$AD$3:$AD$92,'Monthly Detail'!$A$3:$A$92,2020,'Monthly Detail'!$B$3:$B$92,"Import",'Monthly Detail'!$C$3:$C$92,"Dried deer velvet",'Monthly Detail'!$D$3:$D$92,$A10)</f>
        <v>54041.45</v>
      </c>
      <c r="F10" s="13" t="n">
        <f aca="false">SUMIFS('Monthly Detail'!$AC$3:$AC$92,'Monthly Detail'!$A$3:$A$92,2021,'Monthly Detail'!$B$3:$B$92,"Import",'Monthly Detail'!$C$3:$C$92,"Dried deer velvet",'Monthly Detail'!$D$3:$D$92,$A10)</f>
        <v>44</v>
      </c>
      <c r="G10" s="9" t="n">
        <f aca="false">SUMIFS('Monthly Detail'!$AD$3:$AD$92,'Monthly Detail'!$A$3:$A$92,2021,'Monthly Detail'!$B$3:$B$92,"Import",'Monthly Detail'!$C$3:$C$92,"Dried deer velvet",'Monthly Detail'!$D$3:$D$92,$A10)</f>
        <v>55980.19</v>
      </c>
      <c r="H10" s="13" t="n">
        <f aca="false">SUMIFS('Monthly Detail'!$AC$3:$AC$92,'Monthly Detail'!$A$3:$A$92,2022,'Monthly Detail'!$B$3:$B$92,"Import",'Monthly Detail'!$C$3:$C$92,"Dried deer velvet",'Monthly Detail'!$D$3:$D$92,$A10)</f>
        <v>32</v>
      </c>
      <c r="I10" s="9" t="n">
        <f aca="false">SUMIFS('Monthly Detail'!$AD$3:$AD$92,'Monthly Detail'!$A$3:$A$92,2022,'Monthly Detail'!$B$3:$B$92,"Import",'Monthly Detail'!$C$3:$C$92,"Dried deer velvet",'Monthly Detail'!$D$3:$D$92,$A10)</f>
        <v>43889.1</v>
      </c>
      <c r="J10" s="13" t="n">
        <f aca="false">SUMIFS('Monthly Detail'!$AC$3:$AC$92,'Monthly Detail'!$A$3:$A$92,2023,'Monthly Detail'!$B$3:$B$92,"Import",'Monthly Detail'!$C$3:$C$92,"Dried deer velvet",'Monthly Detail'!$D$3:$D$92,$A10)</f>
        <v>29</v>
      </c>
      <c r="K10" s="9" t="n">
        <f aca="false">SUMIFS('Monthly Detail'!$AD$3:$AD$92,'Monthly Detail'!$A$3:$A$92,2023,'Monthly Detail'!$B$3:$B$92,"Import",'Monthly Detail'!$C$3:$C$92,"Dried deer velvet",'Monthly Detail'!$D$3:$D$92,$A10)</f>
        <v>29108.59</v>
      </c>
      <c r="L10" s="13" t="n">
        <f aca="false">SUMIFS('Monthly Detail'!$AC$3:$AC$92,'Monthly Detail'!$A$3:$A$92,2024,'Monthly Detail'!$B$3:$B$92,"Import",'Monthly Detail'!$C$3:$C$92,"Dried deer velvet",'Monthly Detail'!$D$3:$D$92,$A10)</f>
        <v>41</v>
      </c>
      <c r="M10" s="9" t="n">
        <f aca="false">SUMIFS('Monthly Detail'!$AD$3:$AD$92,'Monthly Detail'!$A$3:$A$92,2024,'Monthly Detail'!$B$3:$B$92,"Import",'Monthly Detail'!$C$3:$C$92,"Dried deer velvet",'Monthly Detail'!$D$3:$D$92,$A10)</f>
        <v>39859.82</v>
      </c>
      <c r="N10" s="13" t="n">
        <f aca="false">SUMIFS('Monthly Detail'!$AC$3:$AC$92,'Monthly Detail'!$A$3:$A$92,2025,'Monthly Detail'!$B$3:$B$92,"Import",'Monthly Detail'!$C$3:$C$92,"Dried deer velvet",'Monthly Detail'!$D$3:$D$92,$A10)</f>
        <v>37</v>
      </c>
      <c r="O10" s="9" t="n">
        <f aca="false">SUMIFS('Monthly Detail'!$AD$3:$AD$92,'Monthly Detail'!$A$3:$A$92,2025,'Monthly Detail'!$B$3:$B$92,"Import",'Monthly Detail'!$C$3:$C$92,"Dried deer velvet",'Monthly Detail'!$D$3:$D$92,$A10)</f>
        <v>36440.51</v>
      </c>
      <c r="P10" s="13" t="n">
        <f aca="false">SUMIFS('Monthly Detail'!$AC$3:$AC$92,'Monthly Detail'!$A$3:$A$92,2026,'Monthly Detail'!$B$3:$B$92,"Import",'Monthly Detail'!$C$3:$C$92,"Dried deer velvet",'Monthly Detail'!$D$3:$D$92,$A10)</f>
        <v>21</v>
      </c>
      <c r="Q10" s="9" t="n">
        <f aca="false">SUMIFS('Monthly Detail'!$AD$3:$AD$92,'Monthly Detail'!$A$3:$A$92,2026,'Monthly Detail'!$B$3:$B$92,"Import",'Monthly Detail'!$C$3:$C$92,"Dried deer velvet",'Monthly Detail'!$D$3:$D$92,$A10)</f>
        <v>21258.7</v>
      </c>
    </row>
    <row r="11" customFormat="false" ht="15" hidden="false" customHeight="false" outlineLevel="0" collapsed="false">
      <c r="A11" s="3" t="s">
        <v>57</v>
      </c>
      <c r="B11" s="13" t="n">
        <f aca="false">SUMIFS('Monthly Detail'!$AC$3:$AC$92,'Monthly Detail'!$A$3:$A$92,2019,'Monthly Detail'!$B$3:$B$92,"Import",'Monthly Detail'!$C$3:$C$92,"Dried deer velvet",'Monthly Detail'!$D$3:$D$92,$A11)</f>
        <v>1</v>
      </c>
      <c r="C11" s="9" t="n">
        <f aca="false">SUMIFS('Monthly Detail'!$AD$3:$AD$92,'Monthly Detail'!$A$3:$A$92,2019,'Monthly Detail'!$B$3:$B$92,"Import",'Monthly Detail'!$C$3:$C$92,"Dried deer velvet",'Monthly Detail'!$D$3:$D$92,$A11)</f>
        <v>500</v>
      </c>
      <c r="D11" s="13" t="n">
        <f aca="false">SUMIFS('Monthly Detail'!$AC$3:$AC$92,'Monthly Detail'!$A$3:$A$92,2020,'Monthly Detail'!$B$3:$B$92,"Import",'Monthly Detail'!$C$3:$C$92,"Dried deer velvet",'Monthly Detail'!$D$3:$D$92,$A11)</f>
        <v>0</v>
      </c>
      <c r="E11" s="9" t="n">
        <f aca="false">SUMIFS('Monthly Detail'!$AD$3:$AD$92,'Monthly Detail'!$A$3:$A$92,2020,'Monthly Detail'!$B$3:$B$92,"Import",'Monthly Detail'!$C$3:$C$92,"Dried deer velvet",'Monthly Detail'!$D$3:$D$92,$A11)</f>
        <v>0</v>
      </c>
      <c r="F11" s="13" t="n">
        <f aca="false">SUMIFS('Monthly Detail'!$AC$3:$AC$92,'Monthly Detail'!$A$3:$A$92,2021,'Monthly Detail'!$B$3:$B$92,"Import",'Monthly Detail'!$C$3:$C$92,"Dried deer velvet",'Monthly Detail'!$D$3:$D$92,$A11)</f>
        <v>0</v>
      </c>
      <c r="G11" s="9" t="n">
        <f aca="false">SUMIFS('Monthly Detail'!$AD$3:$AD$92,'Monthly Detail'!$A$3:$A$92,2021,'Monthly Detail'!$B$3:$B$92,"Import",'Monthly Detail'!$C$3:$C$92,"Dried deer velvet",'Monthly Detail'!$D$3:$D$92,$A11)</f>
        <v>0</v>
      </c>
      <c r="H11" s="13" t="n">
        <f aca="false">SUMIFS('Monthly Detail'!$AC$3:$AC$92,'Monthly Detail'!$A$3:$A$92,2022,'Monthly Detail'!$B$3:$B$92,"Import",'Monthly Detail'!$C$3:$C$92,"Dried deer velvet",'Monthly Detail'!$D$3:$D$92,$A11)</f>
        <v>0</v>
      </c>
      <c r="I11" s="9" t="n">
        <f aca="false">SUMIFS('Monthly Detail'!$AD$3:$AD$92,'Monthly Detail'!$A$3:$A$92,2022,'Monthly Detail'!$B$3:$B$92,"Import",'Monthly Detail'!$C$3:$C$92,"Dried deer velvet",'Monthly Detail'!$D$3:$D$92,$A11)</f>
        <v>0</v>
      </c>
      <c r="J11" s="13" t="n">
        <f aca="false">SUMIFS('Monthly Detail'!$AC$3:$AC$92,'Monthly Detail'!$A$3:$A$92,2023,'Monthly Detail'!$B$3:$B$92,"Import",'Monthly Detail'!$C$3:$C$92,"Dried deer velvet",'Monthly Detail'!$D$3:$D$92,$A11)</f>
        <v>0</v>
      </c>
      <c r="K11" s="9" t="n">
        <f aca="false">SUMIFS('Monthly Detail'!$AD$3:$AD$92,'Monthly Detail'!$A$3:$A$92,2023,'Monthly Detail'!$B$3:$B$92,"Import",'Monthly Detail'!$C$3:$C$92,"Dried deer velvet",'Monthly Detail'!$D$3:$D$92,$A11)</f>
        <v>0</v>
      </c>
      <c r="L11" s="13" t="n">
        <f aca="false">SUMIFS('Monthly Detail'!$AC$3:$AC$92,'Monthly Detail'!$A$3:$A$92,2024,'Monthly Detail'!$B$3:$B$92,"Import",'Monthly Detail'!$C$3:$C$92,"Dried deer velvet",'Monthly Detail'!$D$3:$D$92,$A11)</f>
        <v>0</v>
      </c>
      <c r="M11" s="9" t="n">
        <f aca="false">SUMIFS('Monthly Detail'!$AD$3:$AD$92,'Monthly Detail'!$A$3:$A$92,2024,'Monthly Detail'!$B$3:$B$92,"Import",'Monthly Detail'!$C$3:$C$92,"Dried deer velvet",'Monthly Detail'!$D$3:$D$92,$A11)</f>
        <v>0</v>
      </c>
      <c r="N11" s="13" t="n">
        <f aca="false">SUMIFS('Monthly Detail'!$AC$3:$AC$92,'Monthly Detail'!$A$3:$A$92,2025,'Monthly Detail'!$B$3:$B$92,"Import",'Monthly Detail'!$C$3:$C$92,"Dried deer velvet",'Monthly Detail'!$D$3:$D$92,$A11)</f>
        <v>0</v>
      </c>
      <c r="O11" s="9" t="n">
        <f aca="false">SUMIFS('Monthly Detail'!$AD$3:$AD$92,'Monthly Detail'!$A$3:$A$92,2025,'Monthly Detail'!$B$3:$B$92,"Import",'Monthly Detail'!$C$3:$C$92,"Dried deer velvet",'Monthly Detail'!$D$3:$D$92,$A11)</f>
        <v>0</v>
      </c>
      <c r="P11" s="13" t="n">
        <f aca="false">SUMIFS('Monthly Detail'!$AC$3:$AC$92,'Monthly Detail'!$A$3:$A$92,2026,'Monthly Detail'!$B$3:$B$92,"Import",'Monthly Detail'!$C$3:$C$92,"Dried deer velvet",'Monthly Detail'!$D$3:$D$92,$A11)</f>
        <v>0</v>
      </c>
      <c r="Q11" s="9" t="n">
        <f aca="false">SUMIFS('Monthly Detail'!$AD$3:$AD$92,'Monthly Detail'!$A$3:$A$92,2026,'Monthly Detail'!$B$3:$B$92,"Import",'Monthly Detail'!$C$3:$C$92,"Dried deer velvet",'Monthly Detail'!$D$3:$D$92,$A11)</f>
        <v>0</v>
      </c>
    </row>
    <row r="12" customFormat="false" ht="15" hidden="false" customHeight="false" outlineLevel="0" collapsed="false">
      <c r="A12" s="3" t="s">
        <v>56</v>
      </c>
      <c r="B12" s="13" t="n">
        <f aca="false">SUMIFS('Monthly Detail'!$AC$3:$AC$92,'Monthly Detail'!$A$3:$A$92,2019,'Monthly Detail'!$B$3:$B$92,"Import",'Monthly Detail'!$C$3:$C$92,"Dried deer velvet",'Monthly Detail'!$D$3:$D$92,$A12)</f>
        <v>0</v>
      </c>
      <c r="C12" s="9" t="n">
        <f aca="false">SUMIFS('Monthly Detail'!$AD$3:$AD$92,'Monthly Detail'!$A$3:$A$92,2019,'Monthly Detail'!$B$3:$B$92,"Import",'Monthly Detail'!$C$3:$C$92,"Dried deer velvet",'Monthly Detail'!$D$3:$D$92,$A12)</f>
        <v>0</v>
      </c>
      <c r="D12" s="13" t="n">
        <f aca="false">SUMIFS('Monthly Detail'!$AC$3:$AC$92,'Monthly Detail'!$A$3:$A$92,2020,'Monthly Detail'!$B$3:$B$92,"Import",'Monthly Detail'!$C$3:$C$92,"Dried deer velvet",'Monthly Detail'!$D$3:$D$92,$A12)</f>
        <v>0</v>
      </c>
      <c r="E12" s="9" t="n">
        <f aca="false">SUMIFS('Monthly Detail'!$AD$3:$AD$92,'Monthly Detail'!$A$3:$A$92,2020,'Monthly Detail'!$B$3:$B$92,"Import",'Monthly Detail'!$C$3:$C$92,"Dried deer velvet",'Monthly Detail'!$D$3:$D$92,$A12)</f>
        <v>0</v>
      </c>
      <c r="F12" s="13" t="n">
        <f aca="false">SUMIFS('Monthly Detail'!$AC$3:$AC$92,'Monthly Detail'!$A$3:$A$92,2021,'Monthly Detail'!$B$3:$B$92,"Import",'Monthly Detail'!$C$3:$C$92,"Dried deer velvet",'Monthly Detail'!$D$3:$D$92,$A12)</f>
        <v>0</v>
      </c>
      <c r="G12" s="9" t="n">
        <f aca="false">SUMIFS('Monthly Detail'!$AD$3:$AD$92,'Monthly Detail'!$A$3:$A$92,2021,'Monthly Detail'!$B$3:$B$92,"Import",'Monthly Detail'!$C$3:$C$92,"Dried deer velvet",'Monthly Detail'!$D$3:$D$92,$A12)</f>
        <v>0</v>
      </c>
      <c r="H12" s="13" t="n">
        <f aca="false">SUMIFS('Monthly Detail'!$AC$3:$AC$92,'Monthly Detail'!$A$3:$A$92,2022,'Monthly Detail'!$B$3:$B$92,"Import",'Monthly Detail'!$C$3:$C$92,"Dried deer velvet",'Monthly Detail'!$D$3:$D$92,$A12)</f>
        <v>0</v>
      </c>
      <c r="I12" s="9" t="n">
        <f aca="false">SUMIFS('Monthly Detail'!$AD$3:$AD$92,'Monthly Detail'!$A$3:$A$92,2022,'Monthly Detail'!$B$3:$B$92,"Import",'Monthly Detail'!$C$3:$C$92,"Dried deer velvet",'Monthly Detail'!$D$3:$D$92,$A12)</f>
        <v>0</v>
      </c>
      <c r="J12" s="13" t="n">
        <f aca="false">SUMIFS('Monthly Detail'!$AC$3:$AC$92,'Monthly Detail'!$A$3:$A$92,2023,'Monthly Detail'!$B$3:$B$92,"Import",'Monthly Detail'!$C$3:$C$92,"Dried deer velvet",'Monthly Detail'!$D$3:$D$92,$A12)</f>
        <v>0</v>
      </c>
      <c r="K12" s="9" t="n">
        <f aca="false">SUMIFS('Monthly Detail'!$AD$3:$AD$92,'Monthly Detail'!$A$3:$A$92,2023,'Monthly Detail'!$B$3:$B$92,"Import",'Monthly Detail'!$C$3:$C$92,"Dried deer velvet",'Monthly Detail'!$D$3:$D$92,$A12)</f>
        <v>0</v>
      </c>
      <c r="L12" s="13" t="n">
        <f aca="false">SUMIFS('Monthly Detail'!$AC$3:$AC$92,'Monthly Detail'!$A$3:$A$92,2024,'Monthly Detail'!$B$3:$B$92,"Import",'Monthly Detail'!$C$3:$C$92,"Dried deer velvet",'Monthly Detail'!$D$3:$D$92,$A12)</f>
        <v>0</v>
      </c>
      <c r="M12" s="9" t="n">
        <f aca="false">SUMIFS('Monthly Detail'!$AD$3:$AD$92,'Monthly Detail'!$A$3:$A$92,2024,'Monthly Detail'!$B$3:$B$92,"Import",'Monthly Detail'!$C$3:$C$92,"Dried deer velvet",'Monthly Detail'!$D$3:$D$92,$A12)</f>
        <v>0</v>
      </c>
      <c r="N12" s="13" t="n">
        <f aca="false">SUMIFS('Monthly Detail'!$AC$3:$AC$92,'Monthly Detail'!$A$3:$A$92,2025,'Monthly Detail'!$B$3:$B$92,"Import",'Monthly Detail'!$C$3:$C$92,"Dried deer velvet",'Monthly Detail'!$D$3:$D$92,$A12)</f>
        <v>0</v>
      </c>
      <c r="O12" s="9" t="n">
        <f aca="false">SUMIFS('Monthly Detail'!$AD$3:$AD$92,'Monthly Detail'!$A$3:$A$92,2025,'Monthly Detail'!$B$3:$B$92,"Import",'Monthly Detail'!$C$3:$C$92,"Dried deer velvet",'Monthly Detail'!$D$3:$D$92,$A12)</f>
        <v>0</v>
      </c>
      <c r="P12" s="13" t="n">
        <f aca="false">SUMIFS('Monthly Detail'!$AC$3:$AC$92,'Monthly Detail'!$A$3:$A$92,2026,'Monthly Detail'!$B$3:$B$92,"Import",'Monthly Detail'!$C$3:$C$92,"Dried deer velvet",'Monthly Detail'!$D$3:$D$92,$A12)</f>
        <v>5</v>
      </c>
      <c r="Q12" s="9" t="n">
        <f aca="false">SUMIFS('Monthly Detail'!$AD$3:$AD$92,'Monthly Detail'!$A$3:$A$92,2026,'Monthly Detail'!$B$3:$B$92,"Import",'Monthly Detail'!$C$3:$C$92,"Dried deer velvet",'Monthly Detail'!$D$3:$D$92,$A12)</f>
        <v>1.8</v>
      </c>
    </row>
    <row r="13" customFormat="false" ht="15" hidden="false" customHeight="false" outlineLevel="0" collapsed="false">
      <c r="A13" s="18" t="s">
        <v>98</v>
      </c>
      <c r="B13" s="19" t="n">
        <f aca="false">SUM(B3:B12)</f>
        <v>182</v>
      </c>
      <c r="C13" s="20" t="n">
        <f aca="false">SUM(C3:C12)</f>
        <v>175157.05</v>
      </c>
      <c r="D13" s="19" t="n">
        <f aca="false">SUM(D3:D12)</f>
        <v>203</v>
      </c>
      <c r="E13" s="20" t="n">
        <f aca="false">SUM(E3:E12)</f>
        <v>185376.856</v>
      </c>
      <c r="F13" s="19" t="n">
        <f aca="false">SUM(F3:F12)</f>
        <v>165</v>
      </c>
      <c r="G13" s="20" t="n">
        <f aca="false">SUM(G3:G12)</f>
        <v>176389.62</v>
      </c>
      <c r="H13" s="19" t="n">
        <f aca="false">SUM(H3:H12)</f>
        <v>152</v>
      </c>
      <c r="I13" s="20" t="n">
        <f aca="false">SUM(I3:I12)</f>
        <v>198823.523</v>
      </c>
      <c r="J13" s="19" t="n">
        <f aca="false">SUM(J3:J12)</f>
        <v>130</v>
      </c>
      <c r="K13" s="20" t="n">
        <f aca="false">SUM(K3:K12)</f>
        <v>164870.5</v>
      </c>
      <c r="L13" s="19" t="n">
        <f aca="false">SUM(L3:L12)</f>
        <v>121</v>
      </c>
      <c r="M13" s="20" t="n">
        <f aca="false">SUM(M3:M12)</f>
        <v>150796.255</v>
      </c>
      <c r="N13" s="19" t="n">
        <f aca="false">SUM(N3:N12)</f>
        <v>110</v>
      </c>
      <c r="O13" s="20" t="n">
        <f aca="false">SUM(O3:O12)</f>
        <v>140402.87</v>
      </c>
      <c r="P13" s="19" t="n">
        <f aca="false">SUM(P3:P12)</f>
        <v>226</v>
      </c>
      <c r="Q13" s="20" t="n">
        <f aca="false">SUM(Q3:Q12)</f>
        <v>63264.1</v>
      </c>
    </row>
    <row r="16" customFormat="false" ht="15" hidden="false" customHeight="false" outlineLevel="0" collapsed="false">
      <c r="A16" s="17" t="s">
        <v>99</v>
      </c>
    </row>
    <row r="17" customFormat="false" ht="15" hidden="false" customHeight="false" outlineLevel="0" collapsed="false">
      <c r="A17" s="6" t="s">
        <v>37</v>
      </c>
      <c r="B17" s="6" t="s">
        <v>82</v>
      </c>
      <c r="C17" s="6" t="s">
        <v>83</v>
      </c>
      <c r="D17" s="6" t="s">
        <v>84</v>
      </c>
      <c r="E17" s="6" t="s">
        <v>85</v>
      </c>
      <c r="F17" s="6" t="s">
        <v>86</v>
      </c>
      <c r="G17" s="6" t="s">
        <v>87</v>
      </c>
      <c r="H17" s="6" t="s">
        <v>88</v>
      </c>
      <c r="I17" s="6" t="s">
        <v>89</v>
      </c>
      <c r="J17" s="6" t="s">
        <v>90</v>
      </c>
      <c r="K17" s="6" t="s">
        <v>91</v>
      </c>
      <c r="L17" s="6" t="s">
        <v>92</v>
      </c>
      <c r="M17" s="6" t="s">
        <v>93</v>
      </c>
      <c r="N17" s="6" t="s">
        <v>94</v>
      </c>
      <c r="O17" s="6" t="s">
        <v>95</v>
      </c>
      <c r="P17" s="6" t="s">
        <v>96</v>
      </c>
      <c r="Q17" s="6" t="s">
        <v>97</v>
      </c>
    </row>
    <row r="18" customFormat="false" ht="15" hidden="false" customHeight="false" outlineLevel="0" collapsed="false">
      <c r="A18" s="3" t="s">
        <v>43</v>
      </c>
      <c r="B18" s="13" t="n">
        <f aca="false">SUMIFS('Monthly Detail'!$AC$3:$AC$92,'Monthly Detail'!$A$3:$A$92,2019,'Monthly Detail'!$B$3:$B$92,"Import",'Monthly Detail'!$C$3:$C$92,"Frozen deer velvet",'Monthly Detail'!$D$3:$D$92,$A18)</f>
        <v>0</v>
      </c>
      <c r="C18" s="9" t="n">
        <f aca="false">SUMIFS('Monthly Detail'!$AD$3:$AD$92,'Monthly Detail'!$A$3:$A$92,2019,'Monthly Detail'!$B$3:$B$92,"Import",'Monthly Detail'!$C$3:$C$92,"Frozen deer velvet",'Monthly Detail'!$D$3:$D$92,$A18)</f>
        <v>0</v>
      </c>
      <c r="D18" s="13" t="n">
        <f aca="false">SUMIFS('Monthly Detail'!$AC$3:$AC$92,'Monthly Detail'!$A$3:$A$92,2020,'Monthly Detail'!$B$3:$B$92,"Import",'Monthly Detail'!$C$3:$C$92,"Frozen deer velvet",'Monthly Detail'!$D$3:$D$92,$A18)</f>
        <v>0</v>
      </c>
      <c r="E18" s="9" t="n">
        <f aca="false">SUMIFS('Monthly Detail'!$AD$3:$AD$92,'Monthly Detail'!$A$3:$A$92,2020,'Monthly Detail'!$B$3:$B$92,"Import",'Monthly Detail'!$C$3:$C$92,"Frozen deer velvet",'Monthly Detail'!$D$3:$D$92,$A18)</f>
        <v>0</v>
      </c>
      <c r="F18" s="13" t="n">
        <f aca="false">SUMIFS('Monthly Detail'!$AC$3:$AC$92,'Monthly Detail'!$A$3:$A$92,2021,'Monthly Detail'!$B$3:$B$92,"Import",'Monthly Detail'!$C$3:$C$92,"Frozen deer velvet",'Monthly Detail'!$D$3:$D$92,$A18)</f>
        <v>0</v>
      </c>
      <c r="G18" s="9" t="n">
        <f aca="false">SUMIFS('Monthly Detail'!$AD$3:$AD$92,'Monthly Detail'!$A$3:$A$92,2021,'Monthly Detail'!$B$3:$B$92,"Import",'Monthly Detail'!$C$3:$C$92,"Frozen deer velvet",'Monthly Detail'!$D$3:$D$92,$A18)</f>
        <v>0</v>
      </c>
      <c r="H18" s="13" t="n">
        <f aca="false">SUMIFS('Monthly Detail'!$AC$3:$AC$92,'Monthly Detail'!$A$3:$A$92,2022,'Monthly Detail'!$B$3:$B$92,"Import",'Monthly Detail'!$C$3:$C$92,"Frozen deer velvet",'Monthly Detail'!$D$3:$D$92,$A18)</f>
        <v>0</v>
      </c>
      <c r="I18" s="9" t="n">
        <f aca="false">SUMIFS('Monthly Detail'!$AD$3:$AD$92,'Monthly Detail'!$A$3:$A$92,2022,'Monthly Detail'!$B$3:$B$92,"Import",'Monthly Detail'!$C$3:$C$92,"Frozen deer velvet",'Monthly Detail'!$D$3:$D$92,$A18)</f>
        <v>0</v>
      </c>
      <c r="J18" s="13" t="n">
        <f aca="false">SUMIFS('Monthly Detail'!$AC$3:$AC$92,'Monthly Detail'!$A$3:$A$92,2023,'Monthly Detail'!$B$3:$B$92,"Import",'Monthly Detail'!$C$3:$C$92,"Frozen deer velvet",'Monthly Detail'!$D$3:$D$92,$A18)</f>
        <v>0</v>
      </c>
      <c r="K18" s="9" t="n">
        <f aca="false">SUMIFS('Monthly Detail'!$AD$3:$AD$92,'Monthly Detail'!$A$3:$A$92,2023,'Monthly Detail'!$B$3:$B$92,"Import",'Monthly Detail'!$C$3:$C$92,"Frozen deer velvet",'Monthly Detail'!$D$3:$D$92,$A18)</f>
        <v>0</v>
      </c>
      <c r="L18" s="13" t="n">
        <f aca="false">SUMIFS('Monthly Detail'!$AC$3:$AC$92,'Monthly Detail'!$A$3:$A$92,2024,'Monthly Detail'!$B$3:$B$92,"Import",'Monthly Detail'!$C$3:$C$92,"Frozen deer velvet",'Monthly Detail'!$D$3:$D$92,$A18)</f>
        <v>1</v>
      </c>
      <c r="M18" s="9" t="n">
        <f aca="false">SUMIFS('Monthly Detail'!$AD$3:$AD$92,'Monthly Detail'!$A$3:$A$92,2024,'Monthly Detail'!$B$3:$B$92,"Import",'Monthly Detail'!$C$3:$C$92,"Frozen deer velvet",'Monthly Detail'!$D$3:$D$92,$A18)</f>
        <v>400</v>
      </c>
      <c r="N18" s="13" t="n">
        <f aca="false">SUMIFS('Monthly Detail'!$AC$3:$AC$92,'Monthly Detail'!$A$3:$A$92,2025,'Monthly Detail'!$B$3:$B$92,"Import",'Monthly Detail'!$C$3:$C$92,"Frozen deer velvet",'Monthly Detail'!$D$3:$D$92,$A18)</f>
        <v>2</v>
      </c>
      <c r="O18" s="9" t="n">
        <f aca="false">SUMIFS('Monthly Detail'!$AD$3:$AD$92,'Monthly Detail'!$A$3:$A$92,2025,'Monthly Detail'!$B$3:$B$92,"Import",'Monthly Detail'!$C$3:$C$92,"Frozen deer velvet",'Monthly Detail'!$D$3:$D$92,$A18)</f>
        <v>1350</v>
      </c>
      <c r="P18" s="13" t="n">
        <f aca="false">SUMIFS('Monthly Detail'!$AC$3:$AC$92,'Monthly Detail'!$A$3:$A$92,2026,'Monthly Detail'!$B$3:$B$92,"Import",'Monthly Detail'!$C$3:$C$92,"Frozen deer velvet",'Monthly Detail'!$D$3:$D$92,$A18)</f>
        <v>0</v>
      </c>
      <c r="Q18" s="9" t="n">
        <f aca="false">SUMIFS('Monthly Detail'!$AD$3:$AD$92,'Monthly Detail'!$A$3:$A$92,2026,'Monthly Detail'!$B$3:$B$92,"Import",'Monthly Detail'!$C$3:$C$92,"Frozen deer velvet",'Monthly Detail'!$D$3:$D$92,$A18)</f>
        <v>0</v>
      </c>
    </row>
    <row r="19" customFormat="false" ht="15" hidden="false" customHeight="false" outlineLevel="0" collapsed="false">
      <c r="A19" s="3" t="s">
        <v>47</v>
      </c>
      <c r="B19" s="13" t="n">
        <f aca="false">SUMIFS('Monthly Detail'!$AC$3:$AC$92,'Monthly Detail'!$A$3:$A$92,2019,'Monthly Detail'!$B$3:$B$92,"Import",'Monthly Detail'!$C$3:$C$92,"Frozen deer velvet",'Monthly Detail'!$D$3:$D$92,$A19)</f>
        <v>28</v>
      </c>
      <c r="C19" s="9" t="n">
        <f aca="false">SUMIFS('Monthly Detail'!$AD$3:$AD$92,'Monthly Detail'!$A$3:$A$92,2019,'Monthly Detail'!$B$3:$B$92,"Import",'Monthly Detail'!$C$3:$C$92,"Frozen deer velvet",'Monthly Detail'!$D$3:$D$92,$A19)</f>
        <v>99112.97</v>
      </c>
      <c r="D19" s="13" t="n">
        <f aca="false">SUMIFS('Monthly Detail'!$AC$3:$AC$92,'Monthly Detail'!$A$3:$A$92,2020,'Monthly Detail'!$B$3:$B$92,"Import",'Monthly Detail'!$C$3:$C$92,"Frozen deer velvet",'Monthly Detail'!$D$3:$D$92,$A19)</f>
        <v>22</v>
      </c>
      <c r="E19" s="9" t="n">
        <f aca="false">SUMIFS('Monthly Detail'!$AD$3:$AD$92,'Monthly Detail'!$A$3:$A$92,2020,'Monthly Detail'!$B$3:$B$92,"Import",'Monthly Detail'!$C$3:$C$92,"Frozen deer velvet",'Monthly Detail'!$D$3:$D$92,$A19)</f>
        <v>77477.37</v>
      </c>
      <c r="F19" s="13" t="n">
        <f aca="false">SUMIFS('Monthly Detail'!$AC$3:$AC$92,'Monthly Detail'!$A$3:$A$92,2021,'Monthly Detail'!$B$3:$B$92,"Import",'Monthly Detail'!$C$3:$C$92,"Frozen deer velvet",'Monthly Detail'!$D$3:$D$92,$A19)</f>
        <v>25</v>
      </c>
      <c r="G19" s="9" t="n">
        <f aca="false">SUMIFS('Monthly Detail'!$AD$3:$AD$92,'Monthly Detail'!$A$3:$A$92,2021,'Monthly Detail'!$B$3:$B$92,"Import",'Monthly Detail'!$C$3:$C$92,"Frozen deer velvet",'Monthly Detail'!$D$3:$D$92,$A19)</f>
        <v>91874.14</v>
      </c>
      <c r="H19" s="13" t="n">
        <f aca="false">SUMIFS('Monthly Detail'!$AC$3:$AC$92,'Monthly Detail'!$A$3:$A$92,2022,'Monthly Detail'!$B$3:$B$92,"Import",'Monthly Detail'!$C$3:$C$92,"Frozen deer velvet",'Monthly Detail'!$D$3:$D$92,$A19)</f>
        <v>39</v>
      </c>
      <c r="I19" s="9" t="n">
        <f aca="false">SUMIFS('Monthly Detail'!$AD$3:$AD$92,'Monthly Detail'!$A$3:$A$92,2022,'Monthly Detail'!$B$3:$B$92,"Import",'Monthly Detail'!$C$3:$C$92,"Frozen deer velvet",'Monthly Detail'!$D$3:$D$92,$A19)</f>
        <v>116583.79</v>
      </c>
      <c r="J19" s="13" t="n">
        <f aca="false">SUMIFS('Monthly Detail'!$AC$3:$AC$92,'Monthly Detail'!$A$3:$A$92,2023,'Monthly Detail'!$B$3:$B$92,"Import",'Monthly Detail'!$C$3:$C$92,"Frozen deer velvet",'Monthly Detail'!$D$3:$D$92,$A19)</f>
        <v>38</v>
      </c>
      <c r="K19" s="9" t="n">
        <f aca="false">SUMIFS('Monthly Detail'!$AD$3:$AD$92,'Monthly Detail'!$A$3:$A$92,2023,'Monthly Detail'!$B$3:$B$92,"Import",'Monthly Detail'!$C$3:$C$92,"Frozen deer velvet",'Monthly Detail'!$D$3:$D$92,$A19)</f>
        <v>116292.17</v>
      </c>
      <c r="L19" s="13" t="n">
        <f aca="false">SUMIFS('Monthly Detail'!$AC$3:$AC$92,'Monthly Detail'!$A$3:$A$92,2024,'Monthly Detail'!$B$3:$B$92,"Import",'Monthly Detail'!$C$3:$C$92,"Frozen deer velvet",'Monthly Detail'!$D$3:$D$92,$A19)</f>
        <v>31</v>
      </c>
      <c r="M19" s="9" t="n">
        <f aca="false">SUMIFS('Monthly Detail'!$AD$3:$AD$92,'Monthly Detail'!$A$3:$A$92,2024,'Monthly Detail'!$B$3:$B$92,"Import",'Monthly Detail'!$C$3:$C$92,"Frozen deer velvet",'Monthly Detail'!$D$3:$D$92,$A19)</f>
        <v>76938.35</v>
      </c>
      <c r="N19" s="13" t="n">
        <f aca="false">SUMIFS('Monthly Detail'!$AC$3:$AC$92,'Monthly Detail'!$A$3:$A$92,2025,'Monthly Detail'!$B$3:$B$92,"Import",'Monthly Detail'!$C$3:$C$92,"Frozen deer velvet",'Monthly Detail'!$D$3:$D$92,$A19)</f>
        <v>32</v>
      </c>
      <c r="O19" s="9" t="n">
        <f aca="false">SUMIFS('Monthly Detail'!$AD$3:$AD$92,'Monthly Detail'!$A$3:$A$92,2025,'Monthly Detail'!$B$3:$B$92,"Import",'Monthly Detail'!$C$3:$C$92,"Frozen deer velvet",'Monthly Detail'!$D$3:$D$92,$A19)</f>
        <v>94225.13</v>
      </c>
      <c r="P19" s="13" t="n">
        <f aca="false">SUMIFS('Monthly Detail'!$AC$3:$AC$92,'Monthly Detail'!$A$3:$A$92,2026,'Monthly Detail'!$B$3:$B$92,"Import",'Monthly Detail'!$C$3:$C$92,"Frozen deer velvet",'Monthly Detail'!$D$3:$D$92,$A19)</f>
        <v>16</v>
      </c>
      <c r="Q19" s="9" t="n">
        <f aca="false">SUMIFS('Monthly Detail'!$AD$3:$AD$92,'Monthly Detail'!$A$3:$A$92,2026,'Monthly Detail'!$B$3:$B$92,"Import",'Monthly Detail'!$C$3:$C$92,"Frozen deer velvet",'Monthly Detail'!$D$3:$D$92,$A19)</f>
        <v>48628.9</v>
      </c>
    </row>
    <row r="20" customFormat="false" ht="15" hidden="false" customHeight="false" outlineLevel="0" collapsed="false">
      <c r="A20" s="18" t="s">
        <v>98</v>
      </c>
      <c r="B20" s="19" t="n">
        <f aca="false">SUM(B18:B19)</f>
        <v>28</v>
      </c>
      <c r="C20" s="20" t="n">
        <f aca="false">SUM(C18:C19)</f>
        <v>99112.97</v>
      </c>
      <c r="D20" s="19" t="n">
        <f aca="false">SUM(D18:D19)</f>
        <v>22</v>
      </c>
      <c r="E20" s="20" t="n">
        <f aca="false">SUM(E18:E19)</f>
        <v>77477.37</v>
      </c>
      <c r="F20" s="19" t="n">
        <f aca="false">SUM(F18:F19)</f>
        <v>25</v>
      </c>
      <c r="G20" s="20" t="n">
        <f aca="false">SUM(G18:G19)</f>
        <v>91874.14</v>
      </c>
      <c r="H20" s="19" t="n">
        <f aca="false">SUM(H18:H19)</f>
        <v>39</v>
      </c>
      <c r="I20" s="20" t="n">
        <f aca="false">SUM(I18:I19)</f>
        <v>116583.79</v>
      </c>
      <c r="J20" s="19" t="n">
        <f aca="false">SUM(J18:J19)</f>
        <v>38</v>
      </c>
      <c r="K20" s="20" t="n">
        <f aca="false">SUM(K18:K19)</f>
        <v>116292.17</v>
      </c>
      <c r="L20" s="19" t="n">
        <f aca="false">SUM(L18:L19)</f>
        <v>32</v>
      </c>
      <c r="M20" s="20" t="n">
        <f aca="false">SUM(M18:M19)</f>
        <v>77338.35</v>
      </c>
      <c r="N20" s="19" t="n">
        <f aca="false">SUM(N18:N19)</f>
        <v>34</v>
      </c>
      <c r="O20" s="20" t="n">
        <f aca="false">SUM(O18:O19)</f>
        <v>95575.13</v>
      </c>
      <c r="P20" s="19" t="n">
        <f aca="false">SUM(P18:P19)</f>
        <v>16</v>
      </c>
      <c r="Q20" s="20" t="n">
        <f aca="false">SUM(Q18:Q19)</f>
        <v>48628.9</v>
      </c>
    </row>
    <row r="23" customFormat="false" ht="15" hidden="false" customHeight="false" outlineLevel="0" collapsed="false">
      <c r="A23" s="17" t="s">
        <v>100</v>
      </c>
    </row>
    <row r="24" customFormat="false" ht="15" hidden="false" customHeight="false" outlineLevel="0" collapsed="false">
      <c r="A24" s="6" t="s">
        <v>37</v>
      </c>
      <c r="B24" s="6" t="s">
        <v>82</v>
      </c>
      <c r="C24" s="6" t="s">
        <v>83</v>
      </c>
      <c r="D24" s="6" t="s">
        <v>84</v>
      </c>
      <c r="E24" s="6" t="s">
        <v>85</v>
      </c>
      <c r="F24" s="6" t="s">
        <v>86</v>
      </c>
      <c r="G24" s="6" t="s">
        <v>87</v>
      </c>
      <c r="H24" s="6" t="s">
        <v>88</v>
      </c>
      <c r="I24" s="6" t="s">
        <v>89</v>
      </c>
      <c r="J24" s="6" t="s">
        <v>90</v>
      </c>
      <c r="K24" s="6" t="s">
        <v>91</v>
      </c>
      <c r="L24" s="6" t="s">
        <v>92</v>
      </c>
      <c r="M24" s="6" t="s">
        <v>93</v>
      </c>
      <c r="N24" s="6" t="s">
        <v>94</v>
      </c>
      <c r="O24" s="6" t="s">
        <v>95</v>
      </c>
      <c r="P24" s="6" t="s">
        <v>96</v>
      </c>
      <c r="Q24" s="6" t="s">
        <v>97</v>
      </c>
    </row>
    <row r="25" customFormat="false" ht="15" hidden="false" customHeight="false" outlineLevel="0" collapsed="false">
      <c r="A25" s="3" t="s">
        <v>43</v>
      </c>
      <c r="B25" s="13" t="n">
        <f aca="false">SUMIFS('Monthly Detail'!$AC$3:$AC$92,'Monthly Detail'!$A$3:$A$92,2019,'Monthly Detail'!$B$3:$B$92,"Export",'Monthly Detail'!$C$3:$C$92,"Dried deer velvet",'Monthly Detail'!$D$3:$D$92,$A25)</f>
        <v>0</v>
      </c>
      <c r="C25" s="9" t="n">
        <f aca="false">SUMIFS('Monthly Detail'!$AD$3:$AD$92,'Monthly Detail'!$A$3:$A$92,2019,'Monthly Detail'!$B$3:$B$92,"Export",'Monthly Detail'!$C$3:$C$92,"Dried deer velvet",'Monthly Detail'!$D$3:$D$92,$A25)</f>
        <v>0</v>
      </c>
      <c r="D25" s="13" t="n">
        <f aca="false">SUMIFS('Monthly Detail'!$AC$3:$AC$92,'Monthly Detail'!$A$3:$A$92,2020,'Monthly Detail'!$B$3:$B$92,"Export",'Monthly Detail'!$C$3:$C$92,"Dried deer velvet",'Monthly Detail'!$D$3:$D$92,$A25)</f>
        <v>0</v>
      </c>
      <c r="E25" s="9" t="n">
        <f aca="false">SUMIFS('Monthly Detail'!$AD$3:$AD$92,'Monthly Detail'!$A$3:$A$92,2020,'Monthly Detail'!$B$3:$B$92,"Export",'Monthly Detail'!$C$3:$C$92,"Dried deer velvet",'Monthly Detail'!$D$3:$D$92,$A25)</f>
        <v>0</v>
      </c>
      <c r="F25" s="13" t="n">
        <f aca="false">SUMIFS('Monthly Detail'!$AC$3:$AC$92,'Monthly Detail'!$A$3:$A$92,2021,'Monthly Detail'!$B$3:$B$92,"Export",'Monthly Detail'!$C$3:$C$92,"Dried deer velvet",'Monthly Detail'!$D$3:$D$92,$A25)</f>
        <v>1</v>
      </c>
      <c r="G25" s="9" t="n">
        <f aca="false">SUMIFS('Monthly Detail'!$AD$3:$AD$92,'Monthly Detail'!$A$3:$A$92,2021,'Monthly Detail'!$B$3:$B$92,"Export",'Monthly Detail'!$C$3:$C$92,"Dried deer velvet",'Monthly Detail'!$D$3:$D$92,$A25)</f>
        <v>10</v>
      </c>
      <c r="H25" s="13" t="n">
        <f aca="false">SUMIFS('Monthly Detail'!$AC$3:$AC$92,'Monthly Detail'!$A$3:$A$92,2022,'Monthly Detail'!$B$3:$B$92,"Export",'Monthly Detail'!$C$3:$C$92,"Dried deer velvet",'Monthly Detail'!$D$3:$D$92,$A25)</f>
        <v>0</v>
      </c>
      <c r="I25" s="9" t="n">
        <f aca="false">SUMIFS('Monthly Detail'!$AD$3:$AD$92,'Monthly Detail'!$A$3:$A$92,2022,'Monthly Detail'!$B$3:$B$92,"Export",'Monthly Detail'!$C$3:$C$92,"Dried deer velvet",'Monthly Detail'!$D$3:$D$92,$A25)</f>
        <v>0</v>
      </c>
      <c r="J25" s="13" t="n">
        <f aca="false">SUMIFS('Monthly Detail'!$AC$3:$AC$92,'Monthly Detail'!$A$3:$A$92,2023,'Monthly Detail'!$B$3:$B$92,"Export",'Monthly Detail'!$C$3:$C$92,"Dried deer velvet",'Monthly Detail'!$D$3:$D$92,$A25)</f>
        <v>0</v>
      </c>
      <c r="K25" s="9" t="n">
        <f aca="false">SUMIFS('Monthly Detail'!$AD$3:$AD$92,'Monthly Detail'!$A$3:$A$92,2023,'Monthly Detail'!$B$3:$B$92,"Export",'Monthly Detail'!$C$3:$C$92,"Dried deer velvet",'Monthly Detail'!$D$3:$D$92,$A25)</f>
        <v>0</v>
      </c>
      <c r="L25" s="13" t="n">
        <f aca="false">SUMIFS('Monthly Detail'!$AC$3:$AC$92,'Monthly Detail'!$A$3:$A$92,2024,'Monthly Detail'!$B$3:$B$92,"Export",'Monthly Detail'!$C$3:$C$92,"Dried deer velvet",'Monthly Detail'!$D$3:$D$92,$A25)</f>
        <v>0</v>
      </c>
      <c r="M25" s="9" t="n">
        <f aca="false">SUMIFS('Monthly Detail'!$AD$3:$AD$92,'Monthly Detail'!$A$3:$A$92,2024,'Monthly Detail'!$B$3:$B$92,"Export",'Monthly Detail'!$C$3:$C$92,"Dried deer velvet",'Monthly Detail'!$D$3:$D$92,$A25)</f>
        <v>0</v>
      </c>
      <c r="N25" s="13" t="n">
        <f aca="false">SUMIFS('Monthly Detail'!$AC$3:$AC$92,'Monthly Detail'!$A$3:$A$92,2025,'Monthly Detail'!$B$3:$B$92,"Export",'Monthly Detail'!$C$3:$C$92,"Dried deer velvet",'Monthly Detail'!$D$3:$D$92,$A25)</f>
        <v>0</v>
      </c>
      <c r="O25" s="9" t="n">
        <f aca="false">SUMIFS('Monthly Detail'!$AD$3:$AD$92,'Monthly Detail'!$A$3:$A$92,2025,'Monthly Detail'!$B$3:$B$92,"Export",'Monthly Detail'!$C$3:$C$92,"Dried deer velvet",'Monthly Detail'!$D$3:$D$92,$A25)</f>
        <v>0</v>
      </c>
      <c r="P25" s="13" t="n">
        <f aca="false">SUMIFS('Monthly Detail'!$AC$3:$AC$92,'Monthly Detail'!$A$3:$A$92,2026,'Monthly Detail'!$B$3:$B$92,"Export",'Monthly Detail'!$C$3:$C$92,"Dried deer velvet",'Monthly Detail'!$D$3:$D$92,$A25)</f>
        <v>0</v>
      </c>
      <c r="Q25" s="9" t="n">
        <f aca="false">SUMIFS('Monthly Detail'!$AD$3:$AD$92,'Monthly Detail'!$A$3:$A$92,2026,'Monthly Detail'!$B$3:$B$92,"Export",'Monthly Detail'!$C$3:$C$92,"Dried deer velvet",'Monthly Detail'!$D$3:$D$92,$A25)</f>
        <v>0</v>
      </c>
    </row>
    <row r="26" customFormat="false" ht="15" hidden="false" customHeight="false" outlineLevel="0" collapsed="false">
      <c r="A26" s="3" t="s">
        <v>45</v>
      </c>
      <c r="B26" s="13" t="n">
        <f aca="false">SUMIFS('Monthly Detail'!$AC$3:$AC$92,'Monthly Detail'!$A$3:$A$92,2019,'Monthly Detail'!$B$3:$B$92,"Export",'Monthly Detail'!$C$3:$C$92,"Dried deer velvet",'Monthly Detail'!$D$3:$D$92,$A26)</f>
        <v>0</v>
      </c>
      <c r="C26" s="9" t="n">
        <f aca="false">SUMIFS('Monthly Detail'!$AD$3:$AD$92,'Monthly Detail'!$A$3:$A$92,2019,'Monthly Detail'!$B$3:$B$92,"Export",'Monthly Detail'!$C$3:$C$92,"Dried deer velvet",'Monthly Detail'!$D$3:$D$92,$A26)</f>
        <v>0</v>
      </c>
      <c r="D26" s="13" t="n">
        <f aca="false">SUMIFS('Monthly Detail'!$AC$3:$AC$92,'Monthly Detail'!$A$3:$A$92,2020,'Monthly Detail'!$B$3:$B$92,"Export",'Monthly Detail'!$C$3:$C$92,"Dried deer velvet",'Monthly Detail'!$D$3:$D$92,$A26)</f>
        <v>1</v>
      </c>
      <c r="E26" s="9" t="n">
        <f aca="false">SUMIFS('Monthly Detail'!$AD$3:$AD$92,'Monthly Detail'!$A$3:$A$92,2020,'Monthly Detail'!$B$3:$B$92,"Export",'Monthly Detail'!$C$3:$C$92,"Dried deer velvet",'Monthly Detail'!$D$3:$D$92,$A26)</f>
        <v>1540.4</v>
      </c>
      <c r="F26" s="13" t="n">
        <f aca="false">SUMIFS('Monthly Detail'!$AC$3:$AC$92,'Monthly Detail'!$A$3:$A$92,2021,'Monthly Detail'!$B$3:$B$92,"Export",'Monthly Detail'!$C$3:$C$92,"Dried deer velvet",'Monthly Detail'!$D$3:$D$92,$A26)</f>
        <v>2</v>
      </c>
      <c r="G26" s="9" t="n">
        <f aca="false">SUMIFS('Monthly Detail'!$AD$3:$AD$92,'Monthly Detail'!$A$3:$A$92,2021,'Monthly Detail'!$B$3:$B$92,"Export",'Monthly Detail'!$C$3:$C$92,"Dried deer velvet",'Monthly Detail'!$D$3:$D$92,$A26)</f>
        <v>3775.7</v>
      </c>
      <c r="H26" s="13" t="n">
        <f aca="false">SUMIFS('Monthly Detail'!$AC$3:$AC$92,'Monthly Detail'!$A$3:$A$92,2022,'Monthly Detail'!$B$3:$B$92,"Export",'Monthly Detail'!$C$3:$C$92,"Dried deer velvet",'Monthly Detail'!$D$3:$D$92,$A26)</f>
        <v>0</v>
      </c>
      <c r="I26" s="9" t="n">
        <f aca="false">SUMIFS('Monthly Detail'!$AD$3:$AD$92,'Monthly Detail'!$A$3:$A$92,2022,'Monthly Detail'!$B$3:$B$92,"Export",'Monthly Detail'!$C$3:$C$92,"Dried deer velvet",'Monthly Detail'!$D$3:$D$92,$A26)</f>
        <v>0</v>
      </c>
      <c r="J26" s="13" t="n">
        <f aca="false">SUMIFS('Monthly Detail'!$AC$3:$AC$92,'Monthly Detail'!$A$3:$A$92,2023,'Monthly Detail'!$B$3:$B$92,"Export",'Monthly Detail'!$C$3:$C$92,"Dried deer velvet",'Monthly Detail'!$D$3:$D$92,$A26)</f>
        <v>0</v>
      </c>
      <c r="K26" s="9" t="n">
        <f aca="false">SUMIFS('Monthly Detail'!$AD$3:$AD$92,'Monthly Detail'!$A$3:$A$92,2023,'Monthly Detail'!$B$3:$B$92,"Export",'Monthly Detail'!$C$3:$C$92,"Dried deer velvet",'Monthly Detail'!$D$3:$D$92,$A26)</f>
        <v>0</v>
      </c>
      <c r="L26" s="13" t="n">
        <f aca="false">SUMIFS('Monthly Detail'!$AC$3:$AC$92,'Monthly Detail'!$A$3:$A$92,2024,'Monthly Detail'!$B$3:$B$92,"Export",'Monthly Detail'!$C$3:$C$92,"Dried deer velvet",'Monthly Detail'!$D$3:$D$92,$A26)</f>
        <v>0</v>
      </c>
      <c r="M26" s="9" t="n">
        <f aca="false">SUMIFS('Monthly Detail'!$AD$3:$AD$92,'Monthly Detail'!$A$3:$A$92,2024,'Monthly Detail'!$B$3:$B$92,"Export",'Monthly Detail'!$C$3:$C$92,"Dried deer velvet",'Monthly Detail'!$D$3:$D$92,$A26)</f>
        <v>0</v>
      </c>
      <c r="N26" s="13" t="n">
        <f aca="false">SUMIFS('Monthly Detail'!$AC$3:$AC$92,'Monthly Detail'!$A$3:$A$92,2025,'Monthly Detail'!$B$3:$B$92,"Export",'Monthly Detail'!$C$3:$C$92,"Dried deer velvet",'Monthly Detail'!$D$3:$D$92,$A26)</f>
        <v>0</v>
      </c>
      <c r="O26" s="9" t="n">
        <f aca="false">SUMIFS('Monthly Detail'!$AD$3:$AD$92,'Monthly Detail'!$A$3:$A$92,2025,'Monthly Detail'!$B$3:$B$92,"Export",'Monthly Detail'!$C$3:$C$92,"Dried deer velvet",'Monthly Detail'!$D$3:$D$92,$A26)</f>
        <v>0</v>
      </c>
      <c r="P26" s="13" t="n">
        <f aca="false">SUMIFS('Monthly Detail'!$AC$3:$AC$92,'Monthly Detail'!$A$3:$A$92,2026,'Monthly Detail'!$B$3:$B$92,"Export",'Monthly Detail'!$C$3:$C$92,"Dried deer velvet",'Monthly Detail'!$D$3:$D$92,$A26)</f>
        <v>1</v>
      </c>
      <c r="Q26" s="9" t="n">
        <f aca="false">SUMIFS('Monthly Detail'!$AD$3:$AD$92,'Monthly Detail'!$A$3:$A$92,2026,'Monthly Detail'!$B$3:$B$92,"Export",'Monthly Detail'!$C$3:$C$92,"Dried deer velvet",'Monthly Detail'!$D$3:$D$92,$A26)</f>
        <v>2125.6</v>
      </c>
    </row>
    <row r="27" customFormat="false" ht="15" hidden="false" customHeight="false" outlineLevel="0" collapsed="false">
      <c r="A27" s="3" t="s">
        <v>56</v>
      </c>
      <c r="B27" s="13" t="n">
        <f aca="false">SUMIFS('Monthly Detail'!$AC$3:$AC$92,'Monthly Detail'!$A$3:$A$92,2019,'Monthly Detail'!$B$3:$B$92,"Export",'Monthly Detail'!$C$3:$C$92,"Dried deer velvet",'Monthly Detail'!$D$3:$D$92,$A27)</f>
        <v>0</v>
      </c>
      <c r="C27" s="9" t="n">
        <f aca="false">SUMIFS('Monthly Detail'!$AD$3:$AD$92,'Monthly Detail'!$A$3:$A$92,2019,'Monthly Detail'!$B$3:$B$92,"Export",'Monthly Detail'!$C$3:$C$92,"Dried deer velvet",'Monthly Detail'!$D$3:$D$92,$A27)</f>
        <v>0</v>
      </c>
      <c r="D27" s="13" t="n">
        <f aca="false">SUMIFS('Monthly Detail'!$AC$3:$AC$92,'Monthly Detail'!$A$3:$A$92,2020,'Monthly Detail'!$B$3:$B$92,"Export",'Monthly Detail'!$C$3:$C$92,"Dried deer velvet",'Monthly Detail'!$D$3:$D$92,$A27)</f>
        <v>0</v>
      </c>
      <c r="E27" s="9" t="n">
        <f aca="false">SUMIFS('Monthly Detail'!$AD$3:$AD$92,'Monthly Detail'!$A$3:$A$92,2020,'Monthly Detail'!$B$3:$B$92,"Export",'Monthly Detail'!$C$3:$C$92,"Dried deer velvet",'Monthly Detail'!$D$3:$D$92,$A27)</f>
        <v>0</v>
      </c>
      <c r="F27" s="13" t="n">
        <f aca="false">SUMIFS('Monthly Detail'!$AC$3:$AC$92,'Monthly Detail'!$A$3:$A$92,2021,'Monthly Detail'!$B$3:$B$92,"Export",'Monthly Detail'!$C$3:$C$92,"Dried deer velvet",'Monthly Detail'!$D$3:$D$92,$A27)</f>
        <v>0</v>
      </c>
      <c r="G27" s="9" t="n">
        <f aca="false">SUMIFS('Monthly Detail'!$AD$3:$AD$92,'Monthly Detail'!$A$3:$A$92,2021,'Monthly Detail'!$B$3:$B$92,"Export",'Monthly Detail'!$C$3:$C$92,"Dried deer velvet",'Monthly Detail'!$D$3:$D$92,$A27)</f>
        <v>0</v>
      </c>
      <c r="H27" s="13" t="n">
        <f aca="false">SUMIFS('Monthly Detail'!$AC$3:$AC$92,'Monthly Detail'!$A$3:$A$92,2022,'Monthly Detail'!$B$3:$B$92,"Export",'Monthly Detail'!$C$3:$C$92,"Dried deer velvet",'Monthly Detail'!$D$3:$D$92,$A27)</f>
        <v>0</v>
      </c>
      <c r="I27" s="9" t="n">
        <f aca="false">SUMIFS('Monthly Detail'!$AD$3:$AD$92,'Monthly Detail'!$A$3:$A$92,2022,'Monthly Detail'!$B$3:$B$92,"Export",'Monthly Detail'!$C$3:$C$92,"Dried deer velvet",'Monthly Detail'!$D$3:$D$92,$A27)</f>
        <v>0</v>
      </c>
      <c r="J27" s="13" t="n">
        <f aca="false">SUMIFS('Monthly Detail'!$AC$3:$AC$92,'Monthly Detail'!$A$3:$A$92,2023,'Monthly Detail'!$B$3:$B$92,"Export",'Monthly Detail'!$C$3:$C$92,"Dried deer velvet",'Monthly Detail'!$D$3:$D$92,$A27)</f>
        <v>1</v>
      </c>
      <c r="K27" s="9" t="n">
        <f aca="false">SUMIFS('Monthly Detail'!$AD$3:$AD$92,'Monthly Detail'!$A$3:$A$92,2023,'Monthly Detail'!$B$3:$B$92,"Export",'Monthly Detail'!$C$3:$C$92,"Dried deer velvet",'Monthly Detail'!$D$3:$D$92,$A27)</f>
        <v>529</v>
      </c>
      <c r="L27" s="13" t="n">
        <f aca="false">SUMIFS('Monthly Detail'!$AC$3:$AC$92,'Monthly Detail'!$A$3:$A$92,2024,'Monthly Detail'!$B$3:$B$92,"Export",'Monthly Detail'!$C$3:$C$92,"Dried deer velvet",'Monthly Detail'!$D$3:$D$92,$A27)</f>
        <v>0</v>
      </c>
      <c r="M27" s="9" t="n">
        <f aca="false">SUMIFS('Monthly Detail'!$AD$3:$AD$92,'Monthly Detail'!$A$3:$A$92,2024,'Monthly Detail'!$B$3:$B$92,"Export",'Monthly Detail'!$C$3:$C$92,"Dried deer velvet",'Monthly Detail'!$D$3:$D$92,$A27)</f>
        <v>0</v>
      </c>
      <c r="N27" s="13" t="n">
        <f aca="false">SUMIFS('Monthly Detail'!$AC$3:$AC$92,'Monthly Detail'!$A$3:$A$92,2025,'Monthly Detail'!$B$3:$B$92,"Export",'Monthly Detail'!$C$3:$C$92,"Dried deer velvet",'Monthly Detail'!$D$3:$D$92,$A27)</f>
        <v>0</v>
      </c>
      <c r="O27" s="9" t="n">
        <f aca="false">SUMIFS('Monthly Detail'!$AD$3:$AD$92,'Monthly Detail'!$A$3:$A$92,2025,'Monthly Detail'!$B$3:$B$92,"Export",'Monthly Detail'!$C$3:$C$92,"Dried deer velvet",'Monthly Detail'!$D$3:$D$92,$A27)</f>
        <v>0</v>
      </c>
      <c r="P27" s="13" t="n">
        <f aca="false">SUMIFS('Monthly Detail'!$AC$3:$AC$92,'Monthly Detail'!$A$3:$A$92,2026,'Monthly Detail'!$B$3:$B$92,"Export",'Monthly Detail'!$C$3:$C$92,"Dried deer velvet",'Monthly Detail'!$D$3:$D$92,$A27)</f>
        <v>0</v>
      </c>
      <c r="Q27" s="9" t="n">
        <f aca="false">SUMIFS('Monthly Detail'!$AD$3:$AD$92,'Monthly Detail'!$A$3:$A$92,2026,'Monthly Detail'!$B$3:$B$92,"Export",'Monthly Detail'!$C$3:$C$92,"Dried deer velvet",'Monthly Detail'!$D$3:$D$92,$A27)</f>
        <v>0</v>
      </c>
    </row>
    <row r="28" customFormat="false" ht="15" hidden="false" customHeight="false" outlineLevel="0" collapsed="false">
      <c r="A28" s="3" t="s">
        <v>60</v>
      </c>
      <c r="B28" s="13" t="n">
        <f aca="false">SUMIFS('Monthly Detail'!$AC$3:$AC$92,'Monthly Detail'!$A$3:$A$92,2019,'Monthly Detail'!$B$3:$B$92,"Export",'Monthly Detail'!$C$3:$C$92,"Dried deer velvet",'Monthly Detail'!$D$3:$D$92,$A28)</f>
        <v>0</v>
      </c>
      <c r="C28" s="9" t="n">
        <f aca="false">SUMIFS('Monthly Detail'!$AD$3:$AD$92,'Monthly Detail'!$A$3:$A$92,2019,'Monthly Detail'!$B$3:$B$92,"Export",'Monthly Detail'!$C$3:$C$92,"Dried deer velvet",'Monthly Detail'!$D$3:$D$92,$A28)</f>
        <v>0</v>
      </c>
      <c r="D28" s="13" t="n">
        <f aca="false">SUMIFS('Monthly Detail'!$AC$3:$AC$92,'Monthly Detail'!$A$3:$A$92,2020,'Monthly Detail'!$B$3:$B$92,"Export",'Monthly Detail'!$C$3:$C$92,"Dried deer velvet",'Monthly Detail'!$D$3:$D$92,$A28)</f>
        <v>0</v>
      </c>
      <c r="E28" s="9" t="n">
        <f aca="false">SUMIFS('Monthly Detail'!$AD$3:$AD$92,'Monthly Detail'!$A$3:$A$92,2020,'Monthly Detail'!$B$3:$B$92,"Export",'Monthly Detail'!$C$3:$C$92,"Dried deer velvet",'Monthly Detail'!$D$3:$D$92,$A28)</f>
        <v>0</v>
      </c>
      <c r="F28" s="13" t="n">
        <f aca="false">SUMIFS('Monthly Detail'!$AC$3:$AC$92,'Monthly Detail'!$A$3:$A$92,2021,'Monthly Detail'!$B$3:$B$92,"Export",'Monthly Detail'!$C$3:$C$92,"Dried deer velvet",'Monthly Detail'!$D$3:$D$92,$A28)</f>
        <v>0</v>
      </c>
      <c r="G28" s="9" t="n">
        <f aca="false">SUMIFS('Monthly Detail'!$AD$3:$AD$92,'Monthly Detail'!$A$3:$A$92,2021,'Monthly Detail'!$B$3:$B$92,"Export",'Monthly Detail'!$C$3:$C$92,"Dried deer velvet",'Monthly Detail'!$D$3:$D$92,$A28)</f>
        <v>0</v>
      </c>
      <c r="H28" s="13" t="n">
        <f aca="false">SUMIFS('Monthly Detail'!$AC$3:$AC$92,'Monthly Detail'!$A$3:$A$92,2022,'Monthly Detail'!$B$3:$B$92,"Export",'Monthly Detail'!$C$3:$C$92,"Dried deer velvet",'Monthly Detail'!$D$3:$D$92,$A28)</f>
        <v>1</v>
      </c>
      <c r="I28" s="9" t="n">
        <f aca="false">SUMIFS('Monthly Detail'!$AD$3:$AD$92,'Monthly Detail'!$A$3:$A$92,2022,'Monthly Detail'!$B$3:$B$92,"Export",'Monthly Detail'!$C$3:$C$92,"Dried deer velvet",'Monthly Detail'!$D$3:$D$92,$A28)</f>
        <v>220</v>
      </c>
      <c r="J28" s="13" t="n">
        <f aca="false">SUMIFS('Monthly Detail'!$AC$3:$AC$92,'Monthly Detail'!$A$3:$A$92,2023,'Monthly Detail'!$B$3:$B$92,"Export",'Monthly Detail'!$C$3:$C$92,"Dried deer velvet",'Monthly Detail'!$D$3:$D$92,$A28)</f>
        <v>0</v>
      </c>
      <c r="K28" s="9" t="n">
        <f aca="false">SUMIFS('Monthly Detail'!$AD$3:$AD$92,'Monthly Detail'!$A$3:$A$92,2023,'Monthly Detail'!$B$3:$B$92,"Export",'Monthly Detail'!$C$3:$C$92,"Dried deer velvet",'Monthly Detail'!$D$3:$D$92,$A28)</f>
        <v>0</v>
      </c>
      <c r="L28" s="13" t="n">
        <f aca="false">SUMIFS('Monthly Detail'!$AC$3:$AC$92,'Monthly Detail'!$A$3:$A$92,2024,'Monthly Detail'!$B$3:$B$92,"Export",'Monthly Detail'!$C$3:$C$92,"Dried deer velvet",'Monthly Detail'!$D$3:$D$92,$A28)</f>
        <v>0</v>
      </c>
      <c r="M28" s="9" t="n">
        <f aca="false">SUMIFS('Monthly Detail'!$AD$3:$AD$92,'Monthly Detail'!$A$3:$A$92,2024,'Monthly Detail'!$B$3:$B$92,"Export",'Monthly Detail'!$C$3:$C$92,"Dried deer velvet",'Monthly Detail'!$D$3:$D$92,$A28)</f>
        <v>0</v>
      </c>
      <c r="N28" s="13" t="n">
        <f aca="false">SUMIFS('Monthly Detail'!$AC$3:$AC$92,'Monthly Detail'!$A$3:$A$92,2025,'Monthly Detail'!$B$3:$B$92,"Export",'Monthly Detail'!$C$3:$C$92,"Dried deer velvet",'Monthly Detail'!$D$3:$D$92,$A28)</f>
        <v>0</v>
      </c>
      <c r="O28" s="9" t="n">
        <f aca="false">SUMIFS('Monthly Detail'!$AD$3:$AD$92,'Monthly Detail'!$A$3:$A$92,2025,'Monthly Detail'!$B$3:$B$92,"Export",'Monthly Detail'!$C$3:$C$92,"Dried deer velvet",'Monthly Detail'!$D$3:$D$92,$A28)</f>
        <v>0</v>
      </c>
      <c r="P28" s="13" t="n">
        <f aca="false">SUMIFS('Monthly Detail'!$AC$3:$AC$92,'Monthly Detail'!$A$3:$A$92,2026,'Monthly Detail'!$B$3:$B$92,"Export",'Monthly Detail'!$C$3:$C$92,"Dried deer velvet",'Monthly Detail'!$D$3:$D$92,$A28)</f>
        <v>0</v>
      </c>
      <c r="Q28" s="9" t="n">
        <f aca="false">SUMIFS('Monthly Detail'!$AD$3:$AD$92,'Monthly Detail'!$A$3:$A$92,2026,'Monthly Detail'!$B$3:$B$92,"Export",'Monthly Detail'!$C$3:$C$92,"Dried deer velvet",'Monthly Detail'!$D$3:$D$92,$A28)</f>
        <v>0</v>
      </c>
    </row>
    <row r="29" customFormat="false" ht="15" hidden="false" customHeight="false" outlineLevel="0" collapsed="false">
      <c r="A29" s="18" t="s">
        <v>98</v>
      </c>
      <c r="B29" s="19" t="n">
        <f aca="false">SUM(B25:B28)</f>
        <v>0</v>
      </c>
      <c r="C29" s="20" t="n">
        <f aca="false">SUM(C25:C28)</f>
        <v>0</v>
      </c>
      <c r="D29" s="19" t="n">
        <f aca="false">SUM(D25:D28)</f>
        <v>1</v>
      </c>
      <c r="E29" s="20" t="n">
        <f aca="false">SUM(E25:E28)</f>
        <v>1540.4</v>
      </c>
      <c r="F29" s="19" t="n">
        <f aca="false">SUM(F25:F28)</f>
        <v>3</v>
      </c>
      <c r="G29" s="20" t="n">
        <f aca="false">SUM(G25:G28)</f>
        <v>3785.7</v>
      </c>
      <c r="H29" s="19" t="n">
        <f aca="false">SUM(H25:H28)</f>
        <v>1</v>
      </c>
      <c r="I29" s="20" t="n">
        <f aca="false">SUM(I25:I28)</f>
        <v>220</v>
      </c>
      <c r="J29" s="19" t="n">
        <f aca="false">SUM(J25:J28)</f>
        <v>1</v>
      </c>
      <c r="K29" s="20" t="n">
        <f aca="false">SUM(K25:K28)</f>
        <v>529</v>
      </c>
      <c r="L29" s="19" t="n">
        <f aca="false">SUM(L25:L28)</f>
        <v>0</v>
      </c>
      <c r="M29" s="20" t="n">
        <f aca="false">SUM(M25:M28)</f>
        <v>0</v>
      </c>
      <c r="N29" s="19" t="n">
        <f aca="false">SUM(N25:N28)</f>
        <v>0</v>
      </c>
      <c r="O29" s="20" t="n">
        <f aca="false">SUM(O25:O28)</f>
        <v>0</v>
      </c>
      <c r="P29" s="19" t="n">
        <f aca="false">SUM(P25:P28)</f>
        <v>1</v>
      </c>
      <c r="Q29" s="20" t="n">
        <f aca="false">SUM(Q25:Q28)</f>
        <v>2125.6</v>
      </c>
    </row>
    <row r="32" customFormat="false" ht="15" hidden="false" customHeight="false" outlineLevel="0" collapsed="false">
      <c r="A32" s="17" t="s">
        <v>101</v>
      </c>
    </row>
    <row r="33" customFormat="false" ht="15" hidden="false" customHeight="false" outlineLevel="0" collapsed="false">
      <c r="A33" s="6" t="s">
        <v>37</v>
      </c>
      <c r="B33" s="6" t="s">
        <v>82</v>
      </c>
      <c r="C33" s="6" t="s">
        <v>83</v>
      </c>
      <c r="D33" s="6" t="s">
        <v>84</v>
      </c>
      <c r="E33" s="6" t="s">
        <v>85</v>
      </c>
      <c r="F33" s="6" t="s">
        <v>86</v>
      </c>
      <c r="G33" s="6" t="s">
        <v>87</v>
      </c>
      <c r="H33" s="6" t="s">
        <v>88</v>
      </c>
      <c r="I33" s="6" t="s">
        <v>89</v>
      </c>
      <c r="J33" s="6" t="s">
        <v>90</v>
      </c>
      <c r="K33" s="6" t="s">
        <v>91</v>
      </c>
      <c r="L33" s="6" t="s">
        <v>92</v>
      </c>
      <c r="M33" s="6" t="s">
        <v>93</v>
      </c>
      <c r="N33" s="6" t="s">
        <v>94</v>
      </c>
      <c r="O33" s="6" t="s">
        <v>95</v>
      </c>
      <c r="P33" s="6" t="s">
        <v>96</v>
      </c>
      <c r="Q33" s="6" t="s">
        <v>97</v>
      </c>
    </row>
    <row r="34" customFormat="false" ht="15" hidden="false" customHeight="false" outlineLevel="0" collapsed="false">
      <c r="A34" s="3" t="s">
        <v>59</v>
      </c>
      <c r="B34" s="13" t="n">
        <f aca="false">SUMIFS('Monthly Detail'!$AC$3:$AC$92,'Monthly Detail'!$A$3:$A$92,2019,'Monthly Detail'!$B$3:$B$92,"Export",'Monthly Detail'!$C$3:$C$92,"Deer velvet extract",'Monthly Detail'!$D$3:$D$92,$A34)</f>
        <v>0</v>
      </c>
      <c r="C34" s="9" t="n">
        <f aca="false">SUMIFS('Monthly Detail'!$AD$3:$AD$92,'Monthly Detail'!$A$3:$A$92,2019,'Monthly Detail'!$B$3:$B$92,"Export",'Monthly Detail'!$C$3:$C$92,"Deer velvet extract",'Monthly Detail'!$D$3:$D$92,$A34)</f>
        <v>0</v>
      </c>
      <c r="D34" s="13" t="n">
        <f aca="false">SUMIFS('Monthly Detail'!$AC$3:$AC$92,'Monthly Detail'!$A$3:$A$92,2020,'Monthly Detail'!$B$3:$B$92,"Export",'Monthly Detail'!$C$3:$C$92,"Deer velvet extract",'Monthly Detail'!$D$3:$D$92,$A34)</f>
        <v>0</v>
      </c>
      <c r="E34" s="9" t="n">
        <f aca="false">SUMIFS('Monthly Detail'!$AD$3:$AD$92,'Monthly Detail'!$A$3:$A$92,2020,'Monthly Detail'!$B$3:$B$92,"Export",'Monthly Detail'!$C$3:$C$92,"Deer velvet extract",'Monthly Detail'!$D$3:$D$92,$A34)</f>
        <v>0</v>
      </c>
      <c r="F34" s="13" t="n">
        <f aca="false">SUMIFS('Monthly Detail'!$AC$3:$AC$92,'Monthly Detail'!$A$3:$A$92,2021,'Monthly Detail'!$B$3:$B$92,"Export",'Monthly Detail'!$C$3:$C$92,"Deer velvet extract",'Monthly Detail'!$D$3:$D$92,$A34)</f>
        <v>5</v>
      </c>
      <c r="G34" s="9" t="n">
        <f aca="false">SUMIFS('Monthly Detail'!$AD$3:$AD$92,'Monthly Detail'!$A$3:$A$92,2021,'Monthly Detail'!$B$3:$B$92,"Export",'Monthly Detail'!$C$3:$C$92,"Deer velvet extract",'Monthly Detail'!$D$3:$D$92,$A34)</f>
        <v>1810</v>
      </c>
      <c r="H34" s="13" t="n">
        <f aca="false">SUMIFS('Monthly Detail'!$AC$3:$AC$92,'Monthly Detail'!$A$3:$A$92,2022,'Monthly Detail'!$B$3:$B$92,"Export",'Monthly Detail'!$C$3:$C$92,"Deer velvet extract",'Monthly Detail'!$D$3:$D$92,$A34)</f>
        <v>2</v>
      </c>
      <c r="I34" s="9" t="n">
        <f aca="false">SUMIFS('Monthly Detail'!$AD$3:$AD$92,'Monthly Detail'!$A$3:$A$92,2022,'Monthly Detail'!$B$3:$B$92,"Export",'Monthly Detail'!$C$3:$C$92,"Deer velvet extract",'Monthly Detail'!$D$3:$D$92,$A34)</f>
        <v>736</v>
      </c>
      <c r="J34" s="13" t="n">
        <f aca="false">SUMIFS('Monthly Detail'!$AC$3:$AC$92,'Monthly Detail'!$A$3:$A$92,2023,'Monthly Detail'!$B$3:$B$92,"Export",'Monthly Detail'!$C$3:$C$92,"Deer velvet extract",'Monthly Detail'!$D$3:$D$92,$A34)</f>
        <v>0</v>
      </c>
      <c r="K34" s="9" t="n">
        <f aca="false">SUMIFS('Monthly Detail'!$AD$3:$AD$92,'Monthly Detail'!$A$3:$A$92,2023,'Monthly Detail'!$B$3:$B$92,"Export",'Monthly Detail'!$C$3:$C$92,"Deer velvet extract",'Monthly Detail'!$D$3:$D$92,$A34)</f>
        <v>0</v>
      </c>
      <c r="L34" s="13" t="n">
        <f aca="false">SUMIFS('Monthly Detail'!$AC$3:$AC$92,'Monthly Detail'!$A$3:$A$92,2024,'Monthly Detail'!$B$3:$B$92,"Export",'Monthly Detail'!$C$3:$C$92,"Deer velvet extract",'Monthly Detail'!$D$3:$D$92,$A34)</f>
        <v>2</v>
      </c>
      <c r="M34" s="9" t="n">
        <f aca="false">SUMIFS('Monthly Detail'!$AD$3:$AD$92,'Monthly Detail'!$A$3:$A$92,2024,'Monthly Detail'!$B$3:$B$92,"Export",'Monthly Detail'!$C$3:$C$92,"Deer velvet extract",'Monthly Detail'!$D$3:$D$92,$A34)</f>
        <v>154</v>
      </c>
      <c r="N34" s="13" t="n">
        <f aca="false">SUMIFS('Monthly Detail'!$AC$3:$AC$92,'Monthly Detail'!$A$3:$A$92,2025,'Monthly Detail'!$B$3:$B$92,"Export",'Monthly Detail'!$C$3:$C$92,"Deer velvet extract",'Monthly Detail'!$D$3:$D$92,$A34)</f>
        <v>1</v>
      </c>
      <c r="O34" s="9" t="n">
        <f aca="false">SUMIFS('Monthly Detail'!$AD$3:$AD$92,'Monthly Detail'!$A$3:$A$92,2025,'Monthly Detail'!$B$3:$B$92,"Export",'Monthly Detail'!$C$3:$C$92,"Deer velvet extract",'Monthly Detail'!$D$3:$D$92,$A34)</f>
        <v>114</v>
      </c>
      <c r="P34" s="13" t="n">
        <f aca="false">SUMIFS('Monthly Detail'!$AC$3:$AC$92,'Monthly Detail'!$A$3:$A$92,2026,'Monthly Detail'!$B$3:$B$92,"Export",'Monthly Detail'!$C$3:$C$92,"Deer velvet extract",'Monthly Detail'!$D$3:$D$92,$A34)</f>
        <v>0</v>
      </c>
      <c r="Q34" s="9" t="n">
        <f aca="false">SUMIFS('Monthly Detail'!$AD$3:$AD$92,'Monthly Detail'!$A$3:$A$92,2026,'Monthly Detail'!$B$3:$B$92,"Export",'Monthly Detail'!$C$3:$C$92,"Deer velvet extract",'Monthly Detail'!$D$3:$D$92,$A34)</f>
        <v>0</v>
      </c>
    </row>
    <row r="35" customFormat="false" ht="15" hidden="false" customHeight="false" outlineLevel="0" collapsed="false">
      <c r="A35" s="3" t="s">
        <v>56</v>
      </c>
      <c r="B35" s="13" t="n">
        <f aca="false">SUMIFS('Monthly Detail'!$AC$3:$AC$92,'Monthly Detail'!$A$3:$A$92,2019,'Monthly Detail'!$B$3:$B$92,"Export",'Monthly Detail'!$C$3:$C$92,"Deer velvet extract",'Monthly Detail'!$D$3:$D$92,$A35)</f>
        <v>8</v>
      </c>
      <c r="C35" s="9" t="n">
        <f aca="false">SUMIFS('Monthly Detail'!$AD$3:$AD$92,'Monthly Detail'!$A$3:$A$92,2019,'Monthly Detail'!$B$3:$B$92,"Export",'Monthly Detail'!$C$3:$C$92,"Deer velvet extract",'Monthly Detail'!$D$3:$D$92,$A35)</f>
        <v>20377.8</v>
      </c>
      <c r="D35" s="13" t="n">
        <f aca="false">SUMIFS('Monthly Detail'!$AC$3:$AC$92,'Monthly Detail'!$A$3:$A$92,2020,'Monthly Detail'!$B$3:$B$92,"Export",'Monthly Detail'!$C$3:$C$92,"Deer velvet extract",'Monthly Detail'!$D$3:$D$92,$A35)</f>
        <v>11</v>
      </c>
      <c r="E35" s="9" t="n">
        <f aca="false">SUMIFS('Monthly Detail'!$AD$3:$AD$92,'Monthly Detail'!$A$3:$A$92,2020,'Monthly Detail'!$B$3:$B$92,"Export",'Monthly Detail'!$C$3:$C$92,"Deer velvet extract",'Monthly Detail'!$D$3:$D$92,$A35)</f>
        <v>29188.95</v>
      </c>
      <c r="F35" s="13" t="n">
        <f aca="false">SUMIFS('Monthly Detail'!$AC$3:$AC$92,'Monthly Detail'!$A$3:$A$92,2021,'Monthly Detail'!$B$3:$B$92,"Export",'Monthly Detail'!$C$3:$C$92,"Deer velvet extract",'Monthly Detail'!$D$3:$D$92,$A35)</f>
        <v>16</v>
      </c>
      <c r="G35" s="9" t="n">
        <f aca="false">SUMIFS('Monthly Detail'!$AD$3:$AD$92,'Monthly Detail'!$A$3:$A$92,2021,'Monthly Detail'!$B$3:$B$92,"Export",'Monthly Detail'!$C$3:$C$92,"Deer velvet extract",'Monthly Detail'!$D$3:$D$92,$A35)</f>
        <v>23841.5</v>
      </c>
      <c r="H35" s="13" t="n">
        <f aca="false">SUMIFS('Monthly Detail'!$AC$3:$AC$92,'Monthly Detail'!$A$3:$A$92,2022,'Monthly Detail'!$B$3:$B$92,"Export",'Monthly Detail'!$C$3:$C$92,"Deer velvet extract",'Monthly Detail'!$D$3:$D$92,$A35)</f>
        <v>24</v>
      </c>
      <c r="I35" s="9" t="n">
        <f aca="false">SUMIFS('Monthly Detail'!$AD$3:$AD$92,'Monthly Detail'!$A$3:$A$92,2022,'Monthly Detail'!$B$3:$B$92,"Export",'Monthly Detail'!$C$3:$C$92,"Deer velvet extract",'Monthly Detail'!$D$3:$D$92,$A35)</f>
        <v>44873.175</v>
      </c>
      <c r="J35" s="13" t="n">
        <f aca="false">SUMIFS('Monthly Detail'!$AC$3:$AC$92,'Monthly Detail'!$A$3:$A$92,2023,'Monthly Detail'!$B$3:$B$92,"Export",'Monthly Detail'!$C$3:$C$92,"Deer velvet extract",'Monthly Detail'!$D$3:$D$92,$A35)</f>
        <v>21</v>
      </c>
      <c r="K35" s="9" t="n">
        <f aca="false">SUMIFS('Monthly Detail'!$AD$3:$AD$92,'Monthly Detail'!$A$3:$A$92,2023,'Monthly Detail'!$B$3:$B$92,"Export",'Monthly Detail'!$C$3:$C$92,"Deer velvet extract",'Monthly Detail'!$D$3:$D$92,$A35)</f>
        <v>11114.835</v>
      </c>
      <c r="L35" s="13" t="n">
        <f aca="false">SUMIFS('Monthly Detail'!$AC$3:$AC$92,'Monthly Detail'!$A$3:$A$92,2024,'Monthly Detail'!$B$3:$B$92,"Export",'Monthly Detail'!$C$3:$C$92,"Deer velvet extract",'Monthly Detail'!$D$3:$D$92,$A35)</f>
        <v>23</v>
      </c>
      <c r="M35" s="9" t="n">
        <f aca="false">SUMIFS('Monthly Detail'!$AD$3:$AD$92,'Monthly Detail'!$A$3:$A$92,2024,'Monthly Detail'!$B$3:$B$92,"Export",'Monthly Detail'!$C$3:$C$92,"Deer velvet extract",'Monthly Detail'!$D$3:$D$92,$A35)</f>
        <v>18884.23</v>
      </c>
      <c r="N35" s="13" t="n">
        <f aca="false">SUMIFS('Monthly Detail'!$AC$3:$AC$92,'Monthly Detail'!$A$3:$A$92,2025,'Monthly Detail'!$B$3:$B$92,"Export",'Monthly Detail'!$C$3:$C$92,"Deer velvet extract",'Monthly Detail'!$D$3:$D$92,$A35)</f>
        <v>13</v>
      </c>
      <c r="O35" s="9" t="n">
        <f aca="false">SUMIFS('Monthly Detail'!$AD$3:$AD$92,'Monthly Detail'!$A$3:$A$92,2025,'Monthly Detail'!$B$3:$B$92,"Export",'Monthly Detail'!$C$3:$C$92,"Deer velvet extract",'Monthly Detail'!$D$3:$D$92,$A35)</f>
        <v>17805.45</v>
      </c>
      <c r="P35" s="13" t="n">
        <f aca="false">SUMIFS('Monthly Detail'!$AC$3:$AC$92,'Monthly Detail'!$A$3:$A$92,2026,'Monthly Detail'!$B$3:$B$92,"Export",'Monthly Detail'!$C$3:$C$92,"Deer velvet extract",'Monthly Detail'!$D$3:$D$92,$A35)</f>
        <v>0</v>
      </c>
      <c r="Q35" s="9" t="n">
        <f aca="false">SUMIFS('Monthly Detail'!$AD$3:$AD$92,'Monthly Detail'!$A$3:$A$92,2026,'Monthly Detail'!$B$3:$B$92,"Export",'Monthly Detail'!$C$3:$C$92,"Deer velvet extract",'Monthly Detail'!$D$3:$D$92,$A35)</f>
        <v>0</v>
      </c>
    </row>
    <row r="36" customFormat="false" ht="15" hidden="false" customHeight="false" outlineLevel="0" collapsed="false">
      <c r="A36" s="18" t="s">
        <v>98</v>
      </c>
      <c r="B36" s="19" t="n">
        <f aca="false">SUM(B34:B35)</f>
        <v>8</v>
      </c>
      <c r="C36" s="20" t="n">
        <f aca="false">SUM(C34:C35)</f>
        <v>20377.8</v>
      </c>
      <c r="D36" s="19" t="n">
        <f aca="false">SUM(D34:D35)</f>
        <v>11</v>
      </c>
      <c r="E36" s="20" t="n">
        <f aca="false">SUM(E34:E35)</f>
        <v>29188.95</v>
      </c>
      <c r="F36" s="19" t="n">
        <f aca="false">SUM(F34:F35)</f>
        <v>21</v>
      </c>
      <c r="G36" s="20" t="n">
        <f aca="false">SUM(G34:G35)</f>
        <v>25651.5</v>
      </c>
      <c r="H36" s="19" t="n">
        <f aca="false">SUM(H34:H35)</f>
        <v>26</v>
      </c>
      <c r="I36" s="20" t="n">
        <f aca="false">SUM(I34:I35)</f>
        <v>45609.175</v>
      </c>
      <c r="J36" s="19" t="n">
        <f aca="false">SUM(J34:J35)</f>
        <v>21</v>
      </c>
      <c r="K36" s="20" t="n">
        <f aca="false">SUM(K34:K35)</f>
        <v>11114.835</v>
      </c>
      <c r="L36" s="19" t="n">
        <f aca="false">SUM(L34:L35)</f>
        <v>25</v>
      </c>
      <c r="M36" s="20" t="n">
        <f aca="false">SUM(M34:M35)</f>
        <v>19038.23</v>
      </c>
      <c r="N36" s="19" t="n">
        <f aca="false">SUM(N34:N35)</f>
        <v>14</v>
      </c>
      <c r="O36" s="20" t="n">
        <f aca="false">SUM(O34:O35)</f>
        <v>17919.45</v>
      </c>
      <c r="P36" s="19" t="n">
        <f aca="false">SUM(P34:P35)</f>
        <v>0</v>
      </c>
      <c r="Q36" s="20" t="n">
        <f aca="false">SUM(Q34:Q35)</f>
        <v>0</v>
      </c>
    </row>
    <row r="39" customFormat="false" ht="15" hidden="false" customHeight="false" outlineLevel="0" collapsed="false">
      <c r="A39" s="17" t="s">
        <v>102</v>
      </c>
    </row>
    <row r="40" customFormat="false" ht="15" hidden="false" customHeight="false" outlineLevel="0" collapsed="false">
      <c r="A40" s="6" t="s">
        <v>37</v>
      </c>
      <c r="B40" s="6" t="s">
        <v>82</v>
      </c>
      <c r="C40" s="6" t="s">
        <v>83</v>
      </c>
      <c r="D40" s="6" t="s">
        <v>84</v>
      </c>
      <c r="E40" s="6" t="s">
        <v>85</v>
      </c>
      <c r="F40" s="6" t="s">
        <v>86</v>
      </c>
      <c r="G40" s="6" t="s">
        <v>87</v>
      </c>
      <c r="H40" s="6" t="s">
        <v>88</v>
      </c>
      <c r="I40" s="6" t="s">
        <v>89</v>
      </c>
      <c r="J40" s="6" t="s">
        <v>90</v>
      </c>
      <c r="K40" s="6" t="s">
        <v>91</v>
      </c>
      <c r="L40" s="6" t="s">
        <v>92</v>
      </c>
      <c r="M40" s="6" t="s">
        <v>93</v>
      </c>
      <c r="N40" s="6" t="s">
        <v>94</v>
      </c>
      <c r="O40" s="6" t="s">
        <v>95</v>
      </c>
      <c r="P40" s="6" t="s">
        <v>96</v>
      </c>
      <c r="Q40" s="6" t="s">
        <v>97</v>
      </c>
    </row>
    <row r="41" customFormat="false" ht="15" hidden="false" customHeight="false" outlineLevel="0" collapsed="false">
      <c r="A41" s="3" t="s">
        <v>47</v>
      </c>
      <c r="B41" s="13" t="n">
        <f aca="false">SUMIFS('Monthly Detail'!$AC$3:$AC$92,'Monthly Detail'!$A$3:$A$92,2019,'Monthly Detail'!$B$3:$B$92,"Import",'Monthly Detail'!$C$3:$C$92,"Deer velvet extract",'Monthly Detail'!$D$3:$D$92,$A41)</f>
        <v>0</v>
      </c>
      <c r="C41" s="9" t="n">
        <f aca="false">SUMIFS('Monthly Detail'!$AD$3:$AD$92,'Monthly Detail'!$A$3:$A$92,2019,'Monthly Detail'!$B$3:$B$92,"Import",'Monthly Detail'!$C$3:$C$92,"Deer velvet extract",'Monthly Detail'!$D$3:$D$92,$A41)</f>
        <v>0</v>
      </c>
      <c r="D41" s="13" t="n">
        <f aca="false">SUMIFS('Monthly Detail'!$AC$3:$AC$92,'Monthly Detail'!$A$3:$A$92,2020,'Monthly Detail'!$B$3:$B$92,"Import",'Monthly Detail'!$C$3:$C$92,"Deer velvet extract",'Monthly Detail'!$D$3:$D$92,$A41)</f>
        <v>0</v>
      </c>
      <c r="E41" s="9" t="n">
        <f aca="false">SUMIFS('Monthly Detail'!$AD$3:$AD$92,'Monthly Detail'!$A$3:$A$92,2020,'Monthly Detail'!$B$3:$B$92,"Import",'Monthly Detail'!$C$3:$C$92,"Deer velvet extract",'Monthly Detail'!$D$3:$D$92,$A41)</f>
        <v>0</v>
      </c>
      <c r="F41" s="13" t="n">
        <f aca="false">SUMIFS('Monthly Detail'!$AC$3:$AC$92,'Monthly Detail'!$A$3:$A$92,2021,'Monthly Detail'!$B$3:$B$92,"Import",'Monthly Detail'!$C$3:$C$92,"Deer velvet extract",'Monthly Detail'!$D$3:$D$92,$A41)</f>
        <v>0</v>
      </c>
      <c r="G41" s="9" t="n">
        <f aca="false">SUMIFS('Monthly Detail'!$AD$3:$AD$92,'Monthly Detail'!$A$3:$A$92,2021,'Monthly Detail'!$B$3:$B$92,"Import",'Monthly Detail'!$C$3:$C$92,"Deer velvet extract",'Monthly Detail'!$D$3:$D$92,$A41)</f>
        <v>0</v>
      </c>
      <c r="H41" s="13" t="n">
        <f aca="false">SUMIFS('Monthly Detail'!$AC$3:$AC$92,'Monthly Detail'!$A$3:$A$92,2022,'Monthly Detail'!$B$3:$B$92,"Import",'Monthly Detail'!$C$3:$C$92,"Deer velvet extract",'Monthly Detail'!$D$3:$D$92,$A41)</f>
        <v>0</v>
      </c>
      <c r="I41" s="9" t="n">
        <f aca="false">SUMIFS('Monthly Detail'!$AD$3:$AD$92,'Monthly Detail'!$A$3:$A$92,2022,'Monthly Detail'!$B$3:$B$92,"Import",'Monthly Detail'!$C$3:$C$92,"Deer velvet extract",'Monthly Detail'!$D$3:$D$92,$A41)</f>
        <v>0</v>
      </c>
      <c r="J41" s="13" t="n">
        <f aca="false">SUMIFS('Monthly Detail'!$AC$3:$AC$92,'Monthly Detail'!$A$3:$A$92,2023,'Monthly Detail'!$B$3:$B$92,"Import",'Monthly Detail'!$C$3:$C$92,"Deer velvet extract",'Monthly Detail'!$D$3:$D$92,$A41)</f>
        <v>0</v>
      </c>
      <c r="K41" s="9" t="n">
        <f aca="false">SUMIFS('Monthly Detail'!$AD$3:$AD$92,'Monthly Detail'!$A$3:$A$92,2023,'Monthly Detail'!$B$3:$B$92,"Import",'Monthly Detail'!$C$3:$C$92,"Deer velvet extract",'Monthly Detail'!$D$3:$D$92,$A41)</f>
        <v>0</v>
      </c>
      <c r="L41" s="13" t="n">
        <f aca="false">SUMIFS('Monthly Detail'!$AC$3:$AC$92,'Monthly Detail'!$A$3:$A$92,2024,'Monthly Detail'!$B$3:$B$92,"Import",'Monthly Detail'!$C$3:$C$92,"Deer velvet extract",'Monthly Detail'!$D$3:$D$92,$A41)</f>
        <v>0</v>
      </c>
      <c r="M41" s="9" t="n">
        <f aca="false">SUMIFS('Monthly Detail'!$AD$3:$AD$92,'Monthly Detail'!$A$3:$A$92,2024,'Monthly Detail'!$B$3:$B$92,"Import",'Monthly Detail'!$C$3:$C$92,"Deer velvet extract",'Monthly Detail'!$D$3:$D$92,$A41)</f>
        <v>0</v>
      </c>
      <c r="N41" s="13" t="n">
        <f aca="false">SUMIFS('Monthly Detail'!$AC$3:$AC$92,'Monthly Detail'!$A$3:$A$92,2025,'Monthly Detail'!$B$3:$B$92,"Import",'Monthly Detail'!$C$3:$C$92,"Deer velvet extract",'Monthly Detail'!$D$3:$D$92,$A41)</f>
        <v>1</v>
      </c>
      <c r="O41" s="9" t="n">
        <f aca="false">SUMIFS('Monthly Detail'!$AD$3:$AD$92,'Monthly Detail'!$A$3:$A$92,2025,'Monthly Detail'!$B$3:$B$92,"Import",'Monthly Detail'!$C$3:$C$92,"Deer velvet extract",'Monthly Detail'!$D$3:$D$92,$A41)</f>
        <v>222.96</v>
      </c>
      <c r="P41" s="13" t="n">
        <f aca="false">SUMIFS('Monthly Detail'!$AC$3:$AC$92,'Monthly Detail'!$A$3:$A$92,2026,'Monthly Detail'!$B$3:$B$92,"Import",'Monthly Detail'!$C$3:$C$92,"Deer velvet extract",'Monthly Detail'!$D$3:$D$92,$A41)</f>
        <v>0</v>
      </c>
      <c r="Q41" s="9" t="n">
        <f aca="false">SUMIFS('Monthly Detail'!$AD$3:$AD$92,'Monthly Detail'!$A$3:$A$92,2026,'Monthly Detail'!$B$3:$B$92,"Import",'Monthly Detail'!$C$3:$C$92,"Deer velvet extract",'Monthly Detail'!$D$3:$D$92,$A41)</f>
        <v>0</v>
      </c>
    </row>
    <row r="42" customFormat="false" ht="15" hidden="false" customHeight="false" outlineLevel="0" collapsed="false">
      <c r="A42" s="18" t="s">
        <v>98</v>
      </c>
      <c r="B42" s="19" t="n">
        <f aca="false">SUM(B41:B41)</f>
        <v>0</v>
      </c>
      <c r="C42" s="20" t="n">
        <f aca="false">SUM(C41:C41)</f>
        <v>0</v>
      </c>
      <c r="D42" s="19" t="n">
        <f aca="false">SUM(D41:D41)</f>
        <v>0</v>
      </c>
      <c r="E42" s="20" t="n">
        <f aca="false">SUM(E41:E41)</f>
        <v>0</v>
      </c>
      <c r="F42" s="19" t="n">
        <f aca="false">SUM(F41:F41)</f>
        <v>0</v>
      </c>
      <c r="G42" s="20" t="n">
        <f aca="false">SUM(G41:G41)</f>
        <v>0</v>
      </c>
      <c r="H42" s="19" t="n">
        <f aca="false">SUM(H41:H41)</f>
        <v>0</v>
      </c>
      <c r="I42" s="20" t="n">
        <f aca="false">SUM(I41:I41)</f>
        <v>0</v>
      </c>
      <c r="J42" s="19" t="n">
        <f aca="false">SUM(J41:J41)</f>
        <v>0</v>
      </c>
      <c r="K42" s="20" t="n">
        <f aca="false">SUM(K41:K41)</f>
        <v>0</v>
      </c>
      <c r="L42" s="19" t="n">
        <f aca="false">SUM(L41:L41)</f>
        <v>0</v>
      </c>
      <c r="M42" s="20" t="n">
        <f aca="false">SUM(M41:M41)</f>
        <v>0</v>
      </c>
      <c r="N42" s="19" t="n">
        <f aca="false">SUM(N41:N41)</f>
        <v>1</v>
      </c>
      <c r="O42" s="20" t="n">
        <f aca="false">SUM(O41:O41)</f>
        <v>222.96</v>
      </c>
      <c r="P42" s="19" t="n">
        <f aca="false">SUM(P41:P41)</f>
        <v>0</v>
      </c>
      <c r="Q42" s="20" t="n">
        <f aca="false">SUM(Q41:Q41)</f>
        <v>0</v>
      </c>
    </row>
    <row r="45" customFormat="false" ht="15" hidden="false" customHeight="false" outlineLevel="0" collapsed="false">
      <c r="A45" s="2" t="s">
        <v>103</v>
      </c>
    </row>
    <row r="46" customFormat="false" ht="15" hidden="false" customHeight="false" outlineLevel="0" collapsed="false">
      <c r="A46" s="2" t="s">
        <v>104</v>
      </c>
    </row>
    <row r="47" customFormat="false" ht="15" hidden="false" customHeight="false" outlineLevel="0" collapsed="false">
      <c r="A47" s="2" t="s">
        <v>105</v>
      </c>
    </row>
    <row r="48" customFormat="false" ht="15" hidden="false" customHeight="false" outlineLevel="0" collapsed="false">
      <c r="A48" s="2" t="s">
        <v>106</v>
      </c>
    </row>
    <row r="49" customFormat="false" ht="15" hidden="false" customHeight="false" outlineLevel="0" collapsed="false">
      <c r="A49" s="2" t="s">
        <v>107</v>
      </c>
    </row>
    <row r="50" customFormat="false" ht="15" hidden="false" customHeight="false" outlineLevel="0" collapsed="false">
      <c r="A50" s="2" t="s">
        <v>108</v>
      </c>
    </row>
    <row r="51" customFormat="false" ht="15" hidden="false" customHeight="false" outlineLevel="0" collapsed="false">
      <c r="A51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2026-07-20T19:52:19Z</dcterms:created>
  <dc:creator>openpyxl</dc:creator>
  <dc:description/>
  <dc:language>en-US</dc:language>
  <cp:lastModifiedBy/>
  <dcterms:modified xsi:type="dcterms:W3CDTF">2026-07-20T19:52:45Z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