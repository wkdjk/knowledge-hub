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/>
  <mc:AlternateContent xmlns:mc="http://schemas.openxmlformats.org/markup-compatibility/2006">
    <mc:Choice Requires="x15">
      <x15ac:absPath xmlns:x15ac="http://schemas.microsoft.com/office/spreadsheetml/2010/11/ac" url="https://atlatitude.sharepoint.com/sites/dinz/Shared Documents/Quarterly reports/"/>
    </mc:Choice>
  </mc:AlternateContent>
  <xr:revisionPtr revIDLastSave="1103" documentId="13_ncr:1_{55ACD1C6-F21F-4EB2-97A4-38D5EE3F7FFE}" xr6:coauthVersionLast="47" xr6:coauthVersionMax="47" xr10:uidLastSave="{7C0D8868-9C04-48C1-B0C9-7E8E06978E93}"/>
  <bookViews>
    <workbookView xWindow="460" yWindow="1240" windowWidth="29400" windowHeight="17560" xr2:uid="{00000000-000D-0000-FFFF-FFFF00000000}"/>
  </bookViews>
  <sheets>
    <sheet name="Quarantine stats" sheetId="1" r:id="rId1"/>
  </sheets>
  <definedNames>
    <definedName name="_Toc479774925" localSheetId="0">'Quarantine stats'!#REF!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" i="1" l="1"/>
  <c r="S12" i="1"/>
  <c r="P12" i="1"/>
  <c r="M29" i="1"/>
  <c r="N29" i="1"/>
  <c r="O29" i="1"/>
  <c r="O37" i="1"/>
  <c r="O36" i="1"/>
  <c r="O35" i="1"/>
  <c r="O34" i="1"/>
  <c r="O13" i="1"/>
  <c r="O12" i="1"/>
  <c r="S13" i="1"/>
  <c r="P13" i="1"/>
  <c r="P29" i="1"/>
  <c r="P34" i="1"/>
  <c r="P35" i="1"/>
  <c r="P36" i="1"/>
  <c r="P37" i="1"/>
  <c r="N12" i="1"/>
  <c r="O38" i="1" l="1"/>
  <c r="O41" i="1" s="1"/>
  <c r="O42" i="1"/>
  <c r="O43" i="1"/>
  <c r="O44" i="1"/>
  <c r="P38" i="1"/>
  <c r="P42" i="1" s="1"/>
  <c r="M12" i="1"/>
  <c r="P43" i="1" l="1"/>
  <c r="P44" i="1"/>
  <c r="P41" i="1"/>
  <c r="M37" i="1"/>
  <c r="M36" i="1"/>
  <c r="M35" i="1"/>
  <c r="M34" i="1"/>
  <c r="M13" i="1"/>
  <c r="L37" i="1"/>
  <c r="L36" i="1"/>
  <c r="L35" i="1"/>
  <c r="L34" i="1"/>
  <c r="L29" i="1"/>
  <c r="L13" i="1"/>
  <c r="L38" i="1" s="1"/>
  <c r="N35" i="1"/>
  <c r="N34" i="1"/>
  <c r="W13" i="1"/>
  <c r="X13" i="1"/>
  <c r="T13" i="1"/>
  <c r="N13" i="1"/>
  <c r="C13" i="1"/>
  <c r="D13" i="1"/>
  <c r="E13" i="1"/>
  <c r="F13" i="1"/>
  <c r="G13" i="1"/>
  <c r="H13" i="1"/>
  <c r="C29" i="1"/>
  <c r="D29" i="1"/>
  <c r="E29" i="1"/>
  <c r="F29" i="1"/>
  <c r="G29" i="1"/>
  <c r="H29" i="1"/>
  <c r="I29" i="1"/>
  <c r="J29" i="1"/>
  <c r="K29" i="1"/>
  <c r="K12" i="1"/>
  <c r="K13" i="1" s="1"/>
  <c r="I12" i="1"/>
  <c r="I13" i="1" s="1"/>
  <c r="J12" i="1"/>
  <c r="J13" i="1" s="1"/>
  <c r="C34" i="1"/>
  <c r="D34" i="1"/>
  <c r="C35" i="1"/>
  <c r="D35" i="1"/>
  <c r="C36" i="1"/>
  <c r="D36" i="1"/>
  <c r="C37" i="1"/>
  <c r="D37" i="1"/>
  <c r="N36" i="1"/>
  <c r="N37" i="1"/>
  <c r="F34" i="1"/>
  <c r="G34" i="1"/>
  <c r="H34" i="1"/>
  <c r="I34" i="1"/>
  <c r="J34" i="1"/>
  <c r="K34" i="1"/>
  <c r="F35" i="1"/>
  <c r="G35" i="1"/>
  <c r="H35" i="1"/>
  <c r="I35" i="1"/>
  <c r="J35" i="1"/>
  <c r="K35" i="1"/>
  <c r="F36" i="1"/>
  <c r="G36" i="1"/>
  <c r="H36" i="1"/>
  <c r="I36" i="1"/>
  <c r="J36" i="1"/>
  <c r="K36" i="1"/>
  <c r="F37" i="1"/>
  <c r="G37" i="1"/>
  <c r="H37" i="1"/>
  <c r="I37" i="1"/>
  <c r="J37" i="1"/>
  <c r="K37" i="1"/>
  <c r="E35" i="1"/>
  <c r="E36" i="1"/>
  <c r="E37" i="1"/>
  <c r="E34" i="1"/>
  <c r="M38" i="1" l="1"/>
  <c r="M43" i="1" s="1"/>
  <c r="L41" i="1"/>
  <c r="L42" i="1"/>
  <c r="L43" i="1"/>
  <c r="L44" i="1"/>
  <c r="G38" i="1"/>
  <c r="G41" i="1" s="1"/>
  <c r="D38" i="1"/>
  <c r="D43" i="1" s="1"/>
  <c r="C38" i="1"/>
  <c r="C42" i="1" s="1"/>
  <c r="E38" i="1"/>
  <c r="E44" i="1" s="1"/>
  <c r="H38" i="1"/>
  <c r="H44" i="1" s="1"/>
  <c r="F38" i="1"/>
  <c r="F42" i="1" s="1"/>
  <c r="J38" i="1"/>
  <c r="J43" i="1" s="1"/>
  <c r="I38" i="1"/>
  <c r="I42" i="1" s="1"/>
  <c r="N38" i="1"/>
  <c r="N41" i="1" s="1"/>
  <c r="G42" i="1"/>
  <c r="G43" i="1"/>
  <c r="K38" i="1"/>
  <c r="K43" i="1" s="1"/>
  <c r="C44" i="1"/>
  <c r="C43" i="1"/>
  <c r="D41" i="1" l="1"/>
  <c r="G44" i="1"/>
  <c r="C41" i="1"/>
  <c r="D42" i="1"/>
  <c r="M41" i="1"/>
  <c r="M42" i="1"/>
  <c r="M44" i="1"/>
  <c r="H43" i="1"/>
  <c r="D44" i="1"/>
  <c r="E41" i="1"/>
  <c r="H42" i="1"/>
  <c r="H41" i="1"/>
  <c r="F43" i="1"/>
  <c r="E42" i="1"/>
  <c r="E43" i="1"/>
  <c r="F41" i="1"/>
  <c r="F44" i="1"/>
  <c r="K41" i="1"/>
  <c r="K42" i="1"/>
  <c r="K44" i="1"/>
  <c r="N42" i="1"/>
  <c r="J41" i="1"/>
  <c r="J42" i="1"/>
  <c r="J44" i="1"/>
  <c r="I44" i="1"/>
  <c r="I41" i="1"/>
  <c r="I43" i="1"/>
  <c r="N43" i="1"/>
  <c r="N44" i="1"/>
</calcChain>
</file>

<file path=xl/sharedStrings.xml><?xml version="1.0" encoding="utf-8"?>
<sst xmlns="http://schemas.openxmlformats.org/spreadsheetml/2006/main" count="81" uniqueCount="34">
  <si>
    <t>https://eminwon.qia.go.kr/statistics/statistics_No2.jsp</t>
  </si>
  <si>
    <t>Quarantine statistics of deer velvet from major export countries</t>
  </si>
  <si>
    <t>Rolling year</t>
  </si>
  <si>
    <r>
      <t>Dried velvet</t>
    </r>
    <r>
      <rPr>
        <sz val="11"/>
        <color theme="1"/>
        <rFont val="Calibri"/>
        <family val="2"/>
      </rPr>
      <t xml:space="preserve"> (kg)</t>
    </r>
  </si>
  <si>
    <r>
      <rPr>
        <b/>
        <sz val="11"/>
        <color theme="1"/>
        <rFont val="Calibri"/>
        <family val="2"/>
        <scheme val="minor"/>
      </rPr>
      <t>Dried velvet</t>
    </r>
    <r>
      <rPr>
        <sz val="11"/>
        <color theme="1"/>
        <rFont val="Calibri"/>
        <family val="2"/>
        <scheme val="minor"/>
      </rPr>
      <t xml:space="preserve"> (kg)</t>
    </r>
  </si>
  <si>
    <r>
      <rPr>
        <b/>
        <sz val="11"/>
        <color theme="1"/>
        <rFont val="Calibri"/>
        <family val="2"/>
        <scheme val="minor"/>
      </rPr>
      <t xml:space="preserve">Frozen velvet </t>
    </r>
    <r>
      <rPr>
        <sz val="11"/>
        <color theme="1"/>
        <rFont val="Calibri"/>
        <family val="2"/>
        <scheme val="minor"/>
      </rPr>
      <t>(kg)</t>
    </r>
  </si>
  <si>
    <t>Country</t>
  </si>
  <si>
    <t>2026 (~Jun)</t>
  </si>
  <si>
    <t>Jul 2024 –</t>
  </si>
  <si>
    <t>Jul 2025 –</t>
  </si>
  <si>
    <t>New Zealand</t>
  </si>
  <si>
    <t>Jun 2025</t>
  </si>
  <si>
    <t>Jun 2026</t>
  </si>
  <si>
    <t>China</t>
  </si>
  <si>
    <t>Russia</t>
  </si>
  <si>
    <t>Hong Kong</t>
  </si>
  <si>
    <t>Singapore</t>
  </si>
  <si>
    <t>Kazakhstan</t>
  </si>
  <si>
    <t>Australia</t>
  </si>
  <si>
    <t>USA</t>
  </si>
  <si>
    <t>Others</t>
  </si>
  <si>
    <t>Total</t>
  </si>
  <si>
    <r>
      <t>Frozen velvet</t>
    </r>
    <r>
      <rPr>
        <sz val="11"/>
        <color theme="1"/>
        <rFont val="Calibri"/>
        <family val="2"/>
      </rPr>
      <t xml:space="preserve"> (kg)</t>
    </r>
  </si>
  <si>
    <t>Japan</t>
  </si>
  <si>
    <t>Canada</t>
  </si>
  <si>
    <t>Thailand</t>
  </si>
  <si>
    <t>Vietnam</t>
  </si>
  <si>
    <t>Argentina</t>
    <phoneticPr fontId="2" type="noConversion"/>
  </si>
  <si>
    <t>Others</t>
    <phoneticPr fontId="2" type="noConversion"/>
  </si>
  <si>
    <t>Totals - dried equivalent (kg)</t>
  </si>
  <si>
    <t>Market share</t>
  </si>
  <si>
    <t>수출입 동축산물 검역 현황</t>
  </si>
  <si>
    <t>품목-국가별 수출입현황 &gt; 수입축산물 &gt; 기타축산물 &gt; 녹용</t>
  </si>
  <si>
    <t>품목-국가별 수출입현황 &gt; 수입축산물 &gt; 기타축산물 &gt; 생녹용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</si>
</sst>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#,##0.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1F497D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70">
    <xf numFmtId="0" fontId="0" fillId="0" borderId="0" xfId="0"/>
    <xf numFmtId="0" fontId="4" fillId="0" borderId="0" xfId="0" applyFont="1"/>
    <xf numFmtId="166" fontId="4" fillId="0" borderId="0" xfId="1" applyNumberFormat="1" applyFont="1"/>
    <xf numFmtId="0" fontId="5" fillId="0" borderId="0" xfId="0" applyFont="1" applyAlignment="1">
      <alignment horizontal="justify" vertical="center"/>
    </xf>
    <xf numFmtId="166" fontId="5" fillId="0" borderId="0" xfId="1" applyNumberFormat="1" applyFont="1" applyBorder="1" applyAlignment="1">
      <alignment horizontal="right" vertical="center"/>
    </xf>
    <xf numFmtId="166" fontId="5" fillId="0" borderId="0" xfId="1" applyNumberFormat="1" applyFont="1" applyBorder="1" applyAlignment="1">
      <alignment horizontal="right" vertical="center" wrapText="1"/>
    </xf>
    <xf numFmtId="0" fontId="0" fillId="0" borderId="1" xfId="0" applyBorder="1"/>
    <xf numFmtId="9" fontId="0" fillId="0" borderId="1" xfId="3" applyFont="1" applyBorder="1" applyAlignment="1"/>
    <xf numFmtId="0" fontId="7" fillId="0" borderId="1" xfId="0" applyFont="1" applyBorder="1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0" borderId="0" xfId="4"/>
    <xf numFmtId="9" fontId="4" fillId="0" borderId="0" xfId="0" applyNumberFormat="1" applyFont="1"/>
    <xf numFmtId="0" fontId="4" fillId="2" borderId="0" xfId="0" applyFont="1" applyFill="1" applyAlignment="1">
      <alignment horizontal="justify" vertical="center" wrapText="1"/>
    </xf>
    <xf numFmtId="0" fontId="5" fillId="0" borderId="0" xfId="0" applyFont="1"/>
    <xf numFmtId="164" fontId="11" fillId="0" borderId="1" xfId="2" applyFont="1" applyBorder="1" applyAlignment="1"/>
    <xf numFmtId="164" fontId="13" fillId="0" borderId="1" xfId="2" applyFont="1" applyBorder="1" applyAlignme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7" fontId="7" fillId="0" borderId="1" xfId="0" quotePrefix="1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justify" vertical="center"/>
    </xf>
    <xf numFmtId="3" fontId="8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justify" vertical="center" wrapText="1"/>
    </xf>
    <xf numFmtId="0" fontId="12" fillId="2" borderId="1" xfId="0" applyFont="1" applyFill="1" applyBorder="1" applyAlignment="1">
      <alignment horizontal="justify" vertical="center"/>
    </xf>
    <xf numFmtId="3" fontId="1" fillId="0" borderId="1" xfId="0" applyNumberFormat="1" applyFont="1" applyBorder="1" applyAlignment="1">
      <alignment horizontal="right" vertical="center"/>
    </xf>
    <xf numFmtId="0" fontId="12" fillId="2" borderId="1" xfId="0" applyFont="1" applyFill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justify" vertical="center"/>
    </xf>
    <xf numFmtId="3" fontId="6" fillId="0" borderId="1" xfId="1" applyNumberFormat="1" applyFont="1" applyBorder="1" applyAlignment="1">
      <alignment horizontal="right" vertical="center"/>
    </xf>
    <xf numFmtId="3" fontId="4" fillId="0" borderId="1" xfId="1" applyNumberFormat="1" applyFont="1" applyBorder="1" applyAlignment="1">
      <alignment horizontal="right" vertical="center" wrapText="1"/>
    </xf>
    <xf numFmtId="3" fontId="6" fillId="0" borderId="1" xfId="1" applyNumberFormat="1" applyFont="1" applyBorder="1" applyAlignment="1">
      <alignment horizontal="right" vertical="center" wrapText="1"/>
    </xf>
    <xf numFmtId="3" fontId="8" fillId="0" borderId="1" xfId="1" applyNumberFormat="1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justify" vertical="center"/>
    </xf>
    <xf numFmtId="3" fontId="4" fillId="0" borderId="1" xfId="1" applyNumberFormat="1" applyFont="1" applyBorder="1" applyAlignment="1">
      <alignment horizontal="right" vertical="center"/>
    </xf>
    <xf numFmtId="3" fontId="1" fillId="0" borderId="1" xfId="1" applyNumberFormat="1" applyFont="1" applyBorder="1" applyAlignment="1">
      <alignment horizontal="right" vertical="center" wrapText="1"/>
    </xf>
    <xf numFmtId="3" fontId="3" fillId="0" borderId="1" xfId="1" applyNumberFormat="1" applyFont="1" applyBorder="1" applyAlignment="1">
      <alignment vertical="center"/>
    </xf>
    <xf numFmtId="3" fontId="4" fillId="0" borderId="1" xfId="1" applyNumberFormat="1" applyFont="1" applyBorder="1"/>
    <xf numFmtId="0" fontId="5" fillId="0" borderId="1" xfId="0" applyFont="1" applyBorder="1" applyAlignment="1">
      <alignment horizontal="justify" vertical="center"/>
    </xf>
    <xf numFmtId="3" fontId="10" fillId="0" borderId="1" xfId="1" applyNumberFormat="1" applyFont="1" applyBorder="1" applyAlignment="1">
      <alignment horizontal="right" vertical="center" wrapText="1"/>
    </xf>
    <xf numFmtId="3" fontId="5" fillId="0" borderId="1" xfId="1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3" fontId="7" fillId="0" borderId="1" xfId="1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67" fontId="1" fillId="0" borderId="1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7" fontId="4" fillId="0" borderId="1" xfId="1" applyNumberFormat="1" applyFont="1" applyBorder="1" applyAlignment="1">
      <alignment horizontal="right" vertical="center" wrapText="1"/>
    </xf>
    <xf numFmtId="167" fontId="1" fillId="0" borderId="1" xfId="1" applyNumberFormat="1" applyFont="1" applyBorder="1" applyAlignment="1">
      <alignment horizontal="right" vertical="center" wrapText="1"/>
    </xf>
    <xf numFmtId="4" fontId="4" fillId="0" borderId="0" xfId="0" applyNumberFormat="1" applyFont="1"/>
    <xf numFmtId="167" fontId="1" fillId="0" borderId="1" xfId="0" applyNumberFormat="1" applyFont="1" applyBorder="1" applyAlignment="1">
      <alignment horizontal="right" vertical="center"/>
    </xf>
    <xf numFmtId="167" fontId="12" fillId="0" borderId="1" xfId="0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right" vertical="center" wrapText="1"/>
    </xf>
    <xf numFmtId="167" fontId="8" fillId="0" borderId="1" xfId="1" applyNumberFormat="1" applyFont="1" applyBorder="1" applyAlignment="1">
      <alignment horizontal="right" vertical="center" wrapText="1"/>
    </xf>
  </cellXfs>
  <cellStyles count="5">
    <cellStyle name="Comma" xfId="1" builtinId="3"/>
    <cellStyle name="Comma [0]" xfId="2" builtinId="6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35278</xdr:colOff>
      <xdr:row>47</xdr:row>
      <xdr:rowOff>21240</xdr:rowOff>
    </xdr:from>
    <xdr:to>
      <xdr:col>8</xdr:col>
      <xdr:colOff>415370</xdr:colOff>
      <xdr:row>59</xdr:row>
      <xdr:rowOff>73286</xdr:rowOff>
    </xdr:to>
    <xdr:pic>
      <xdr:nvPicPr>
        <xdr:cNvPr id="4" name="Picture 3" descr="Dried velvet">
          <a:extLst>
            <a:ext uri="{FF2B5EF4-FFF2-40B4-BE49-F238E27FC236}">
              <a16:creationId xmlns:a16="http://schemas.microsoft.com/office/drawing/2014/main" id="{34020BFC-0C6C-33BF-E98D-AED82362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3222" y="6096073"/>
          <a:ext cx="5335139" cy="2352439"/>
        </a:xfrm>
        <a:prstGeom prst="rect">
          <a:avLst/>
        </a:prstGeom>
      </xdr:spPr>
    </xdr:pic>
    <xdr:clientData/>
  </xdr:twoCellAnchor>
  <xdr:twoCellAnchor editAs="oneCell">
    <xdr:from>
      <xdr:col>11</xdr:col>
      <xdr:colOff>52980</xdr:colOff>
      <xdr:row>47</xdr:row>
      <xdr:rowOff>53622</xdr:rowOff>
    </xdr:from>
    <xdr:to>
      <xdr:col>18</xdr:col>
      <xdr:colOff>320926</xdr:colOff>
      <xdr:row>59</xdr:row>
      <xdr:rowOff>113241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55A26A-1D5A-EBFA-0ECC-AD23E8AB90A4}"/>
            </a:ext>
            <a:ext uri="{147F2762-F138-4A5C-976F-8EAC2B608ADB}">
              <a16:predDERef xmlns:a16="http://schemas.microsoft.com/office/drawing/2014/main" pred="{34020BFC-0C6C-33BF-E98D-AED82362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120530" y="9445272"/>
          <a:ext cx="5160621" cy="2345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minwon.qia.go.kr/statistics/statistics_No2.jsp" TargetMode="External"/><Relationship Id="rId1" Type="http://schemas.openxmlformats.org/officeDocument/2006/relationships/hyperlink" Target="https://eminwon.qia.go.kr/statistics/statistics_No2.jsp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tabSelected="1" zoomScaleNormal="100" workbookViewId="0">
      <selection activeCell="I13" sqref="I13:P13"/>
    </sheetView>
  </sheetViews>
  <sheetFormatPr defaultColWidth="9" defaultRowHeight="15" customHeight="1"/>
  <cols>
    <col min="1" max="1" width="10.42578125" style="1" customWidth="1"/>
    <col min="2" max="2" width="17.140625" style="1" customWidth="1"/>
    <col min="3" max="15" width="8.85546875" style="2" customWidth="1"/>
    <col min="16" max="16" width="13.140625" style="2" customWidth="1"/>
    <col min="17" max="17" width="9" style="1"/>
    <col min="18" max="18" width="15.42578125" style="1" customWidth="1"/>
    <col min="19" max="20" width="12.140625" style="1" customWidth="1"/>
    <col min="21" max="21" width="1.42578125" style="1" customWidth="1"/>
    <col min="22" max="22" width="18" style="1" customWidth="1"/>
    <col min="23" max="24" width="12.140625" style="1" customWidth="1"/>
    <col min="25" max="30" width="8.42578125" style="1" bestFit="1" customWidth="1"/>
    <col min="31" max="16384" width="9" style="1"/>
  </cols>
  <sheetData>
    <row r="1" spans="1:24" ht="30" customHeight="1">
      <c r="A1" s="12" t="s">
        <v>0</v>
      </c>
      <c r="B1" s="15" t="s">
        <v>1</v>
      </c>
      <c r="R1" s="15" t="s">
        <v>2</v>
      </c>
      <c r="S1" s="2"/>
      <c r="T1" s="2"/>
      <c r="U1" s="2"/>
      <c r="V1" s="2"/>
      <c r="W1" s="2"/>
      <c r="X1" s="2"/>
    </row>
    <row r="2" spans="1:24" ht="15.95">
      <c r="B2" s="51" t="s">
        <v>3</v>
      </c>
      <c r="C2" s="52"/>
      <c r="D2" s="52"/>
      <c r="E2" s="52"/>
      <c r="F2" s="52"/>
      <c r="G2" s="52"/>
      <c r="H2" s="52"/>
      <c r="I2" s="52"/>
      <c r="J2" s="52"/>
      <c r="K2" s="52"/>
      <c r="L2" s="53"/>
      <c r="M2" s="53"/>
      <c r="N2" s="53"/>
      <c r="O2" s="53"/>
      <c r="P2" s="53"/>
      <c r="R2" s="58" t="s">
        <v>4</v>
      </c>
      <c r="S2" s="18"/>
      <c r="T2" s="18"/>
      <c r="U2" s="18"/>
      <c r="V2" s="59" t="s">
        <v>5</v>
      </c>
      <c r="W2" s="19"/>
      <c r="X2" s="19"/>
    </row>
    <row r="3" spans="1:24">
      <c r="B3" s="31" t="s">
        <v>6</v>
      </c>
      <c r="C3" s="32">
        <v>2013</v>
      </c>
      <c r="D3" s="32">
        <v>2014</v>
      </c>
      <c r="E3" s="32">
        <v>2015</v>
      </c>
      <c r="F3" s="32">
        <v>2016</v>
      </c>
      <c r="G3" s="32">
        <v>2017</v>
      </c>
      <c r="H3" s="32">
        <v>2018</v>
      </c>
      <c r="I3" s="32">
        <v>2019</v>
      </c>
      <c r="J3" s="32">
        <v>2020</v>
      </c>
      <c r="K3" s="32">
        <v>2021</v>
      </c>
      <c r="L3" s="20">
        <v>2022</v>
      </c>
      <c r="M3" s="20">
        <v>2023</v>
      </c>
      <c r="N3" s="20">
        <v>2024</v>
      </c>
      <c r="O3" s="20">
        <v>2025</v>
      </c>
      <c r="P3" s="20" t="s">
        <v>7</v>
      </c>
      <c r="R3" s="18" t="s">
        <v>6</v>
      </c>
      <c r="S3" s="20" t="s">
        <v>8</v>
      </c>
      <c r="T3" s="20" t="s">
        <v>9</v>
      </c>
      <c r="U3" s="20"/>
      <c r="V3" s="19" t="s">
        <v>6</v>
      </c>
      <c r="W3" s="20" t="s">
        <v>8</v>
      </c>
      <c r="X3" s="20" t="s">
        <v>9</v>
      </c>
    </row>
    <row r="4" spans="1:24">
      <c r="B4" s="33" t="s">
        <v>10</v>
      </c>
      <c r="C4" s="34">
        <v>24152</v>
      </c>
      <c r="D4" s="34">
        <v>14293</v>
      </c>
      <c r="E4" s="34">
        <v>15803</v>
      </c>
      <c r="F4" s="35">
        <v>33554</v>
      </c>
      <c r="G4" s="36">
        <v>61815</v>
      </c>
      <c r="H4" s="36">
        <v>78409.8</v>
      </c>
      <c r="I4" s="36">
        <v>44534.6</v>
      </c>
      <c r="J4" s="36">
        <v>37810.6</v>
      </c>
      <c r="K4" s="36">
        <v>24368.7</v>
      </c>
      <c r="L4" s="37">
        <v>39655.1</v>
      </c>
      <c r="M4" s="37">
        <v>47958</v>
      </c>
      <c r="N4" s="37">
        <v>16883.5</v>
      </c>
      <c r="O4" s="37">
        <v>8890.6</v>
      </c>
      <c r="P4" s="69">
        <v>3673.9</v>
      </c>
      <c r="R4" s="18"/>
      <c r="S4" s="21" t="s">
        <v>11</v>
      </c>
      <c r="T4" s="21" t="s">
        <v>12</v>
      </c>
      <c r="U4" s="21"/>
      <c r="V4" s="19"/>
      <c r="W4" s="21" t="s">
        <v>11</v>
      </c>
      <c r="X4" s="21" t="s">
        <v>12</v>
      </c>
    </row>
    <row r="5" spans="1:24">
      <c r="B5" s="38" t="s">
        <v>13</v>
      </c>
      <c r="C5" s="39">
        <v>54942</v>
      </c>
      <c r="D5" s="39">
        <v>78296</v>
      </c>
      <c r="E5" s="39">
        <v>60794</v>
      </c>
      <c r="F5" s="35">
        <v>68902</v>
      </c>
      <c r="G5" s="35">
        <v>61972</v>
      </c>
      <c r="H5" s="35">
        <v>74116.5</v>
      </c>
      <c r="I5" s="35">
        <v>69716.2</v>
      </c>
      <c r="J5" s="35">
        <v>77989.8</v>
      </c>
      <c r="K5" s="35">
        <v>72633.5</v>
      </c>
      <c r="L5" s="40">
        <v>89568.5</v>
      </c>
      <c r="M5" s="40">
        <v>74318</v>
      </c>
      <c r="N5" s="40">
        <v>89458.2</v>
      </c>
      <c r="O5" s="40">
        <v>90488.4</v>
      </c>
      <c r="P5" s="61">
        <v>36527.4</v>
      </c>
      <c r="R5" s="22" t="s">
        <v>10</v>
      </c>
      <c r="S5" s="37">
        <v>8827.5</v>
      </c>
      <c r="T5" s="37">
        <v>9724.7999999999993</v>
      </c>
      <c r="U5" s="23"/>
      <c r="V5" s="24" t="s">
        <v>10</v>
      </c>
      <c r="W5" s="69">
        <v>98552.9</v>
      </c>
      <c r="X5" s="69">
        <v>65899.600000000006</v>
      </c>
    </row>
    <row r="6" spans="1:24">
      <c r="B6" s="38" t="s">
        <v>14</v>
      </c>
      <c r="C6" s="39">
        <v>43140</v>
      </c>
      <c r="D6" s="39">
        <v>34369</v>
      </c>
      <c r="E6" s="39">
        <v>44523</v>
      </c>
      <c r="F6" s="35">
        <v>34275</v>
      </c>
      <c r="G6" s="35">
        <v>50989</v>
      </c>
      <c r="H6" s="35">
        <v>42131.6</v>
      </c>
      <c r="I6" s="35">
        <v>46449.599999999999</v>
      </c>
      <c r="J6" s="35">
        <v>54042.400000000001</v>
      </c>
      <c r="K6" s="35">
        <v>55986.400000000001</v>
      </c>
      <c r="L6" s="40">
        <v>43895.9</v>
      </c>
      <c r="M6" s="40">
        <v>29109.3</v>
      </c>
      <c r="N6" s="40">
        <v>39860.699999999997</v>
      </c>
      <c r="O6" s="40">
        <v>36440.5</v>
      </c>
      <c r="P6" s="61">
        <v>21258.7</v>
      </c>
      <c r="R6" s="25" t="s">
        <v>13</v>
      </c>
      <c r="S6" s="40">
        <v>71287.199999999997</v>
      </c>
      <c r="T6" s="40">
        <v>96050</v>
      </c>
      <c r="U6" s="26"/>
      <c r="V6" s="27" t="s">
        <v>13</v>
      </c>
      <c r="W6" s="61">
        <v>31.8</v>
      </c>
      <c r="X6" s="61">
        <v>1350</v>
      </c>
    </row>
    <row r="7" spans="1:24">
      <c r="B7" s="38" t="s">
        <v>15</v>
      </c>
      <c r="C7" s="39">
        <v>11322</v>
      </c>
      <c r="D7" s="39">
        <v>20976</v>
      </c>
      <c r="E7" s="39">
        <v>14500</v>
      </c>
      <c r="F7" s="35">
        <v>23115</v>
      </c>
      <c r="G7" s="35">
        <v>11293</v>
      </c>
      <c r="H7" s="35">
        <v>15402.4</v>
      </c>
      <c r="I7" s="35">
        <v>17827.5</v>
      </c>
      <c r="J7" s="35">
        <v>13700.7</v>
      </c>
      <c r="K7" s="35">
        <v>22372.1</v>
      </c>
      <c r="L7" s="40">
        <v>23835</v>
      </c>
      <c r="M7" s="40">
        <v>12596.6</v>
      </c>
      <c r="N7" s="40">
        <v>4346.5</v>
      </c>
      <c r="O7" s="40">
        <v>3698.6</v>
      </c>
      <c r="P7" s="40">
        <v>1800</v>
      </c>
      <c r="R7" s="25" t="s">
        <v>14</v>
      </c>
      <c r="S7" s="40">
        <v>41147.1</v>
      </c>
      <c r="T7" s="40">
        <v>32480.799999999999</v>
      </c>
      <c r="U7" s="26"/>
      <c r="V7" s="27" t="s">
        <v>14</v>
      </c>
      <c r="W7" s="63"/>
      <c r="X7" s="57"/>
    </row>
    <row r="8" spans="1:24">
      <c r="B8" s="38" t="s">
        <v>16</v>
      </c>
      <c r="C8" s="41"/>
      <c r="D8" s="39">
        <v>2241</v>
      </c>
      <c r="E8" s="41"/>
      <c r="F8" s="35">
        <v>1</v>
      </c>
      <c r="G8" s="35"/>
      <c r="H8" s="42"/>
      <c r="I8" s="42">
        <v>500.3</v>
      </c>
      <c r="J8" s="42"/>
      <c r="K8" s="42"/>
      <c r="L8" s="40"/>
      <c r="M8" s="40"/>
      <c r="N8" s="40"/>
      <c r="O8" s="40"/>
      <c r="P8" s="40"/>
      <c r="R8" s="25" t="s">
        <v>15</v>
      </c>
      <c r="S8" s="40">
        <v>6658.6</v>
      </c>
      <c r="T8" s="40">
        <v>3100</v>
      </c>
      <c r="U8" s="26"/>
      <c r="V8" s="27" t="s">
        <v>15</v>
      </c>
      <c r="W8" s="63"/>
      <c r="X8" s="61">
        <v>0.1</v>
      </c>
    </row>
    <row r="9" spans="1:24">
      <c r="B9" s="38" t="s">
        <v>17</v>
      </c>
      <c r="C9" s="39">
        <v>1786</v>
      </c>
      <c r="D9" s="39">
        <v>1986</v>
      </c>
      <c r="E9" s="39">
        <v>2035</v>
      </c>
      <c r="F9" s="35">
        <v>1390</v>
      </c>
      <c r="G9" s="35">
        <v>1080.5999999999999</v>
      </c>
      <c r="H9" s="35">
        <v>1270.2</v>
      </c>
      <c r="I9" s="35">
        <v>701</v>
      </c>
      <c r="J9" s="35">
        <v>2354</v>
      </c>
      <c r="K9" s="35">
        <v>1428</v>
      </c>
      <c r="L9" s="40">
        <v>2096.8000000000002</v>
      </c>
      <c r="M9" s="40">
        <v>1094.8</v>
      </c>
      <c r="N9" s="40">
        <v>413</v>
      </c>
      <c r="O9" s="40">
        <v>1058</v>
      </c>
      <c r="P9" s="40"/>
      <c r="R9" s="25" t="s">
        <v>17</v>
      </c>
      <c r="S9" s="40">
        <v>413</v>
      </c>
      <c r="T9" s="40">
        <v>1058</v>
      </c>
      <c r="U9" s="26"/>
      <c r="V9" s="27" t="s">
        <v>17</v>
      </c>
      <c r="W9" s="63"/>
      <c r="X9" s="57"/>
    </row>
    <row r="10" spans="1:24">
      <c r="B10" s="38" t="s">
        <v>18</v>
      </c>
      <c r="C10" s="39">
        <v>56</v>
      </c>
      <c r="D10" s="39">
        <v>55</v>
      </c>
      <c r="E10" s="39">
        <v>25</v>
      </c>
      <c r="F10" s="35">
        <v>19</v>
      </c>
      <c r="G10" s="35">
        <v>41</v>
      </c>
      <c r="H10" s="35">
        <v>72.900000000000006</v>
      </c>
      <c r="I10" s="35">
        <v>31.9</v>
      </c>
      <c r="J10" s="35">
        <v>26.6</v>
      </c>
      <c r="K10" s="35">
        <v>44.9</v>
      </c>
      <c r="L10" s="40">
        <v>32.299999999999997</v>
      </c>
      <c r="M10" s="40">
        <v>16</v>
      </c>
      <c r="N10" s="40">
        <v>9.8000000000000007</v>
      </c>
      <c r="O10" s="61">
        <v>10.6</v>
      </c>
      <c r="P10" s="61">
        <v>1.9</v>
      </c>
      <c r="R10" s="25" t="s">
        <v>18</v>
      </c>
      <c r="S10" s="40">
        <v>8</v>
      </c>
      <c r="T10" s="61">
        <v>8.5</v>
      </c>
      <c r="U10" s="26"/>
      <c r="V10" s="27" t="s">
        <v>18</v>
      </c>
      <c r="W10" s="63"/>
      <c r="X10" s="57"/>
    </row>
    <row r="11" spans="1:24">
      <c r="B11" s="38" t="s">
        <v>19</v>
      </c>
      <c r="C11" s="39">
        <v>20</v>
      </c>
      <c r="D11" s="39">
        <v>30</v>
      </c>
      <c r="E11" s="39">
        <v>11</v>
      </c>
      <c r="F11" s="35">
        <v>12</v>
      </c>
      <c r="G11" s="35">
        <v>6</v>
      </c>
      <c r="H11" s="35">
        <v>3</v>
      </c>
      <c r="I11" s="35">
        <v>11.5</v>
      </c>
      <c r="J11" s="35">
        <v>5.7</v>
      </c>
      <c r="K11" s="35">
        <v>4.9000000000000004</v>
      </c>
      <c r="L11" s="40">
        <v>2.1</v>
      </c>
      <c r="M11" s="40">
        <v>2.2999999999999998</v>
      </c>
      <c r="N11" s="61">
        <v>1.1000000000000001</v>
      </c>
      <c r="O11" s="61">
        <v>0.6</v>
      </c>
      <c r="P11" s="61">
        <v>1.8</v>
      </c>
      <c r="R11" s="25" t="s">
        <v>19</v>
      </c>
      <c r="S11" s="61">
        <v>0.5</v>
      </c>
      <c r="T11" s="61">
        <v>2.4</v>
      </c>
      <c r="U11" s="26"/>
      <c r="V11" s="27" t="s">
        <v>19</v>
      </c>
      <c r="W11" s="63"/>
      <c r="X11" s="57"/>
    </row>
    <row r="12" spans="1:24">
      <c r="B12" s="38" t="s">
        <v>20</v>
      </c>
      <c r="C12" s="39">
        <v>16</v>
      </c>
      <c r="D12" s="39">
        <v>17</v>
      </c>
      <c r="E12" s="39">
        <v>7</v>
      </c>
      <c r="F12" s="35">
        <v>4</v>
      </c>
      <c r="G12" s="35">
        <v>1.5</v>
      </c>
      <c r="H12" s="35">
        <v>3.9</v>
      </c>
      <c r="I12" s="35">
        <f>3.2+0.5+5+0.5</f>
        <v>9.1999999999999993</v>
      </c>
      <c r="J12" s="35">
        <f>1+0.2+0.4</f>
        <v>1.6</v>
      </c>
      <c r="K12" s="35">
        <f>0.6+0.2+2.8</f>
        <v>3.5999999999999996</v>
      </c>
      <c r="L12" s="40"/>
      <c r="M12" s="61">
        <f>0.1</f>
        <v>0.1</v>
      </c>
      <c r="N12" s="61">
        <f>0.1+1.3</f>
        <v>1.4000000000000001</v>
      </c>
      <c r="O12" s="61">
        <f>0.4+0</f>
        <v>0.4</v>
      </c>
      <c r="P12" s="61">
        <f>0.3+0.1+0</f>
        <v>0.4</v>
      </c>
      <c r="R12" s="25" t="s">
        <v>20</v>
      </c>
      <c r="S12" s="61">
        <f>0.4+1.3</f>
        <v>1.7000000000000002</v>
      </c>
      <c r="T12" s="61">
        <f>0.3+0.1</f>
        <v>0.4</v>
      </c>
      <c r="U12" s="26"/>
      <c r="V12" s="27" t="s">
        <v>20</v>
      </c>
      <c r="W12" s="64"/>
      <c r="X12" s="57"/>
    </row>
    <row r="13" spans="1:24">
      <c r="B13" s="43" t="s">
        <v>21</v>
      </c>
      <c r="C13" s="44">
        <f t="shared" ref="C13:J13" si="0">SUM(C4:C12)</f>
        <v>135434</v>
      </c>
      <c r="D13" s="44">
        <f t="shared" si="0"/>
        <v>152263</v>
      </c>
      <c r="E13" s="44">
        <f t="shared" si="0"/>
        <v>137698</v>
      </c>
      <c r="F13" s="44">
        <f t="shared" si="0"/>
        <v>161272</v>
      </c>
      <c r="G13" s="44">
        <f t="shared" si="0"/>
        <v>187198.1</v>
      </c>
      <c r="H13" s="44">
        <f t="shared" si="0"/>
        <v>211410.3</v>
      </c>
      <c r="I13" s="44">
        <f t="shared" si="0"/>
        <v>179781.8</v>
      </c>
      <c r="J13" s="44">
        <f t="shared" si="0"/>
        <v>185931.40000000002</v>
      </c>
      <c r="K13" s="44">
        <f>SUM(K4:K12)</f>
        <v>176842.1</v>
      </c>
      <c r="L13" s="45">
        <f>SUM(L4:L12)</f>
        <v>199085.69999999998</v>
      </c>
      <c r="M13" s="45">
        <f>SUM(M4:M12)</f>
        <v>165095.09999999998</v>
      </c>
      <c r="N13" s="45">
        <f>SUM(N4:N12)</f>
        <v>150974.19999999998</v>
      </c>
      <c r="O13" s="45">
        <f>SUM(O4:O12)</f>
        <v>140587.70000000001</v>
      </c>
      <c r="P13" s="45">
        <f>SUM(P4:P12)</f>
        <v>63264.100000000006</v>
      </c>
      <c r="R13" s="28" t="s">
        <v>21</v>
      </c>
      <c r="S13" s="29">
        <f>SUM(S5:S12)</f>
        <v>128343.59999999999</v>
      </c>
      <c r="T13" s="29">
        <f>SUM(T5:T12)</f>
        <v>142424.9</v>
      </c>
      <c r="U13" s="29"/>
      <c r="V13" s="30" t="s">
        <v>21</v>
      </c>
      <c r="W13" s="68">
        <f>SUM(W5:W12)</f>
        <v>98584.7</v>
      </c>
      <c r="X13" s="68">
        <f>SUM(X5:X12)</f>
        <v>67249.700000000012</v>
      </c>
    </row>
    <row r="14" spans="1:24">
      <c r="B14" s="3"/>
      <c r="C14" s="4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24" ht="15.95">
      <c r="B15" s="54" t="s">
        <v>22</v>
      </c>
      <c r="C15" s="55"/>
      <c r="D15" s="55"/>
      <c r="E15" s="55"/>
      <c r="F15" s="55"/>
      <c r="G15" s="55"/>
      <c r="H15" s="55"/>
      <c r="I15" s="55"/>
      <c r="J15" s="55"/>
      <c r="K15" s="55"/>
      <c r="L15" s="56"/>
      <c r="M15" s="56"/>
      <c r="N15" s="56"/>
      <c r="O15" s="56"/>
      <c r="P15" s="56"/>
    </row>
    <row r="16" spans="1:24">
      <c r="B16" s="46" t="s">
        <v>6</v>
      </c>
      <c r="C16" s="32">
        <v>2013</v>
      </c>
      <c r="D16" s="32">
        <v>2014</v>
      </c>
      <c r="E16" s="32">
        <v>2015</v>
      </c>
      <c r="F16" s="32">
        <v>2016</v>
      </c>
      <c r="G16" s="32">
        <v>2017</v>
      </c>
      <c r="H16" s="32">
        <v>2018</v>
      </c>
      <c r="I16" s="32">
        <v>2019</v>
      </c>
      <c r="J16" s="32">
        <v>2020</v>
      </c>
      <c r="K16" s="65">
        <v>2021</v>
      </c>
      <c r="L16" s="20">
        <v>2022</v>
      </c>
      <c r="M16" s="20">
        <v>2023</v>
      </c>
      <c r="N16" s="20">
        <v>2024</v>
      </c>
      <c r="O16" s="20">
        <v>2025</v>
      </c>
      <c r="P16" s="20" t="s">
        <v>7</v>
      </c>
      <c r="S16" s="62"/>
    </row>
    <row r="17" spans="2:31">
      <c r="B17" s="47" t="s">
        <v>10</v>
      </c>
      <c r="C17" s="36">
        <v>74725</v>
      </c>
      <c r="D17" s="36">
        <v>74298</v>
      </c>
      <c r="E17" s="36">
        <v>74025</v>
      </c>
      <c r="F17" s="35">
        <v>88922</v>
      </c>
      <c r="G17" s="36">
        <v>64809</v>
      </c>
      <c r="H17" s="36">
        <v>81365</v>
      </c>
      <c r="I17" s="36">
        <v>99113</v>
      </c>
      <c r="J17" s="36">
        <v>77477.399999999994</v>
      </c>
      <c r="K17" s="36">
        <v>91874.1</v>
      </c>
      <c r="L17" s="37">
        <v>116583.8</v>
      </c>
      <c r="M17" s="37">
        <v>116292.2</v>
      </c>
      <c r="N17" s="37">
        <v>76938.600000000006</v>
      </c>
      <c r="O17" s="37">
        <v>94225.1</v>
      </c>
      <c r="P17" s="69">
        <v>48628.9</v>
      </c>
      <c r="S17" s="62"/>
    </row>
    <row r="18" spans="2:31" ht="15.95">
      <c r="B18" s="48" t="s">
        <v>13</v>
      </c>
      <c r="C18" s="35">
        <v>10.3</v>
      </c>
      <c r="D18" s="35">
        <v>5.2</v>
      </c>
      <c r="E18" s="35">
        <v>7.8</v>
      </c>
      <c r="F18" s="35">
        <v>21.6</v>
      </c>
      <c r="G18" s="35">
        <v>67.7</v>
      </c>
      <c r="H18" s="35">
        <v>6</v>
      </c>
      <c r="I18" s="35">
        <v>10.199999999999999</v>
      </c>
      <c r="J18" s="35"/>
      <c r="K18" s="35">
        <v>1.6</v>
      </c>
      <c r="L18" s="40"/>
      <c r="M18" s="61">
        <v>2.6</v>
      </c>
      <c r="N18" s="61">
        <v>443.8</v>
      </c>
      <c r="O18" s="61">
        <v>1356.5</v>
      </c>
      <c r="P18" s="61"/>
      <c r="S18" s="62"/>
    </row>
    <row r="19" spans="2:31" ht="15.95">
      <c r="B19" s="48" t="s">
        <v>14</v>
      </c>
      <c r="C19" s="35">
        <v>1.3</v>
      </c>
      <c r="D19" s="35"/>
      <c r="E19" s="35"/>
      <c r="F19" s="35">
        <v>3.2</v>
      </c>
      <c r="G19" s="35"/>
      <c r="H19" s="35">
        <v>3.2</v>
      </c>
      <c r="I19" s="35"/>
      <c r="J19" s="35"/>
      <c r="K19" s="35"/>
      <c r="L19" s="40"/>
      <c r="M19" s="40"/>
      <c r="N19" s="40"/>
      <c r="O19" s="40"/>
      <c r="P19" s="40"/>
      <c r="S19" s="62"/>
      <c r="T19" s="62"/>
    </row>
    <row r="20" spans="2:31" ht="15.95">
      <c r="B20" s="48" t="s">
        <v>15</v>
      </c>
      <c r="C20" s="35"/>
      <c r="D20" s="35"/>
      <c r="E20" s="35"/>
      <c r="F20" s="35"/>
      <c r="G20" s="35"/>
      <c r="H20" s="35"/>
      <c r="I20" s="35"/>
      <c r="J20" s="35"/>
      <c r="K20" s="35"/>
      <c r="L20" s="40"/>
      <c r="M20" s="40"/>
      <c r="N20" s="40"/>
      <c r="O20" s="40"/>
      <c r="P20" s="40"/>
      <c r="S20" s="62"/>
      <c r="T20" s="62"/>
    </row>
    <row r="21" spans="2:31" ht="15.95">
      <c r="B21" s="48" t="s">
        <v>18</v>
      </c>
      <c r="C21" s="35">
        <v>6.2</v>
      </c>
      <c r="D21" s="35">
        <v>16.600000000000001</v>
      </c>
      <c r="E21" s="35">
        <v>31.1</v>
      </c>
      <c r="F21" s="35">
        <v>33</v>
      </c>
      <c r="G21" s="35">
        <v>19.600000000000001</v>
      </c>
      <c r="H21" s="35"/>
      <c r="I21" s="35"/>
      <c r="J21" s="35"/>
      <c r="K21" s="35">
        <v>0.5</v>
      </c>
      <c r="L21" s="40">
        <v>1.4</v>
      </c>
      <c r="M21" s="40">
        <v>0.2</v>
      </c>
      <c r="N21" s="40"/>
      <c r="O21" s="61">
        <v>0.1</v>
      </c>
      <c r="P21" s="40"/>
      <c r="S21" s="62"/>
    </row>
    <row r="22" spans="2:31" ht="15.95">
      <c r="B22" s="48" t="s">
        <v>19</v>
      </c>
      <c r="C22" s="60">
        <v>0.1</v>
      </c>
      <c r="D22" s="35">
        <v>0.8</v>
      </c>
      <c r="E22" s="35">
        <v>1.3</v>
      </c>
      <c r="F22" s="35">
        <v>4</v>
      </c>
      <c r="G22" s="35">
        <v>0.2</v>
      </c>
      <c r="H22" s="35"/>
      <c r="I22" s="35"/>
      <c r="J22" s="35"/>
      <c r="K22" s="35">
        <v>0.5</v>
      </c>
      <c r="L22" s="40">
        <v>0.8</v>
      </c>
      <c r="M22" s="40"/>
      <c r="N22" s="40"/>
      <c r="O22" s="40"/>
      <c r="P22" s="40"/>
    </row>
    <row r="23" spans="2:31" ht="15.95">
      <c r="B23" s="48" t="s">
        <v>23</v>
      </c>
      <c r="C23" s="35">
        <v>1.4</v>
      </c>
      <c r="D23" s="35">
        <v>2.6</v>
      </c>
      <c r="E23" s="35"/>
      <c r="F23" s="35">
        <v>0.7</v>
      </c>
      <c r="G23" s="35"/>
      <c r="H23" s="35">
        <v>2.7</v>
      </c>
      <c r="I23" s="35"/>
      <c r="J23" s="35"/>
      <c r="K23" s="35"/>
      <c r="L23" s="40">
        <v>4.7</v>
      </c>
      <c r="M23" s="40"/>
      <c r="N23" s="40"/>
      <c r="O23" s="40"/>
      <c r="P23" s="40"/>
    </row>
    <row r="24" spans="2:31" ht="15.95">
      <c r="B24" s="48" t="s">
        <v>24</v>
      </c>
      <c r="C24" s="35"/>
      <c r="D24" s="60">
        <v>0.4</v>
      </c>
      <c r="E24" s="35">
        <v>1.3</v>
      </c>
      <c r="F24" s="35"/>
      <c r="G24" s="35"/>
      <c r="H24" s="35"/>
      <c r="I24" s="35"/>
      <c r="J24" s="35"/>
      <c r="K24" s="35"/>
      <c r="L24" s="40"/>
      <c r="M24" s="40">
        <v>0.4</v>
      </c>
      <c r="N24" s="40"/>
      <c r="O24" s="40"/>
      <c r="P24" s="40"/>
    </row>
    <row r="25" spans="2:31" ht="15.95">
      <c r="B25" s="48" t="s">
        <v>25</v>
      </c>
      <c r="C25" s="35">
        <v>23</v>
      </c>
      <c r="D25" s="35"/>
      <c r="E25" s="35"/>
      <c r="F25" s="35"/>
      <c r="G25" s="35"/>
      <c r="H25" s="35"/>
      <c r="I25" s="35">
        <v>1</v>
      </c>
      <c r="J25" s="35"/>
      <c r="K25" s="35"/>
      <c r="L25" s="49"/>
      <c r="M25" s="49"/>
      <c r="N25" s="49"/>
      <c r="O25" s="49"/>
      <c r="P25" s="49"/>
      <c r="T25" s="62"/>
    </row>
    <row r="26" spans="2:31" ht="15.95">
      <c r="B26" s="48" t="s">
        <v>26</v>
      </c>
      <c r="C26" s="35"/>
      <c r="D26" s="35"/>
      <c r="E26" s="35">
        <v>0.5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T26" s="62"/>
    </row>
    <row r="27" spans="2:31" ht="15.95">
      <c r="B27" s="48" t="s">
        <v>27</v>
      </c>
      <c r="C27" s="35"/>
      <c r="D27" s="35"/>
      <c r="E27" s="35"/>
      <c r="F27" s="35"/>
      <c r="G27" s="35">
        <v>3.2</v>
      </c>
      <c r="H27" s="35">
        <v>2.6</v>
      </c>
      <c r="I27" s="35"/>
      <c r="J27" s="35"/>
      <c r="K27" s="35"/>
      <c r="L27" s="35"/>
      <c r="M27" s="35"/>
      <c r="N27" s="35"/>
      <c r="O27" s="35"/>
      <c r="P27" s="35"/>
    </row>
    <row r="28" spans="2:31" ht="15.95">
      <c r="B28" s="48" t="s">
        <v>28</v>
      </c>
      <c r="C28" s="35"/>
      <c r="D28" s="35"/>
      <c r="E28" s="35"/>
      <c r="F28" s="35"/>
      <c r="G28" s="35">
        <v>0.6</v>
      </c>
      <c r="H28" s="35"/>
      <c r="I28" s="35"/>
      <c r="J28" s="35"/>
      <c r="K28" s="35"/>
      <c r="L28" s="35"/>
      <c r="M28" s="35"/>
      <c r="N28" s="35"/>
      <c r="O28" s="35"/>
      <c r="P28" s="35"/>
    </row>
    <row r="29" spans="2:31" ht="15.95">
      <c r="B29" s="50" t="s">
        <v>21</v>
      </c>
      <c r="C29" s="45">
        <f t="shared" ref="C29:N29" si="1">SUM(C17:C28)</f>
        <v>74767.3</v>
      </c>
      <c r="D29" s="45">
        <f t="shared" si="1"/>
        <v>74323.600000000006</v>
      </c>
      <c r="E29" s="45">
        <f t="shared" si="1"/>
        <v>74067.000000000015</v>
      </c>
      <c r="F29" s="45">
        <f t="shared" si="1"/>
        <v>88984.5</v>
      </c>
      <c r="G29" s="45">
        <f t="shared" si="1"/>
        <v>64900.299999999988</v>
      </c>
      <c r="H29" s="45">
        <f t="shared" si="1"/>
        <v>81379.5</v>
      </c>
      <c r="I29" s="45">
        <f t="shared" si="1"/>
        <v>99124.2</v>
      </c>
      <c r="J29" s="45">
        <f t="shared" si="1"/>
        <v>77477.399999999994</v>
      </c>
      <c r="K29" s="45">
        <f>SUM(K17:K28)</f>
        <v>91876.700000000012</v>
      </c>
      <c r="L29" s="45">
        <f t="shared" ref="L29:O29" si="2">SUM(L17:L28)</f>
        <v>116590.7</v>
      </c>
      <c r="M29" s="45">
        <f t="shared" si="2"/>
        <v>116295.4</v>
      </c>
      <c r="N29" s="45">
        <f t="shared" si="2"/>
        <v>77382.400000000009</v>
      </c>
      <c r="O29" s="45">
        <f t="shared" si="2"/>
        <v>95581.700000000012</v>
      </c>
      <c r="P29" s="45">
        <f t="shared" ref="O29:P29" si="3">SUM(P17:P28)</f>
        <v>48628.9</v>
      </c>
      <c r="W29" s="2"/>
      <c r="X29" s="2"/>
      <c r="Y29" s="2"/>
      <c r="Z29" s="2"/>
      <c r="AA29" s="2"/>
      <c r="AB29" s="2"/>
      <c r="AC29" s="2"/>
      <c r="AD29" s="2"/>
      <c r="AE29" s="2"/>
    </row>
    <row r="30" spans="2:31">
      <c r="W30" s="2"/>
      <c r="X30" s="2"/>
      <c r="Y30" s="2"/>
      <c r="Z30" s="2"/>
      <c r="AA30" s="2"/>
      <c r="AB30" s="2"/>
      <c r="AC30" s="2"/>
      <c r="AD30" s="2"/>
      <c r="AE30" s="2"/>
    </row>
    <row r="31" spans="2:31">
      <c r="W31" s="2"/>
      <c r="X31" s="2"/>
      <c r="Y31" s="2"/>
      <c r="Z31" s="2"/>
      <c r="AA31" s="2"/>
      <c r="AB31" s="2"/>
      <c r="AC31" s="2"/>
      <c r="AD31" s="2"/>
      <c r="AE31" s="2"/>
    </row>
    <row r="32" spans="2:31">
      <c r="B32" s="9" t="s">
        <v>29</v>
      </c>
      <c r="W32" s="2"/>
      <c r="X32" s="2"/>
      <c r="Y32" s="2"/>
      <c r="Z32" s="2"/>
      <c r="AA32" s="2"/>
      <c r="AB32" s="2"/>
      <c r="AC32" s="2"/>
      <c r="AD32" s="2"/>
      <c r="AE32" s="2"/>
    </row>
    <row r="33" spans="1:31">
      <c r="C33" s="10">
        <v>2013</v>
      </c>
      <c r="D33" s="10">
        <v>2014</v>
      </c>
      <c r="E33" s="10">
        <v>2015</v>
      </c>
      <c r="F33" s="10">
        <v>2016</v>
      </c>
      <c r="G33" s="10">
        <v>2017</v>
      </c>
      <c r="H33" s="10">
        <v>2018</v>
      </c>
      <c r="I33" s="10">
        <v>2019</v>
      </c>
      <c r="J33" s="10">
        <v>2020</v>
      </c>
      <c r="K33" s="10">
        <v>2021</v>
      </c>
      <c r="L33" s="10">
        <v>2022</v>
      </c>
      <c r="M33" s="32">
        <v>2023</v>
      </c>
      <c r="N33" s="20">
        <v>2024</v>
      </c>
      <c r="O33" s="20">
        <v>2025</v>
      </c>
      <c r="P33" s="20" t="s">
        <v>7</v>
      </c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B34" s="6" t="s">
        <v>10</v>
      </c>
      <c r="C34" s="16">
        <f t="shared" ref="C34:K34" si="4">C4+(C17*0.33)</f>
        <v>48811.25</v>
      </c>
      <c r="D34" s="16">
        <f t="shared" si="4"/>
        <v>38811.339999999997</v>
      </c>
      <c r="E34" s="16">
        <f t="shared" si="4"/>
        <v>40231.25</v>
      </c>
      <c r="F34" s="16">
        <f t="shared" si="4"/>
        <v>62898.26</v>
      </c>
      <c r="G34" s="16">
        <f t="shared" si="4"/>
        <v>83201.97</v>
      </c>
      <c r="H34" s="16">
        <f t="shared" si="4"/>
        <v>105260.25</v>
      </c>
      <c r="I34" s="16">
        <f t="shared" si="4"/>
        <v>77241.89</v>
      </c>
      <c r="J34" s="16">
        <f t="shared" si="4"/>
        <v>63378.141999999993</v>
      </c>
      <c r="K34" s="16">
        <f t="shared" si="4"/>
        <v>54687.153000000006</v>
      </c>
      <c r="L34" s="16">
        <f t="shared" ref="L34:N35" si="5">L4+(L17*0.33)</f>
        <v>78127.754000000001</v>
      </c>
      <c r="M34" s="16">
        <f t="shared" si="5"/>
        <v>86334.426000000007</v>
      </c>
      <c r="N34" s="16">
        <f t="shared" si="5"/>
        <v>42273.238000000005</v>
      </c>
      <c r="O34" s="16">
        <f t="shared" ref="O34:P34" si="6">O4+(O17*0.33)</f>
        <v>39984.883000000002</v>
      </c>
      <c r="P34" s="16">
        <f t="shared" si="6"/>
        <v>19721.437000000002</v>
      </c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B35" s="6" t="s">
        <v>13</v>
      </c>
      <c r="C35" s="16">
        <f t="shared" ref="C35:K35" si="7">C5+(C18*0.33)</f>
        <v>54945.398999999998</v>
      </c>
      <c r="D35" s="16">
        <f t="shared" si="7"/>
        <v>78297.716</v>
      </c>
      <c r="E35" s="16">
        <f t="shared" si="7"/>
        <v>60796.574000000001</v>
      </c>
      <c r="F35" s="16">
        <f t="shared" si="7"/>
        <v>68909.127999999997</v>
      </c>
      <c r="G35" s="16">
        <f t="shared" si="7"/>
        <v>61994.341</v>
      </c>
      <c r="H35" s="16">
        <f t="shared" si="7"/>
        <v>74118.48</v>
      </c>
      <c r="I35" s="16">
        <f t="shared" si="7"/>
        <v>69719.565999999992</v>
      </c>
      <c r="J35" s="16">
        <f t="shared" si="7"/>
        <v>77989.8</v>
      </c>
      <c r="K35" s="16">
        <f t="shared" si="7"/>
        <v>72634.028000000006</v>
      </c>
      <c r="L35" s="16">
        <f t="shared" si="5"/>
        <v>89568.5</v>
      </c>
      <c r="M35" s="16">
        <f t="shared" si="5"/>
        <v>74318.857999999993</v>
      </c>
      <c r="N35" s="16">
        <f t="shared" si="5"/>
        <v>89604.653999999995</v>
      </c>
      <c r="O35" s="16">
        <f t="shared" ref="O35:P35" si="8">O5+(O18*0.33)</f>
        <v>90936.044999999998</v>
      </c>
      <c r="P35" s="16">
        <f t="shared" si="8"/>
        <v>36527.4</v>
      </c>
      <c r="T35"/>
      <c r="U35"/>
      <c r="V35"/>
      <c r="W35"/>
      <c r="X35"/>
      <c r="Y35"/>
      <c r="Z35"/>
      <c r="AA35"/>
      <c r="AB35"/>
      <c r="AC35"/>
      <c r="AE35" s="2"/>
    </row>
    <row r="36" spans="1:31">
      <c r="B36" s="6" t="s">
        <v>14</v>
      </c>
      <c r="C36" s="16">
        <f t="shared" ref="C36:N36" si="9">C6+(C19*0.33)</f>
        <v>43140.428999999996</v>
      </c>
      <c r="D36" s="16">
        <f t="shared" si="9"/>
        <v>34369</v>
      </c>
      <c r="E36" s="16">
        <f t="shared" si="9"/>
        <v>44523</v>
      </c>
      <c r="F36" s="16">
        <f t="shared" si="9"/>
        <v>34276.055999999997</v>
      </c>
      <c r="G36" s="16">
        <f t="shared" si="9"/>
        <v>50989</v>
      </c>
      <c r="H36" s="16">
        <f t="shared" si="9"/>
        <v>42132.655999999995</v>
      </c>
      <c r="I36" s="16">
        <f t="shared" si="9"/>
        <v>46449.599999999999</v>
      </c>
      <c r="J36" s="16">
        <f t="shared" si="9"/>
        <v>54042.400000000001</v>
      </c>
      <c r="K36" s="16">
        <f t="shared" si="9"/>
        <v>55986.400000000001</v>
      </c>
      <c r="L36" s="16">
        <f t="shared" ref="L36:M36" si="10">L6+(L19*0.33)</f>
        <v>43895.9</v>
      </c>
      <c r="M36" s="16">
        <f t="shared" si="10"/>
        <v>29109.3</v>
      </c>
      <c r="N36" s="16">
        <f t="shared" si="9"/>
        <v>39860.699999999997</v>
      </c>
      <c r="O36" s="16">
        <f t="shared" ref="O36:P36" si="11">O6+(O19*0.33)</f>
        <v>36440.5</v>
      </c>
      <c r="P36" s="16">
        <f t="shared" si="11"/>
        <v>21258.7</v>
      </c>
      <c r="AE36" s="2"/>
    </row>
    <row r="37" spans="1:31">
      <c r="B37" s="6" t="s">
        <v>15</v>
      </c>
      <c r="C37" s="16">
        <f t="shared" ref="C37:N37" si="12">C7+(C20*0.33)</f>
        <v>11322</v>
      </c>
      <c r="D37" s="16">
        <f t="shared" si="12"/>
        <v>20976</v>
      </c>
      <c r="E37" s="16">
        <f t="shared" si="12"/>
        <v>14500</v>
      </c>
      <c r="F37" s="16">
        <f t="shared" si="12"/>
        <v>23115</v>
      </c>
      <c r="G37" s="16">
        <f t="shared" si="12"/>
        <v>11293</v>
      </c>
      <c r="H37" s="16">
        <f t="shared" si="12"/>
        <v>15402.4</v>
      </c>
      <c r="I37" s="16">
        <f t="shared" si="12"/>
        <v>17827.5</v>
      </c>
      <c r="J37" s="16">
        <f t="shared" si="12"/>
        <v>13700.7</v>
      </c>
      <c r="K37" s="16">
        <f t="shared" si="12"/>
        <v>22372.1</v>
      </c>
      <c r="L37" s="16">
        <f t="shared" ref="L37:M37" si="13">L7+(L20*0.33)</f>
        <v>23835</v>
      </c>
      <c r="M37" s="16">
        <f t="shared" si="13"/>
        <v>12596.6</v>
      </c>
      <c r="N37" s="16">
        <f t="shared" si="12"/>
        <v>4346.5</v>
      </c>
      <c r="O37" s="16">
        <f t="shared" ref="O37:P37" si="14">O7+(O20*0.33)</f>
        <v>3698.6</v>
      </c>
      <c r="P37" s="16">
        <f t="shared" si="14"/>
        <v>1800</v>
      </c>
      <c r="AE37" s="2"/>
    </row>
    <row r="38" spans="1:31">
      <c r="B38" s="8" t="s">
        <v>21</v>
      </c>
      <c r="C38" s="17">
        <f t="shared" ref="C38:N38" si="15">C13+(C29*0.33)</f>
        <v>160107.209</v>
      </c>
      <c r="D38" s="17">
        <f t="shared" si="15"/>
        <v>176789.788</v>
      </c>
      <c r="E38" s="17">
        <f t="shared" si="15"/>
        <v>162140.11000000002</v>
      </c>
      <c r="F38" s="17">
        <f t="shared" si="15"/>
        <v>190636.88500000001</v>
      </c>
      <c r="G38" s="17">
        <f t="shared" si="15"/>
        <v>208615.19899999999</v>
      </c>
      <c r="H38" s="17">
        <f t="shared" si="15"/>
        <v>238265.53499999997</v>
      </c>
      <c r="I38" s="17">
        <f t="shared" si="15"/>
        <v>212492.78599999999</v>
      </c>
      <c r="J38" s="17">
        <f t="shared" si="15"/>
        <v>211498.94200000001</v>
      </c>
      <c r="K38" s="17">
        <f t="shared" si="15"/>
        <v>207161.41100000002</v>
      </c>
      <c r="L38" s="17">
        <f t="shared" ref="L38:M38" si="16">L13+(L29*0.33)</f>
        <v>237560.63099999999</v>
      </c>
      <c r="M38" s="17">
        <f t="shared" si="16"/>
        <v>203472.58199999997</v>
      </c>
      <c r="N38" s="17">
        <f t="shared" si="15"/>
        <v>176510.39199999999</v>
      </c>
      <c r="O38" s="17">
        <f t="shared" ref="O38:P38" si="17">O13+(O29*0.33)</f>
        <v>172129.66100000002</v>
      </c>
      <c r="P38" s="17">
        <f t="shared" si="17"/>
        <v>79311.637000000002</v>
      </c>
      <c r="AE38" s="2"/>
    </row>
    <row r="39" spans="1:31">
      <c r="B39"/>
      <c r="C39"/>
      <c r="D39"/>
      <c r="E39"/>
      <c r="F39"/>
      <c r="G39"/>
      <c r="H39"/>
      <c r="I39"/>
      <c r="J39"/>
      <c r="K39"/>
      <c r="L39" s="1"/>
      <c r="M39" s="1"/>
      <c r="N39" s="1"/>
      <c r="O39" s="1"/>
      <c r="P39" s="1"/>
      <c r="AE39" s="2"/>
    </row>
    <row r="40" spans="1:31">
      <c r="B40" s="9" t="s">
        <v>30</v>
      </c>
      <c r="C40" s="11">
        <v>2013</v>
      </c>
      <c r="D40" s="11">
        <v>2014</v>
      </c>
      <c r="E40" s="11">
        <v>2015</v>
      </c>
      <c r="F40" s="11">
        <v>2016</v>
      </c>
      <c r="G40" s="11">
        <v>2017</v>
      </c>
      <c r="H40" s="11">
        <v>2018</v>
      </c>
      <c r="I40" s="11">
        <v>2019</v>
      </c>
      <c r="J40" s="11">
        <v>2020</v>
      </c>
      <c r="K40" s="11">
        <v>2021</v>
      </c>
      <c r="L40" s="11">
        <v>2022</v>
      </c>
      <c r="M40" s="32">
        <v>2023</v>
      </c>
      <c r="N40" s="66">
        <v>2024</v>
      </c>
      <c r="O40" s="67">
        <v>2025</v>
      </c>
      <c r="P40" s="20" t="s">
        <v>7</v>
      </c>
      <c r="AE40" s="2"/>
    </row>
    <row r="41" spans="1:31">
      <c r="B41" s="6" t="s">
        <v>10</v>
      </c>
      <c r="C41" s="7">
        <f t="shared" ref="C41:N41" si="18">+C34/C$38</f>
        <v>0.30486603510776333</v>
      </c>
      <c r="D41" s="7">
        <f t="shared" si="18"/>
        <v>0.21953383416014954</v>
      </c>
      <c r="E41" s="7">
        <f t="shared" si="18"/>
        <v>0.24812645063581118</v>
      </c>
      <c r="F41" s="7">
        <f t="shared" si="18"/>
        <v>0.32993751445319724</v>
      </c>
      <c r="G41" s="7">
        <f t="shared" si="18"/>
        <v>0.39882985707096058</v>
      </c>
      <c r="H41" s="7">
        <f t="shared" si="18"/>
        <v>0.44177707027581647</v>
      </c>
      <c r="I41" s="7">
        <f t="shared" si="18"/>
        <v>0.36350358736413763</v>
      </c>
      <c r="J41" s="7">
        <f t="shared" si="18"/>
        <v>0.29966174488002872</v>
      </c>
      <c r="K41" s="7">
        <f t="shared" si="18"/>
        <v>0.26398330044199209</v>
      </c>
      <c r="L41" s="7">
        <f t="shared" ref="L41:M41" si="19">+L34/L$38</f>
        <v>0.32887500622946231</v>
      </c>
      <c r="M41" s="7">
        <f t="shared" si="19"/>
        <v>0.42430496114705035</v>
      </c>
      <c r="N41" s="7">
        <f t="shared" si="18"/>
        <v>0.23949432960298456</v>
      </c>
      <c r="O41" s="7">
        <f t="shared" ref="O41:P41" si="20">+O34/O$38</f>
        <v>0.23229513593244105</v>
      </c>
      <c r="P41" s="7">
        <f t="shared" si="20"/>
        <v>0.24865754567643084</v>
      </c>
      <c r="AE41" s="2"/>
    </row>
    <row r="42" spans="1:31">
      <c r="B42" s="6" t="s">
        <v>13</v>
      </c>
      <c r="C42" s="7">
        <f>+C35/$C$38</f>
        <v>0.34317879465377477</v>
      </c>
      <c r="D42" s="7">
        <f t="shared" ref="D42:N42" si="21">+D35/D$38</f>
        <v>0.44288596578892891</v>
      </c>
      <c r="E42" s="7">
        <f t="shared" si="21"/>
        <v>0.37496319695354835</v>
      </c>
      <c r="F42" s="7">
        <f t="shared" si="21"/>
        <v>0.36146797090185351</v>
      </c>
      <c r="G42" s="7">
        <f t="shared" si="21"/>
        <v>0.29717077805054848</v>
      </c>
      <c r="H42" s="7">
        <f t="shared" si="21"/>
        <v>0.31107512045332114</v>
      </c>
      <c r="I42" s="7">
        <f t="shared" si="21"/>
        <v>0.32810321381922108</v>
      </c>
      <c r="J42" s="7">
        <f t="shared" si="21"/>
        <v>0.36874794390224419</v>
      </c>
      <c r="K42" s="7">
        <f t="shared" si="21"/>
        <v>0.35061562696152904</v>
      </c>
      <c r="L42" s="7">
        <f t="shared" ref="L42:M42" si="22">+L35/L$38</f>
        <v>0.37703427383134036</v>
      </c>
      <c r="M42" s="7">
        <f t="shared" si="22"/>
        <v>0.36525244467581391</v>
      </c>
      <c r="N42" s="7">
        <f t="shared" si="21"/>
        <v>0.50764520425516924</v>
      </c>
      <c r="O42" s="7">
        <f t="shared" ref="O42:P42" si="23">+O35/O$38</f>
        <v>0.52829968101778801</v>
      </c>
      <c r="P42" s="7">
        <f t="shared" si="23"/>
        <v>0.46055536591685781</v>
      </c>
      <c r="AE42" s="2"/>
    </row>
    <row r="43" spans="1:31">
      <c r="B43" s="6" t="s">
        <v>14</v>
      </c>
      <c r="C43" s="7">
        <f>+C36/$C$38</f>
        <v>0.26944713651213542</v>
      </c>
      <c r="D43" s="7">
        <f t="shared" ref="D43:N43" si="24">+D36/D$38</f>
        <v>0.19440602530729886</v>
      </c>
      <c r="E43" s="7">
        <f t="shared" si="24"/>
        <v>0.27459584183087082</v>
      </c>
      <c r="F43" s="7">
        <f t="shared" si="24"/>
        <v>0.17979760842189588</v>
      </c>
      <c r="G43" s="7">
        <f t="shared" si="24"/>
        <v>0.24441651540451759</v>
      </c>
      <c r="H43" s="7">
        <f t="shared" si="24"/>
        <v>0.17683067758834697</v>
      </c>
      <c r="I43" s="7">
        <f t="shared" si="24"/>
        <v>0.21859377381404374</v>
      </c>
      <c r="J43" s="7">
        <f t="shared" si="24"/>
        <v>0.25552089995797711</v>
      </c>
      <c r="K43" s="7">
        <f t="shared" si="24"/>
        <v>0.27025496558333439</v>
      </c>
      <c r="L43" s="7">
        <f t="shared" ref="L43:M43" si="25">+L36/L$38</f>
        <v>0.18477767050551402</v>
      </c>
      <c r="M43" s="7">
        <f t="shared" si="25"/>
        <v>0.14306251836918255</v>
      </c>
      <c r="N43" s="7">
        <f t="shared" si="24"/>
        <v>0.22582636380978632</v>
      </c>
      <c r="O43" s="7">
        <f t="shared" ref="O43:P43" si="26">+O36/O$38</f>
        <v>0.21170378067496454</v>
      </c>
      <c r="P43" s="7">
        <f t="shared" si="26"/>
        <v>0.26804011118822324</v>
      </c>
      <c r="AE43" s="2"/>
    </row>
    <row r="44" spans="1:31">
      <c r="B44" s="6" t="s">
        <v>15</v>
      </c>
      <c r="C44" s="7">
        <f>+C37/$C$38</f>
        <v>7.0715116893955723E-2</v>
      </c>
      <c r="D44" s="7">
        <f t="shared" ref="D44:N44" si="27">+D37/D$38</f>
        <v>0.11864938714672818</v>
      </c>
      <c r="E44" s="7">
        <f t="shared" si="27"/>
        <v>8.9428827943930714E-2</v>
      </c>
      <c r="F44" s="7">
        <f t="shared" si="27"/>
        <v>0.12125145666327898</v>
      </c>
      <c r="G44" s="7">
        <f t="shared" si="27"/>
        <v>5.4133160259334699E-2</v>
      </c>
      <c r="H44" s="7">
        <f t="shared" si="27"/>
        <v>6.4643843684736024E-2</v>
      </c>
      <c r="I44" s="7">
        <f t="shared" si="27"/>
        <v>8.3896965800994303E-2</v>
      </c>
      <c r="J44" s="7">
        <f t="shared" si="27"/>
        <v>6.4779047452634533E-2</v>
      </c>
      <c r="K44" s="7">
        <f t="shared" si="27"/>
        <v>0.10799356835815332</v>
      </c>
      <c r="L44" s="7">
        <f t="shared" ref="L44:M44" si="28">+L37/L$38</f>
        <v>0.10033228106722784</v>
      </c>
      <c r="M44" s="7">
        <f t="shared" si="28"/>
        <v>6.1908095312812231E-2</v>
      </c>
      <c r="N44" s="7">
        <f t="shared" si="27"/>
        <v>2.4624612470409108E-2</v>
      </c>
      <c r="O44" s="7">
        <f t="shared" ref="O44:P44" si="29">+O37/O$38</f>
        <v>2.1487290328190443E-2</v>
      </c>
      <c r="P44" s="7">
        <f t="shared" si="29"/>
        <v>2.2695282408557522E-2</v>
      </c>
      <c r="AE44" s="2"/>
    </row>
    <row r="45" spans="1:31">
      <c r="AE45" s="2"/>
    </row>
    <row r="46" spans="1:31">
      <c r="W46" s="2"/>
      <c r="X46" s="2"/>
      <c r="Y46" s="2"/>
      <c r="Z46" s="2"/>
      <c r="AA46" s="2"/>
      <c r="AB46" s="2"/>
      <c r="AC46" s="2"/>
      <c r="AD46" s="2"/>
      <c r="AE46" s="2"/>
    </row>
    <row r="47" spans="1:31" ht="32.1">
      <c r="A47" s="12" t="s">
        <v>0</v>
      </c>
      <c r="B47" s="14" t="s">
        <v>31</v>
      </c>
      <c r="C47" s="2" t="s">
        <v>32</v>
      </c>
      <c r="L47" s="2" t="s">
        <v>33</v>
      </c>
      <c r="M47" s="2" t="s">
        <v>33</v>
      </c>
      <c r="N47" s="2" t="s">
        <v>33</v>
      </c>
      <c r="W47" s="2"/>
      <c r="X47" s="2"/>
      <c r="Y47" s="2"/>
      <c r="Z47" s="2"/>
      <c r="AA47" s="2"/>
      <c r="AB47" s="2"/>
      <c r="AC47" s="2"/>
      <c r="AD47" s="2"/>
      <c r="AE47" s="2"/>
    </row>
    <row r="48" spans="1:31">
      <c r="W48" s="2"/>
      <c r="X48" s="2"/>
      <c r="Y48" s="2"/>
      <c r="Z48" s="2"/>
      <c r="AA48" s="2"/>
      <c r="AB48" s="2"/>
      <c r="AC48" s="2"/>
      <c r="AD48" s="2"/>
      <c r="AE48" s="2"/>
    </row>
    <row r="49" spans="22:31">
      <c r="W49" s="2"/>
      <c r="X49" s="2"/>
      <c r="Y49" s="2"/>
      <c r="Z49" s="2"/>
      <c r="AA49" s="2"/>
      <c r="AB49" s="2"/>
      <c r="AC49" s="2"/>
      <c r="AD49" s="2"/>
      <c r="AE49" s="2"/>
    </row>
    <row r="50" spans="22:31">
      <c r="W50" s="2"/>
      <c r="X50" s="2"/>
      <c r="Y50" s="2"/>
      <c r="Z50" s="2"/>
      <c r="AA50" s="2"/>
      <c r="AB50" s="2"/>
      <c r="AC50" s="2"/>
      <c r="AD50" s="2"/>
      <c r="AE50" s="2"/>
    </row>
    <row r="51" spans="22:31">
      <c r="W51" s="2"/>
      <c r="X51" s="2"/>
      <c r="Y51" s="2"/>
      <c r="Z51" s="2"/>
      <c r="AA51" s="2"/>
      <c r="AB51" s="2"/>
      <c r="AC51" s="2"/>
      <c r="AD51" s="2"/>
      <c r="AE51" s="2"/>
    </row>
    <row r="52" spans="22:31">
      <c r="W52" s="2"/>
      <c r="X52" s="2"/>
      <c r="Y52" s="2"/>
      <c r="Z52" s="2"/>
      <c r="AA52" s="2"/>
      <c r="AB52" s="2"/>
      <c r="AC52" s="2"/>
      <c r="AD52" s="2"/>
      <c r="AE52" s="2"/>
    </row>
    <row r="54" spans="22:31">
      <c r="V54" s="13"/>
      <c r="W54" s="13"/>
      <c r="X54" s="13"/>
      <c r="Y54" s="13"/>
      <c r="Z54" s="13"/>
      <c r="AA54" s="13"/>
      <c r="AB54" s="13"/>
      <c r="AC54" s="13"/>
      <c r="AD54" s="13"/>
    </row>
    <row r="55" spans="22:31">
      <c r="V55" s="13"/>
      <c r="W55" s="13"/>
      <c r="X55" s="13"/>
      <c r="Y55" s="13"/>
      <c r="Z55" s="13"/>
      <c r="AA55" s="13"/>
      <c r="AB55" s="13"/>
      <c r="AC55" s="13"/>
      <c r="AD55" s="13"/>
    </row>
    <row r="56" spans="22:31">
      <c r="V56" s="13"/>
      <c r="W56" s="13"/>
      <c r="X56" s="13"/>
      <c r="Y56" s="13"/>
      <c r="Z56" s="13"/>
      <c r="AA56" s="13"/>
      <c r="AB56" s="13"/>
      <c r="AC56" s="13"/>
      <c r="AD56" s="13"/>
    </row>
    <row r="57" spans="22:31">
      <c r="V57" s="13"/>
      <c r="W57" s="13"/>
      <c r="X57" s="13"/>
      <c r="Y57" s="13"/>
      <c r="Z57" s="13"/>
      <c r="AA57" s="13"/>
      <c r="AB57" s="13"/>
      <c r="AC57" s="13"/>
      <c r="AD57" s="13"/>
    </row>
  </sheetData>
  <phoneticPr fontId="2" type="noConversion"/>
  <hyperlinks>
    <hyperlink ref="A1" r:id="rId1" xr:uid="{1400362E-740C-4BA1-98FF-5693B61EA30D}"/>
    <hyperlink ref="A47" r:id="rId2" xr:uid="{BBB218BA-2599-47EE-9FFD-4F5E0B3C4259}"/>
  </hyperlinks>
  <pageMargins left="0.7" right="0.7" top="0.75" bottom="0.75" header="0.3" footer="0.3"/>
  <pageSetup orientation="portrait" r:id="rId3"/>
  <ignoredErrors>
    <ignoredError sqref="C13 D13:H13 C29:O29 L13" formulaRange="1"/>
  </ignoredError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431fc-835d-4a6d-8cf1-a9900da5d5a6" xsi:nil="true"/>
    <lcf76f155ced4ddcb4097134ff3c332f xmlns="bd039ef1-dc28-4fd0-8faf-43df493ef0c5">
      <Terms xmlns="http://schemas.microsoft.com/office/infopath/2007/PartnerControls"/>
    </lcf76f155ced4ddcb4097134ff3c332f>
    <Dateandtime xmlns="bd039ef1-dc28-4fd0-8faf-43df493ef0c5" xsi:nil="true"/>
    <MediaLengthInSeconds xmlns="bd039ef1-dc28-4fd0-8faf-43df493ef0c5" xsi:nil="true"/>
    <SharedWithUsers xmlns="5d9431fc-835d-4a6d-8cf1-a9900da5d5a6">
      <UserInfo>
        <DisplayName>Boyoung Kim</DisplayName>
        <AccountId>357</AccountId>
        <AccountType/>
      </UserInfo>
      <UserInfo>
        <DisplayName>JongKyu Jang</DisplayName>
        <AccountId>9</AccountId>
        <AccountType/>
      </UserInfo>
      <UserInfo>
        <DisplayName>Fintan Cannon</DisplayName>
        <AccountId>256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F8E457411954D95622C53B0F01B76" ma:contentTypeVersion="19" ma:contentTypeDescription="Create a new document." ma:contentTypeScope="" ma:versionID="7bf2fcc8d94b6527b54107cfd249a4a0">
  <xsd:schema xmlns:xsd="http://www.w3.org/2001/XMLSchema" xmlns:xs="http://www.w3.org/2001/XMLSchema" xmlns:p="http://schemas.microsoft.com/office/2006/metadata/properties" xmlns:ns2="bd039ef1-dc28-4fd0-8faf-43df493ef0c5" xmlns:ns3="5d9431fc-835d-4a6d-8cf1-a9900da5d5a6" targetNamespace="http://schemas.microsoft.com/office/2006/metadata/properties" ma:root="true" ma:fieldsID="067fb60814f5e8fcd57e1f8824e4e9e3" ns2:_="" ns3:_="">
    <xsd:import namespace="bd039ef1-dc28-4fd0-8faf-43df493ef0c5"/>
    <xsd:import namespace="5d9431fc-835d-4a6d-8cf1-a9900da5d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Dateandtim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39ef1-dc28-4fd0-8faf-43df493ef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ca033b-8fd8-4ccf-a050-b908e88d82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431fc-835d-4a6d-8cf1-a9900da5d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608ddc-e690-4b02-950d-e7bb6ec5850f}" ma:internalName="TaxCatchAll" ma:showField="CatchAllData" ma:web="5d9431fc-835d-4a6d-8cf1-a9900da5d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C09806-BDDD-4184-BDB7-B2DDEE107DBE}"/>
</file>

<file path=customXml/itemProps2.xml><?xml version="1.0" encoding="utf-8"?>
<ds:datastoreItem xmlns:ds="http://schemas.openxmlformats.org/officeDocument/2006/customXml" ds:itemID="{A81B6795-549E-4B5B-ABDE-6C29B250F608}"/>
</file>

<file path=customXml/itemProps3.xml><?xml version="1.0" encoding="utf-8"?>
<ds:datastoreItem xmlns:ds="http://schemas.openxmlformats.org/officeDocument/2006/customXml" ds:itemID="{60FB21C5-207E-417A-BCA2-8505F5FAA7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jongkyu@atlatitude.com</dc:creator>
  <cp:keywords/>
  <dc:description/>
  <cp:lastModifiedBy>JongKyu Jang</cp:lastModifiedBy>
  <cp:revision/>
  <dcterms:created xsi:type="dcterms:W3CDTF">2017-04-18T04:44:01Z</dcterms:created>
  <dcterms:modified xsi:type="dcterms:W3CDTF">2026-07-11T06:32:43Z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0x010100940F8E457411954D95622C53B0F01B76</vt:lpwstr>
  </property>
  <property fmtid="{D5CDD505-2E9C-101B-9397-08002B2CF9AE}" pid="3" name="MediaServiceImageTags">
    <vt:lpwstr/>
  </property>
  <property fmtid="{D5CDD505-2E9C-101B-9397-08002B2CF9AE}" pid="4" name="Order">
    <vt:r8>58800</vt:r8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